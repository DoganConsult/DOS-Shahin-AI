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ogan\Downloads\"/>
    </mc:Choice>
  </mc:AlternateContent>
  <xr:revisionPtr revIDLastSave="0" documentId="13_ncr:1_{2D7A8051-6B56-4440-857B-6E4EEEAD1250}" xr6:coauthVersionLast="47" xr6:coauthVersionMax="47" xr10:uidLastSave="{00000000-0000-0000-0000-000000000000}"/>
  <bookViews>
    <workbookView xWindow="-98" yWindow="-98" windowWidth="25996" windowHeight="10276" tabRatio="500" xr2:uid="{00000000-000D-0000-FFFF-FFFF00000000}"/>
  </bookViews>
  <sheets>
    <sheet name="Navigation Hub" sheetId="22" r:id="rId1"/>
    <sheet name="GRC Linkage Engine" sheetId="24" r:id="rId2"/>
    <sheet name="Content Eval &amp; Shahin-AI" sheetId="23" r:id="rId3"/>
    <sheet name="All 108 Regulators - Frameworks" sheetId="1" r:id="rId4"/>
    <sheet name="Per-Regulator Summary" sheetId="2" r:id="rId5"/>
    <sheet name="HC IoT Priority Ranked" sheetId="3" r:id="rId6"/>
    <sheet name="Version Details Reference" sheetId="4" r:id="rId7"/>
    <sheet name="HC IoT Compliance Checklist" sheetId="5" r:id="rId8"/>
    <sheet name="Framework Debate Matrix" sheetId="6" r:id="rId9"/>
    <sheet name="Knowledge Foundation" sheetId="7" r:id="rId10"/>
    <sheet name="Learning Pathway" sheetId="8" r:id="rId11"/>
    <sheet name="GH-ICGA Positioning Matrix" sheetId="9" r:id="rId12"/>
    <sheet name="KSA GRC Architecture Map" sheetId="10" r:id="rId13"/>
    <sheet name="Risk Domain Coverage Matrix" sheetId="11" r:id="rId14"/>
    <sheet name="Sector × Framework Matrix" sheetId="12" r:id="rId15"/>
    <sheet name="Audit Universe (All Sectors)" sheetId="13" r:id="rId16"/>
    <sheet name="KRI Dashboard (All Sectors)" sheetId="14" r:id="rId17"/>
    <sheet name="GRC Maturity (All Sectors)" sheetId="15" r:id="rId18"/>
    <sheet name="GRC Intelligence Engine" sheetId="16" r:id="rId19"/>
    <sheet name="Executive Command Centre" sheetId="17" r:id="rId20"/>
    <sheet name="Regulatory Change Log" sheetId="18" r:id="rId21"/>
    <sheet name="Framework Dependencies" sheetId="19" r:id="rId22"/>
    <sheet name="Compliance Calculator" sheetId="20" r:id="rId23"/>
    <sheet name="Global GRC Benchmark" sheetId="21" r:id="rId2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7" i="24" l="1"/>
  <c r="E116" i="24"/>
  <c r="E115" i="24"/>
  <c r="E114" i="24"/>
  <c r="E113" i="24"/>
  <c r="E112" i="24"/>
  <c r="E111" i="24"/>
  <c r="E110" i="24"/>
  <c r="D152" i="23"/>
  <c r="C152" i="23"/>
  <c r="D151" i="23"/>
  <c r="C151" i="23"/>
  <c r="D150" i="23"/>
  <c r="C150" i="23"/>
  <c r="D149" i="23"/>
  <c r="C149" i="23"/>
  <c r="O50" i="13"/>
  <c r="N50" i="13"/>
  <c r="M50" i="13"/>
  <c r="O48" i="13"/>
  <c r="N48" i="13"/>
  <c r="M48" i="13"/>
  <c r="O46" i="13"/>
  <c r="N46" i="13"/>
  <c r="M46" i="13"/>
  <c r="O44" i="13"/>
  <c r="N44" i="13"/>
  <c r="M44" i="13"/>
  <c r="O42" i="13"/>
  <c r="N42" i="13"/>
  <c r="M42" i="13"/>
  <c r="O40" i="13"/>
  <c r="N40" i="13"/>
  <c r="M40" i="13"/>
  <c r="O38" i="13"/>
  <c r="N38" i="13"/>
  <c r="M38" i="13"/>
  <c r="O36" i="13"/>
  <c r="N36" i="13"/>
  <c r="M36" i="13"/>
  <c r="O34" i="13"/>
  <c r="N34" i="13"/>
  <c r="M34" i="13"/>
  <c r="O32" i="13"/>
  <c r="N32" i="13"/>
  <c r="M32" i="13"/>
  <c r="O30" i="13"/>
  <c r="N30" i="13"/>
  <c r="M30" i="13"/>
  <c r="O28" i="13"/>
  <c r="N28" i="13"/>
  <c r="M28" i="13"/>
  <c r="O26" i="13"/>
  <c r="N26" i="13"/>
  <c r="M26" i="13"/>
  <c r="O24" i="13"/>
  <c r="N24" i="13"/>
  <c r="M24" i="13"/>
  <c r="O22" i="13"/>
  <c r="N22" i="13"/>
  <c r="M22" i="13"/>
  <c r="O20" i="13"/>
  <c r="N20" i="13"/>
  <c r="M20" i="13"/>
  <c r="O18" i="13"/>
  <c r="N18" i="13"/>
  <c r="M18" i="13"/>
  <c r="O16" i="13"/>
  <c r="N16" i="13"/>
  <c r="M16" i="13"/>
  <c r="O14" i="13"/>
  <c r="N14" i="13"/>
  <c r="M14" i="13"/>
  <c r="O12" i="13"/>
  <c r="N12" i="13"/>
  <c r="M12" i="13"/>
  <c r="O10" i="13"/>
  <c r="N10" i="13"/>
  <c r="M10" i="13"/>
  <c r="O8" i="13"/>
  <c r="N8" i="13"/>
  <c r="M8" i="13"/>
  <c r="O6" i="13"/>
  <c r="N6" i="13"/>
  <c r="M6" i="13"/>
  <c r="O4" i="13"/>
  <c r="N4" i="13"/>
  <c r="M4" i="13"/>
  <c r="O2" i="13"/>
  <c r="N2" i="13"/>
  <c r="M2" i="13"/>
  <c r="Q43" i="14"/>
  <c r="Q42" i="14"/>
  <c r="Q41" i="14"/>
  <c r="Q40" i="14"/>
  <c r="Q39" i="14"/>
  <c r="Q38" i="14"/>
  <c r="Q37" i="14"/>
  <c r="Q36" i="14"/>
  <c r="Q35" i="14"/>
  <c r="Q34" i="14"/>
  <c r="Q33" i="14"/>
  <c r="Q32" i="14"/>
  <c r="Q31" i="14"/>
  <c r="Q30" i="14"/>
  <c r="Q29" i="14"/>
  <c r="Q28" i="14"/>
  <c r="Q27" i="14"/>
  <c r="Q26" i="14"/>
  <c r="Q25" i="14"/>
  <c r="Q24" i="14"/>
  <c r="Q23" i="14"/>
  <c r="Q22" i="14"/>
  <c r="Q21" i="14"/>
  <c r="Q20" i="14"/>
  <c r="Q19" i="14"/>
  <c r="Q18" i="14"/>
  <c r="Q17" i="14"/>
  <c r="Q16" i="14"/>
  <c r="Q15" i="14"/>
  <c r="Q14" i="14"/>
  <c r="Q13" i="14"/>
  <c r="Q12" i="14"/>
  <c r="Q11" i="14"/>
  <c r="Q10" i="14"/>
  <c r="Q9" i="14"/>
  <c r="Q8" i="14"/>
  <c r="Q7" i="14"/>
  <c r="Q6" i="14"/>
  <c r="Q5" i="14"/>
  <c r="Q4" i="14"/>
  <c r="Q3" i="14"/>
  <c r="Q2" i="14"/>
  <c r="P4" i="14"/>
  <c r="O4" i="14"/>
  <c r="P2" i="14"/>
  <c r="O2" i="14"/>
  <c r="P108" i="2"/>
  <c r="O108" i="2"/>
  <c r="M108" i="2"/>
  <c r="L108" i="2"/>
  <c r="J108" i="2"/>
  <c r="K108" i="2" s="1"/>
  <c r="P107" i="2"/>
  <c r="O107" i="2"/>
  <c r="M107" i="2"/>
  <c r="L107" i="2"/>
  <c r="J107" i="2"/>
  <c r="K107" i="2" s="1"/>
  <c r="P106" i="2"/>
  <c r="O106" i="2"/>
  <c r="M106" i="2"/>
  <c r="L106" i="2"/>
  <c r="J106" i="2"/>
  <c r="K106" i="2" s="1"/>
  <c r="P105" i="2"/>
  <c r="O105" i="2"/>
  <c r="M105" i="2"/>
  <c r="L105" i="2"/>
  <c r="J105" i="2"/>
  <c r="K105" i="2" s="1"/>
  <c r="P104" i="2"/>
  <c r="O104" i="2"/>
  <c r="M104" i="2"/>
  <c r="L104" i="2"/>
  <c r="J104" i="2"/>
  <c r="K104" i="2" s="1"/>
  <c r="P103" i="2"/>
  <c r="O103" i="2"/>
  <c r="M103" i="2"/>
  <c r="L103" i="2"/>
  <c r="J103" i="2"/>
  <c r="K103" i="2" s="1"/>
  <c r="P102" i="2"/>
  <c r="O102" i="2"/>
  <c r="M102" i="2"/>
  <c r="L102" i="2"/>
  <c r="K102" i="2"/>
  <c r="J102" i="2"/>
  <c r="P101" i="2"/>
  <c r="O101" i="2"/>
  <c r="M101" i="2"/>
  <c r="L101" i="2"/>
  <c r="J101" i="2"/>
  <c r="K101" i="2" s="1"/>
  <c r="P100" i="2"/>
  <c r="O100" i="2"/>
  <c r="M100" i="2"/>
  <c r="L100" i="2"/>
  <c r="J100" i="2"/>
  <c r="K100" i="2" s="1"/>
  <c r="P99" i="2"/>
  <c r="O99" i="2"/>
  <c r="M99" i="2"/>
  <c r="L99" i="2"/>
  <c r="J99" i="2"/>
  <c r="K99" i="2" s="1"/>
  <c r="P98" i="2"/>
  <c r="O98" i="2"/>
  <c r="M98" i="2"/>
  <c r="L98" i="2"/>
  <c r="J98" i="2"/>
  <c r="K98" i="2" s="1"/>
  <c r="P97" i="2"/>
  <c r="O97" i="2"/>
  <c r="M97" i="2"/>
  <c r="L97" i="2"/>
  <c r="J97" i="2"/>
  <c r="K97" i="2" s="1"/>
  <c r="P96" i="2"/>
  <c r="O96" i="2"/>
  <c r="M96" i="2"/>
  <c r="L96" i="2"/>
  <c r="J96" i="2"/>
  <c r="K96" i="2" s="1"/>
  <c r="P95" i="2"/>
  <c r="O95" i="2"/>
  <c r="M95" i="2"/>
  <c r="L95" i="2"/>
  <c r="J95" i="2"/>
  <c r="K95" i="2" s="1"/>
  <c r="P94" i="2"/>
  <c r="O94" i="2"/>
  <c r="M94" i="2"/>
  <c r="L94" i="2"/>
  <c r="J94" i="2"/>
  <c r="K94" i="2" s="1"/>
  <c r="P93" i="2"/>
  <c r="O93" i="2"/>
  <c r="M93" i="2"/>
  <c r="L93" i="2"/>
  <c r="K93" i="2"/>
  <c r="J93" i="2"/>
  <c r="P92" i="2"/>
  <c r="O92" i="2"/>
  <c r="M92" i="2"/>
  <c r="L92" i="2"/>
  <c r="J92" i="2"/>
  <c r="K92" i="2" s="1"/>
  <c r="P91" i="2"/>
  <c r="O91" i="2"/>
  <c r="M91" i="2"/>
  <c r="L91" i="2"/>
  <c r="J91" i="2"/>
  <c r="K91" i="2" s="1"/>
  <c r="P90" i="2"/>
  <c r="O90" i="2"/>
  <c r="M90" i="2"/>
  <c r="L90" i="2"/>
  <c r="K90" i="2"/>
  <c r="J90" i="2"/>
  <c r="P89" i="2"/>
  <c r="O89" i="2"/>
  <c r="M89" i="2"/>
  <c r="L89" i="2"/>
  <c r="K89" i="2"/>
  <c r="J89" i="2"/>
  <c r="P88" i="2"/>
  <c r="O88" i="2"/>
  <c r="M88" i="2"/>
  <c r="L88" i="2"/>
  <c r="K88" i="2"/>
  <c r="J88" i="2"/>
  <c r="P87" i="2"/>
  <c r="O87" i="2"/>
  <c r="M87" i="2"/>
  <c r="L87" i="2"/>
  <c r="K87" i="2"/>
  <c r="J87" i="2"/>
  <c r="P86" i="2"/>
  <c r="O86" i="2"/>
  <c r="M86" i="2"/>
  <c r="L86" i="2"/>
  <c r="K86" i="2"/>
  <c r="J86" i="2"/>
  <c r="P85" i="2"/>
  <c r="O85" i="2"/>
  <c r="M85" i="2"/>
  <c r="L85" i="2"/>
  <c r="K85" i="2"/>
  <c r="J85" i="2"/>
  <c r="P84" i="2"/>
  <c r="O84" i="2"/>
  <c r="M84" i="2"/>
  <c r="L84" i="2"/>
  <c r="K84" i="2"/>
  <c r="J84" i="2"/>
  <c r="P83" i="2"/>
  <c r="O83" i="2"/>
  <c r="M83" i="2"/>
  <c r="L83" i="2"/>
  <c r="K83" i="2"/>
  <c r="J83" i="2"/>
  <c r="P82" i="2"/>
  <c r="O82" i="2"/>
  <c r="M82" i="2"/>
  <c r="L82" i="2"/>
  <c r="K82" i="2"/>
  <c r="J82" i="2"/>
  <c r="P81" i="2"/>
  <c r="O81" i="2"/>
  <c r="M81" i="2"/>
  <c r="L81" i="2"/>
  <c r="K81" i="2"/>
  <c r="J81" i="2"/>
  <c r="P80" i="2"/>
  <c r="O80" i="2"/>
  <c r="M80" i="2"/>
  <c r="L80" i="2"/>
  <c r="J80" i="2"/>
  <c r="K80" i="2" s="1"/>
  <c r="P79" i="2"/>
  <c r="O79" i="2"/>
  <c r="M79" i="2"/>
  <c r="L79" i="2"/>
  <c r="J79" i="2"/>
  <c r="K79" i="2" s="1"/>
  <c r="P78" i="2"/>
  <c r="O78" i="2"/>
  <c r="M78" i="2"/>
  <c r="L78" i="2"/>
  <c r="K78" i="2"/>
  <c r="J78" i="2"/>
  <c r="P77" i="2"/>
  <c r="O77" i="2"/>
  <c r="M77" i="2"/>
  <c r="L77" i="2"/>
  <c r="J77" i="2"/>
  <c r="K77" i="2" s="1"/>
  <c r="P76" i="2"/>
  <c r="O76" i="2"/>
  <c r="M76" i="2"/>
  <c r="L76" i="2"/>
  <c r="J76" i="2"/>
  <c r="K76" i="2" s="1"/>
  <c r="P75" i="2"/>
  <c r="O75" i="2"/>
  <c r="M75" i="2"/>
  <c r="L75" i="2"/>
  <c r="J75" i="2"/>
  <c r="K75" i="2" s="1"/>
  <c r="P74" i="2"/>
  <c r="O74" i="2"/>
  <c r="M74" i="2"/>
  <c r="L74" i="2"/>
  <c r="J74" i="2"/>
  <c r="K74" i="2" s="1"/>
  <c r="P73" i="2"/>
  <c r="O73" i="2"/>
  <c r="M73" i="2"/>
  <c r="L73" i="2"/>
  <c r="J73" i="2"/>
  <c r="K73" i="2" s="1"/>
  <c r="P72" i="2"/>
  <c r="O72" i="2"/>
  <c r="M72" i="2"/>
  <c r="L72" i="2"/>
  <c r="J72" i="2"/>
  <c r="K72" i="2" s="1"/>
  <c r="P71" i="2"/>
  <c r="O71" i="2"/>
  <c r="M71" i="2"/>
  <c r="L71" i="2"/>
  <c r="J71" i="2"/>
  <c r="K71" i="2" s="1"/>
  <c r="P70" i="2"/>
  <c r="O70" i="2"/>
  <c r="M70" i="2"/>
  <c r="L70" i="2"/>
  <c r="J70" i="2"/>
  <c r="K70" i="2" s="1"/>
  <c r="P69" i="2"/>
  <c r="O69" i="2"/>
  <c r="M69" i="2"/>
  <c r="L69" i="2"/>
  <c r="K69" i="2"/>
  <c r="J69" i="2"/>
  <c r="P68" i="2"/>
  <c r="O68" i="2"/>
  <c r="M68" i="2"/>
  <c r="L68" i="2"/>
  <c r="J68" i="2"/>
  <c r="K68" i="2" s="1"/>
  <c r="P67" i="2"/>
  <c r="O67" i="2"/>
  <c r="M67" i="2"/>
  <c r="L67" i="2"/>
  <c r="J67" i="2"/>
  <c r="K67" i="2" s="1"/>
  <c r="P66" i="2"/>
  <c r="O66" i="2"/>
  <c r="M66" i="2"/>
  <c r="L66" i="2"/>
  <c r="K66" i="2"/>
  <c r="J66" i="2"/>
  <c r="P65" i="2"/>
  <c r="O65" i="2"/>
  <c r="M65" i="2"/>
  <c r="L65" i="2"/>
  <c r="K65" i="2"/>
  <c r="J65" i="2"/>
  <c r="P64" i="2"/>
  <c r="O64" i="2"/>
  <c r="M64" i="2"/>
  <c r="L64" i="2"/>
  <c r="K64" i="2"/>
  <c r="J64" i="2"/>
  <c r="P63" i="2"/>
  <c r="O63" i="2"/>
  <c r="M63" i="2"/>
  <c r="L63" i="2"/>
  <c r="K63" i="2"/>
  <c r="J63" i="2"/>
  <c r="P62" i="2"/>
  <c r="O62" i="2"/>
  <c r="M62" i="2"/>
  <c r="L62" i="2"/>
  <c r="K62" i="2"/>
  <c r="J62" i="2"/>
  <c r="P61" i="2"/>
  <c r="O61" i="2"/>
  <c r="M61" i="2"/>
  <c r="L61" i="2"/>
  <c r="K61" i="2"/>
  <c r="J61" i="2"/>
  <c r="P60" i="2"/>
  <c r="O60" i="2"/>
  <c r="M60" i="2"/>
  <c r="L60" i="2"/>
  <c r="K60" i="2"/>
  <c r="J60" i="2"/>
  <c r="P59" i="2"/>
  <c r="O59" i="2"/>
  <c r="M59" i="2"/>
  <c r="L59" i="2"/>
  <c r="K59" i="2"/>
  <c r="J59" i="2"/>
  <c r="P58" i="2"/>
  <c r="O58" i="2"/>
  <c r="M58" i="2"/>
  <c r="L58" i="2"/>
  <c r="K58" i="2"/>
  <c r="J58" i="2"/>
  <c r="P57" i="2"/>
  <c r="O57" i="2"/>
  <c r="M57" i="2"/>
  <c r="L57" i="2"/>
  <c r="K57" i="2"/>
  <c r="J57" i="2"/>
  <c r="P56" i="2"/>
  <c r="O56" i="2"/>
  <c r="M56" i="2"/>
  <c r="L56" i="2"/>
  <c r="J56" i="2"/>
  <c r="K56" i="2" s="1"/>
  <c r="P55" i="2"/>
  <c r="O55" i="2"/>
  <c r="M55" i="2"/>
  <c r="L55" i="2"/>
  <c r="J55" i="2"/>
  <c r="K55" i="2" s="1"/>
  <c r="P54" i="2"/>
  <c r="O54" i="2"/>
  <c r="M54" i="2"/>
  <c r="L54" i="2"/>
  <c r="K54" i="2"/>
  <c r="J54" i="2"/>
  <c r="P53" i="2"/>
  <c r="O53" i="2"/>
  <c r="M53" i="2"/>
  <c r="L53" i="2"/>
  <c r="J53" i="2"/>
  <c r="K53" i="2" s="1"/>
  <c r="P52" i="2"/>
  <c r="O52" i="2"/>
  <c r="M52" i="2"/>
  <c r="L52" i="2"/>
  <c r="J52" i="2"/>
  <c r="K52" i="2" s="1"/>
  <c r="P51" i="2"/>
  <c r="O51" i="2"/>
  <c r="M51" i="2"/>
  <c r="L51" i="2"/>
  <c r="J51" i="2"/>
  <c r="K51" i="2" s="1"/>
  <c r="P50" i="2"/>
  <c r="O50" i="2"/>
  <c r="M50" i="2"/>
  <c r="L50" i="2"/>
  <c r="J50" i="2"/>
  <c r="K50" i="2" s="1"/>
  <c r="P49" i="2"/>
  <c r="O49" i="2"/>
  <c r="M49" i="2"/>
  <c r="L49" i="2"/>
  <c r="J49" i="2"/>
  <c r="K49" i="2" s="1"/>
  <c r="P48" i="2"/>
  <c r="O48" i="2"/>
  <c r="M48" i="2"/>
  <c r="L48" i="2"/>
  <c r="J48" i="2"/>
  <c r="K48" i="2" s="1"/>
  <c r="P47" i="2"/>
  <c r="O47" i="2"/>
  <c r="M47" i="2"/>
  <c r="L47" i="2"/>
  <c r="J47" i="2"/>
  <c r="K47" i="2" s="1"/>
  <c r="P46" i="2"/>
  <c r="O46" i="2"/>
  <c r="M46" i="2"/>
  <c r="L46" i="2"/>
  <c r="J46" i="2"/>
  <c r="K46" i="2" s="1"/>
  <c r="P45" i="2"/>
  <c r="O45" i="2"/>
  <c r="M45" i="2"/>
  <c r="L45" i="2"/>
  <c r="K45" i="2"/>
  <c r="J45" i="2"/>
  <c r="P44" i="2"/>
  <c r="O44" i="2"/>
  <c r="M44" i="2"/>
  <c r="L44" i="2"/>
  <c r="J44" i="2"/>
  <c r="K44" i="2" s="1"/>
  <c r="P43" i="2"/>
  <c r="O43" i="2"/>
  <c r="M43" i="2"/>
  <c r="L43" i="2"/>
  <c r="J43" i="2"/>
  <c r="K43" i="2" s="1"/>
  <c r="P42" i="2"/>
  <c r="O42" i="2"/>
  <c r="M42" i="2"/>
  <c r="L42" i="2"/>
  <c r="K42" i="2"/>
  <c r="J42" i="2"/>
  <c r="P41" i="2"/>
  <c r="O41" i="2"/>
  <c r="M41" i="2"/>
  <c r="L41" i="2"/>
  <c r="K41" i="2"/>
  <c r="J41" i="2"/>
  <c r="P40" i="2"/>
  <c r="O40" i="2"/>
  <c r="M40" i="2"/>
  <c r="L40" i="2"/>
  <c r="J40" i="2"/>
  <c r="K40" i="2" s="1"/>
  <c r="P39" i="2"/>
  <c r="O39" i="2"/>
  <c r="M39" i="2"/>
  <c r="L39" i="2"/>
  <c r="K39" i="2"/>
  <c r="J39" i="2"/>
  <c r="P38" i="2"/>
  <c r="O38" i="2"/>
  <c r="M38" i="2"/>
  <c r="L38" i="2"/>
  <c r="K38" i="2"/>
  <c r="J38" i="2"/>
  <c r="P37" i="2"/>
  <c r="O37" i="2"/>
  <c r="M37" i="2"/>
  <c r="L37" i="2"/>
  <c r="K37" i="2"/>
  <c r="J37" i="2"/>
  <c r="P36" i="2"/>
  <c r="O36" i="2"/>
  <c r="M36" i="2"/>
  <c r="L36" i="2"/>
  <c r="K36" i="2"/>
  <c r="J36" i="2"/>
  <c r="P35" i="2"/>
  <c r="O35" i="2"/>
  <c r="M35" i="2"/>
  <c r="L35" i="2"/>
  <c r="K35" i="2"/>
  <c r="J35" i="2"/>
  <c r="P34" i="2"/>
  <c r="O34" i="2"/>
  <c r="M34" i="2"/>
  <c r="L34" i="2"/>
  <c r="K34" i="2"/>
  <c r="J34" i="2"/>
  <c r="P33" i="2"/>
  <c r="O33" i="2"/>
  <c r="M33" i="2"/>
  <c r="L33" i="2"/>
  <c r="K33" i="2"/>
  <c r="J33" i="2"/>
  <c r="P32" i="2"/>
  <c r="O32" i="2"/>
  <c r="M32" i="2"/>
  <c r="L32" i="2"/>
  <c r="J32" i="2"/>
  <c r="K32" i="2" s="1"/>
  <c r="P31" i="2"/>
  <c r="O31" i="2"/>
  <c r="M31" i="2"/>
  <c r="L31" i="2"/>
  <c r="J31" i="2"/>
  <c r="K31" i="2" s="1"/>
  <c r="P30" i="2"/>
  <c r="O30" i="2"/>
  <c r="M30" i="2"/>
  <c r="L30" i="2"/>
  <c r="N30" i="2" s="1"/>
  <c r="K30" i="2"/>
  <c r="J30" i="2"/>
  <c r="P29" i="2"/>
  <c r="O29" i="2"/>
  <c r="M29" i="2"/>
  <c r="L29" i="2"/>
  <c r="J29" i="2"/>
  <c r="K29" i="2" s="1"/>
  <c r="P28" i="2"/>
  <c r="O28" i="2"/>
  <c r="M28" i="2"/>
  <c r="L28" i="2"/>
  <c r="J28" i="2"/>
  <c r="K28" i="2" s="1"/>
  <c r="P27" i="2"/>
  <c r="O27" i="2"/>
  <c r="M27" i="2"/>
  <c r="L27" i="2"/>
  <c r="J27" i="2"/>
  <c r="K27" i="2" s="1"/>
  <c r="P26" i="2"/>
  <c r="O26" i="2"/>
  <c r="M26" i="2"/>
  <c r="L26" i="2"/>
  <c r="J26" i="2"/>
  <c r="K26" i="2" s="1"/>
  <c r="P25" i="2"/>
  <c r="O25" i="2"/>
  <c r="M25" i="2"/>
  <c r="L25" i="2"/>
  <c r="J25" i="2"/>
  <c r="K25" i="2" s="1"/>
  <c r="P24" i="2"/>
  <c r="O24" i="2"/>
  <c r="M24" i="2"/>
  <c r="L24" i="2"/>
  <c r="J24" i="2"/>
  <c r="K24" i="2" s="1"/>
  <c r="P23" i="2"/>
  <c r="O23" i="2"/>
  <c r="M23" i="2"/>
  <c r="L23" i="2"/>
  <c r="J23" i="2"/>
  <c r="K23" i="2" s="1"/>
  <c r="P22" i="2"/>
  <c r="O22" i="2"/>
  <c r="M22" i="2"/>
  <c r="L22" i="2"/>
  <c r="J22" i="2"/>
  <c r="K22" i="2" s="1"/>
  <c r="P21" i="2"/>
  <c r="O21" i="2"/>
  <c r="M21" i="2"/>
  <c r="L21" i="2"/>
  <c r="K21" i="2"/>
  <c r="J21" i="2"/>
  <c r="P20" i="2"/>
  <c r="O20" i="2"/>
  <c r="M20" i="2"/>
  <c r="L20" i="2"/>
  <c r="J20" i="2"/>
  <c r="K20" i="2" s="1"/>
  <c r="P19" i="2"/>
  <c r="O19" i="2"/>
  <c r="M19" i="2"/>
  <c r="L19" i="2"/>
  <c r="J19" i="2"/>
  <c r="K19" i="2" s="1"/>
  <c r="P18" i="2"/>
  <c r="O18" i="2"/>
  <c r="M18" i="2"/>
  <c r="L18" i="2"/>
  <c r="N18" i="2" s="1"/>
  <c r="J18" i="2"/>
  <c r="K18" i="2" s="1"/>
  <c r="P17" i="2"/>
  <c r="O17" i="2"/>
  <c r="M17" i="2"/>
  <c r="L17" i="2"/>
  <c r="K17" i="2"/>
  <c r="J17" i="2"/>
  <c r="P16" i="2"/>
  <c r="O16" i="2"/>
  <c r="M16" i="2"/>
  <c r="L16" i="2"/>
  <c r="J16" i="2"/>
  <c r="K16" i="2" s="1"/>
  <c r="P15" i="2"/>
  <c r="O15" i="2"/>
  <c r="M15" i="2"/>
  <c r="L15" i="2"/>
  <c r="J15" i="2"/>
  <c r="K15" i="2" s="1"/>
  <c r="P14" i="2"/>
  <c r="O14" i="2"/>
  <c r="M14" i="2"/>
  <c r="L14" i="2"/>
  <c r="K14" i="2"/>
  <c r="J14" i="2"/>
  <c r="P13" i="2"/>
  <c r="O13" i="2"/>
  <c r="M13" i="2"/>
  <c r="L13" i="2"/>
  <c r="K13" i="2"/>
  <c r="J13" i="2"/>
  <c r="O12" i="2"/>
  <c r="J12" i="2"/>
  <c r="K12" i="2" s="1"/>
  <c r="P11" i="2"/>
  <c r="O11" i="2"/>
  <c r="M11" i="2"/>
  <c r="L11" i="2"/>
  <c r="J11" i="2"/>
  <c r="K11" i="2" s="1"/>
  <c r="O10" i="2"/>
  <c r="K10" i="2"/>
  <c r="J10" i="2"/>
  <c r="P9" i="2"/>
  <c r="O9" i="2"/>
  <c r="M9" i="2"/>
  <c r="L9" i="2"/>
  <c r="K9" i="2"/>
  <c r="J9" i="2"/>
  <c r="P8" i="2"/>
  <c r="O8" i="2"/>
  <c r="M8" i="2"/>
  <c r="L8" i="2"/>
  <c r="J8" i="2"/>
  <c r="K8" i="2" s="1"/>
  <c r="P7" i="2"/>
  <c r="O7" i="2"/>
  <c r="M7" i="2"/>
  <c r="L7" i="2"/>
  <c r="J7" i="2"/>
  <c r="K7" i="2" s="1"/>
  <c r="P6" i="2"/>
  <c r="O6" i="2"/>
  <c r="M6" i="2"/>
  <c r="L6" i="2"/>
  <c r="K6" i="2"/>
  <c r="J6" i="2"/>
  <c r="O5" i="2"/>
  <c r="J5" i="2"/>
  <c r="K5" i="2" s="1"/>
  <c r="O4" i="2"/>
  <c r="J4" i="2"/>
  <c r="K4" i="2" s="1"/>
  <c r="O3" i="2"/>
  <c r="J3" i="2"/>
  <c r="K3" i="2" s="1"/>
  <c r="P2" i="2"/>
  <c r="O2" i="2"/>
  <c r="M2" i="2"/>
  <c r="K2" i="2"/>
  <c r="J2" i="2"/>
  <c r="BE500" i="1"/>
  <c r="BD500" i="1"/>
  <c r="BC500" i="1"/>
  <c r="BB500" i="1"/>
  <c r="BF500" i="1" s="1"/>
  <c r="BE499" i="1"/>
  <c r="BD499" i="1"/>
  <c r="BC499" i="1"/>
  <c r="BB499" i="1"/>
  <c r="BF499" i="1" s="1"/>
  <c r="BE498" i="1"/>
  <c r="BD498" i="1"/>
  <c r="BC498" i="1"/>
  <c r="BB498" i="1"/>
  <c r="BF498" i="1" s="1"/>
  <c r="BE497" i="1"/>
  <c r="BD497" i="1"/>
  <c r="BC497" i="1"/>
  <c r="BB497" i="1"/>
  <c r="BF497" i="1" s="1"/>
  <c r="BE496" i="1"/>
  <c r="BD496" i="1"/>
  <c r="BC496" i="1"/>
  <c r="BB496" i="1"/>
  <c r="BF496" i="1" s="1"/>
  <c r="BF495" i="1"/>
  <c r="BE495" i="1"/>
  <c r="BD495" i="1"/>
  <c r="BC495" i="1"/>
  <c r="BB495" i="1"/>
  <c r="BE494" i="1"/>
  <c r="BD494" i="1"/>
  <c r="BC494" i="1"/>
  <c r="BB494" i="1"/>
  <c r="BF494" i="1" s="1"/>
  <c r="BF493" i="1"/>
  <c r="BE493" i="1"/>
  <c r="BD493" i="1"/>
  <c r="BC493" i="1"/>
  <c r="BB493" i="1"/>
  <c r="BE492" i="1"/>
  <c r="BD492" i="1"/>
  <c r="BC492" i="1"/>
  <c r="BB492" i="1"/>
  <c r="BF492" i="1" s="1"/>
  <c r="BF491" i="1"/>
  <c r="BE491" i="1"/>
  <c r="BD491" i="1"/>
  <c r="BC491" i="1"/>
  <c r="BB491" i="1"/>
  <c r="BE490" i="1"/>
  <c r="BD490" i="1"/>
  <c r="BC490" i="1"/>
  <c r="BB490" i="1"/>
  <c r="BF490" i="1" s="1"/>
  <c r="BE489" i="1"/>
  <c r="BD489" i="1"/>
  <c r="BC489" i="1"/>
  <c r="BB489" i="1"/>
  <c r="BF489" i="1" s="1"/>
  <c r="BE488" i="1"/>
  <c r="BD488" i="1"/>
  <c r="BC488" i="1"/>
  <c r="BB488" i="1"/>
  <c r="BF488" i="1" s="1"/>
  <c r="BE487" i="1"/>
  <c r="BD487" i="1"/>
  <c r="BC487" i="1"/>
  <c r="BB487" i="1"/>
  <c r="BF487" i="1" s="1"/>
  <c r="BF486" i="1"/>
  <c r="BE486" i="1"/>
  <c r="BD486" i="1"/>
  <c r="BC486" i="1"/>
  <c r="BB486" i="1"/>
  <c r="BE485" i="1"/>
  <c r="BD485" i="1"/>
  <c r="BC485" i="1"/>
  <c r="BB485" i="1"/>
  <c r="BF485" i="1" s="1"/>
  <c r="BE484" i="1"/>
  <c r="BD484" i="1"/>
  <c r="BC484" i="1"/>
  <c r="BB484" i="1"/>
  <c r="BF484" i="1" s="1"/>
  <c r="BF483" i="1"/>
  <c r="BE483" i="1"/>
  <c r="BD483" i="1"/>
  <c r="BC483" i="1"/>
  <c r="BB483" i="1"/>
  <c r="BE482" i="1"/>
  <c r="BD482" i="1"/>
  <c r="BC482" i="1"/>
  <c r="BB482" i="1"/>
  <c r="BF482" i="1" s="1"/>
  <c r="BF481" i="1"/>
  <c r="BE481" i="1"/>
  <c r="BD481" i="1"/>
  <c r="BC481" i="1"/>
  <c r="BB481" i="1"/>
  <c r="BE480" i="1"/>
  <c r="BD480" i="1"/>
  <c r="BC480" i="1"/>
  <c r="BB480" i="1"/>
  <c r="BF480" i="1" s="1"/>
  <c r="BE479" i="1"/>
  <c r="BD479" i="1"/>
  <c r="BC479" i="1"/>
  <c r="BB479" i="1"/>
  <c r="BF479" i="1" s="1"/>
  <c r="BF478" i="1"/>
  <c r="BE478" i="1"/>
  <c r="BD478" i="1"/>
  <c r="BC478" i="1"/>
  <c r="BB478" i="1"/>
  <c r="BE477" i="1"/>
  <c r="BD477" i="1"/>
  <c r="BC477" i="1"/>
  <c r="BB477" i="1"/>
  <c r="BF477" i="1" s="1"/>
  <c r="BF476" i="1"/>
  <c r="BE476" i="1"/>
  <c r="BD476" i="1"/>
  <c r="BC476" i="1"/>
  <c r="BB476" i="1"/>
  <c r="BE475" i="1"/>
  <c r="BD475" i="1"/>
  <c r="BC475" i="1"/>
  <c r="BB475" i="1"/>
  <c r="BF475" i="1" s="1"/>
  <c r="BE474" i="1"/>
  <c r="BD474" i="1"/>
  <c r="BC474" i="1"/>
  <c r="BB474" i="1"/>
  <c r="BF474" i="1" s="1"/>
  <c r="BF473" i="1"/>
  <c r="BE473" i="1"/>
  <c r="BD473" i="1"/>
  <c r="BC473" i="1"/>
  <c r="BB473" i="1"/>
  <c r="BE472" i="1"/>
  <c r="BD472" i="1"/>
  <c r="BC472" i="1"/>
  <c r="BB472" i="1"/>
  <c r="BF472" i="1" s="1"/>
  <c r="BF471" i="1"/>
  <c r="BE471" i="1"/>
  <c r="BD471" i="1"/>
  <c r="BC471" i="1"/>
  <c r="BB471" i="1"/>
  <c r="BE470" i="1"/>
  <c r="BD470" i="1"/>
  <c r="BC470" i="1"/>
  <c r="BB470" i="1"/>
  <c r="BF470" i="1" s="1"/>
  <c r="BF469" i="1"/>
  <c r="BE469" i="1"/>
  <c r="BD469" i="1"/>
  <c r="BC469" i="1"/>
  <c r="BB469" i="1"/>
  <c r="BF468" i="1"/>
  <c r="BE468" i="1"/>
  <c r="BD468" i="1"/>
  <c r="BC468" i="1"/>
  <c r="BB468" i="1"/>
  <c r="BF467" i="1"/>
  <c r="BE467" i="1"/>
  <c r="BD467" i="1"/>
  <c r="BC467" i="1"/>
  <c r="BB467" i="1"/>
  <c r="BF466" i="1"/>
  <c r="BE466" i="1"/>
  <c r="BD466" i="1"/>
  <c r="BC466" i="1"/>
  <c r="BB466" i="1"/>
  <c r="BE465" i="1"/>
  <c r="BD465" i="1"/>
  <c r="BC465" i="1"/>
  <c r="BB465" i="1"/>
  <c r="BF465" i="1" s="1"/>
  <c r="BE464" i="1"/>
  <c r="BD464" i="1"/>
  <c r="BC464" i="1"/>
  <c r="BB464" i="1"/>
  <c r="BF464" i="1" s="1"/>
  <c r="BE463" i="1"/>
  <c r="BD463" i="1"/>
  <c r="BC463" i="1"/>
  <c r="BB463" i="1"/>
  <c r="BF463" i="1" s="1"/>
  <c r="BF462" i="1"/>
  <c r="BE462" i="1"/>
  <c r="BD462" i="1"/>
  <c r="BC462" i="1"/>
  <c r="BB462" i="1"/>
  <c r="BE461" i="1"/>
  <c r="BD461" i="1"/>
  <c r="BC461" i="1"/>
  <c r="BB461" i="1"/>
  <c r="BF461" i="1" s="1"/>
  <c r="BE460" i="1"/>
  <c r="BD460" i="1"/>
  <c r="BC460" i="1"/>
  <c r="BB460" i="1"/>
  <c r="BF460" i="1" s="1"/>
  <c r="BF459" i="1"/>
  <c r="BE459" i="1"/>
  <c r="BD459" i="1"/>
  <c r="BC459" i="1"/>
  <c r="BB459" i="1"/>
  <c r="BE458" i="1"/>
  <c r="BD458" i="1"/>
  <c r="BC458" i="1"/>
  <c r="BB458" i="1"/>
  <c r="BF458" i="1" s="1"/>
  <c r="BF457" i="1"/>
  <c r="BE457" i="1"/>
  <c r="BD457" i="1"/>
  <c r="BC457" i="1"/>
  <c r="BB457" i="1"/>
  <c r="BE456" i="1"/>
  <c r="BD456" i="1"/>
  <c r="BC456" i="1"/>
  <c r="BB456" i="1"/>
  <c r="BF456" i="1" s="1"/>
  <c r="BE455" i="1"/>
  <c r="BD455" i="1"/>
  <c r="BC455" i="1"/>
  <c r="BB455" i="1"/>
  <c r="BF455" i="1" s="1"/>
  <c r="BF454" i="1"/>
  <c r="BE454" i="1"/>
  <c r="BD454" i="1"/>
  <c r="BC454" i="1"/>
  <c r="BB454" i="1"/>
  <c r="BF453" i="1"/>
  <c r="BE453" i="1"/>
  <c r="BD453" i="1"/>
  <c r="BC453" i="1"/>
  <c r="BB453" i="1"/>
  <c r="BF452" i="1"/>
  <c r="BE452" i="1"/>
  <c r="BD452" i="1"/>
  <c r="BC452" i="1"/>
  <c r="BB452" i="1"/>
  <c r="BE451" i="1"/>
  <c r="BD451" i="1"/>
  <c r="BC451" i="1"/>
  <c r="BB451" i="1"/>
  <c r="BF451" i="1" s="1"/>
  <c r="BE450" i="1"/>
  <c r="BD450" i="1"/>
  <c r="BC450" i="1"/>
  <c r="BB450" i="1"/>
  <c r="BF450" i="1" s="1"/>
  <c r="BF449" i="1"/>
  <c r="BE449" i="1"/>
  <c r="BD449" i="1"/>
  <c r="BC449" i="1"/>
  <c r="BB449" i="1"/>
  <c r="BE448" i="1"/>
  <c r="BD448" i="1"/>
  <c r="BC448" i="1"/>
  <c r="BB448" i="1"/>
  <c r="BF448" i="1" s="1"/>
  <c r="BF447" i="1"/>
  <c r="BE447" i="1"/>
  <c r="BD447" i="1"/>
  <c r="BC447" i="1"/>
  <c r="BB447" i="1"/>
  <c r="BE446" i="1"/>
  <c r="BD446" i="1"/>
  <c r="BC446" i="1"/>
  <c r="BB446" i="1"/>
  <c r="BF446" i="1" s="1"/>
  <c r="BF445" i="1"/>
  <c r="BE445" i="1"/>
  <c r="BD445" i="1"/>
  <c r="BC445" i="1"/>
  <c r="BB445" i="1"/>
  <c r="BF444" i="1"/>
  <c r="BE444" i="1"/>
  <c r="BD444" i="1"/>
  <c r="BC444" i="1"/>
  <c r="BB444" i="1"/>
  <c r="BF443" i="1"/>
  <c r="BE443" i="1"/>
  <c r="BD443" i="1"/>
  <c r="BC443" i="1"/>
  <c r="BB443" i="1"/>
  <c r="BF442" i="1"/>
  <c r="BE442" i="1"/>
  <c r="BD442" i="1"/>
  <c r="BC442" i="1"/>
  <c r="BB442" i="1"/>
  <c r="BE441" i="1"/>
  <c r="BD441" i="1"/>
  <c r="BC441" i="1"/>
  <c r="BB441" i="1"/>
  <c r="BF441" i="1" s="1"/>
  <c r="BE440" i="1"/>
  <c r="BD440" i="1"/>
  <c r="BC440" i="1"/>
  <c r="BB440" i="1"/>
  <c r="BF440" i="1" s="1"/>
  <c r="BE439" i="1"/>
  <c r="BD439" i="1"/>
  <c r="BC439" i="1"/>
  <c r="BB439" i="1"/>
  <c r="BF439" i="1" s="1"/>
  <c r="BF438" i="1"/>
  <c r="BE438" i="1"/>
  <c r="BD438" i="1"/>
  <c r="BC438" i="1"/>
  <c r="BB438" i="1"/>
  <c r="BE437" i="1"/>
  <c r="BD437" i="1"/>
  <c r="BC437" i="1"/>
  <c r="BB437" i="1"/>
  <c r="BF437" i="1" s="1"/>
  <c r="BF436" i="1"/>
  <c r="BE436" i="1"/>
  <c r="BD436" i="1"/>
  <c r="BC436" i="1"/>
  <c r="BB436" i="1"/>
  <c r="BF435" i="1"/>
  <c r="BE435" i="1"/>
  <c r="BD435" i="1"/>
  <c r="BC435" i="1"/>
  <c r="BB435" i="1"/>
  <c r="BE434" i="1"/>
  <c r="BD434" i="1"/>
  <c r="BC434" i="1"/>
  <c r="BB434" i="1"/>
  <c r="BF434" i="1" s="1"/>
  <c r="BF433" i="1"/>
  <c r="BE433" i="1"/>
  <c r="BD433" i="1"/>
  <c r="BC433" i="1"/>
  <c r="BB433" i="1"/>
  <c r="BE432" i="1"/>
  <c r="BD432" i="1"/>
  <c r="BC432" i="1"/>
  <c r="BB432" i="1"/>
  <c r="BF432" i="1" s="1"/>
  <c r="BE431" i="1"/>
  <c r="BD431" i="1"/>
  <c r="BC431" i="1"/>
  <c r="BB431" i="1"/>
  <c r="BF431" i="1" s="1"/>
  <c r="BF430" i="1"/>
  <c r="BE430" i="1"/>
  <c r="BD430" i="1"/>
  <c r="BC430" i="1"/>
  <c r="BB430" i="1"/>
  <c r="BF429" i="1"/>
  <c r="BE429" i="1"/>
  <c r="BD429" i="1"/>
  <c r="BC429" i="1"/>
  <c r="BB429" i="1"/>
  <c r="BF428" i="1"/>
  <c r="BE428" i="1"/>
  <c r="BD428" i="1"/>
  <c r="BC428" i="1"/>
  <c r="BB428" i="1"/>
  <c r="BE427" i="1"/>
  <c r="BD427" i="1"/>
  <c r="BC427" i="1"/>
  <c r="BB427" i="1"/>
  <c r="BF427" i="1" s="1"/>
  <c r="BE426" i="1"/>
  <c r="BD426" i="1"/>
  <c r="BC426" i="1"/>
  <c r="BB426" i="1"/>
  <c r="BF426" i="1" s="1"/>
  <c r="BF425" i="1"/>
  <c r="BE425" i="1"/>
  <c r="BD425" i="1"/>
  <c r="BC425" i="1"/>
  <c r="BB425" i="1"/>
  <c r="BE424" i="1"/>
  <c r="BD424" i="1"/>
  <c r="BC424" i="1"/>
  <c r="BB424" i="1"/>
  <c r="BF424" i="1" s="1"/>
  <c r="BF423" i="1"/>
  <c r="BE423" i="1"/>
  <c r="BD423" i="1"/>
  <c r="BC423" i="1"/>
  <c r="BB423" i="1"/>
  <c r="BE422" i="1"/>
  <c r="BD422" i="1"/>
  <c r="BC422" i="1"/>
  <c r="BB422" i="1"/>
  <c r="BF422" i="1" s="1"/>
  <c r="BF421" i="1"/>
  <c r="BE421" i="1"/>
  <c r="BD421" i="1"/>
  <c r="BC421" i="1"/>
  <c r="BB421" i="1"/>
  <c r="BF420" i="1"/>
  <c r="BE420" i="1"/>
  <c r="BD420" i="1"/>
  <c r="BC420" i="1"/>
  <c r="BB420" i="1"/>
  <c r="BF419" i="1"/>
  <c r="BE419" i="1"/>
  <c r="BD419" i="1"/>
  <c r="BC419" i="1"/>
  <c r="BB419" i="1"/>
  <c r="BF418" i="1"/>
  <c r="BE418" i="1"/>
  <c r="BD418" i="1"/>
  <c r="BC418" i="1"/>
  <c r="BB418" i="1"/>
  <c r="BE417" i="1"/>
  <c r="BD417" i="1"/>
  <c r="BC417" i="1"/>
  <c r="BB417" i="1"/>
  <c r="BF417" i="1" s="1"/>
  <c r="BE416" i="1"/>
  <c r="BD416" i="1"/>
  <c r="BC416" i="1"/>
  <c r="BB416" i="1"/>
  <c r="BF416" i="1" s="1"/>
  <c r="BE415" i="1"/>
  <c r="BD415" i="1"/>
  <c r="BC415" i="1"/>
  <c r="BB415" i="1"/>
  <c r="BF415" i="1" s="1"/>
  <c r="BF414" i="1"/>
  <c r="BE414" i="1"/>
  <c r="BD414" i="1"/>
  <c r="BC414" i="1"/>
  <c r="BB414" i="1"/>
  <c r="BE413" i="1"/>
  <c r="BD413" i="1"/>
  <c r="BC413" i="1"/>
  <c r="BB413" i="1"/>
  <c r="BF413" i="1" s="1"/>
  <c r="BF412" i="1"/>
  <c r="BE412" i="1"/>
  <c r="BD412" i="1"/>
  <c r="BC412" i="1"/>
  <c r="BB412" i="1"/>
  <c r="BF411" i="1"/>
  <c r="BE411" i="1"/>
  <c r="BD411" i="1"/>
  <c r="BC411" i="1"/>
  <c r="BB411" i="1"/>
  <c r="BE410" i="1"/>
  <c r="BD410" i="1"/>
  <c r="BC410" i="1"/>
  <c r="BB410" i="1"/>
  <c r="BF410" i="1" s="1"/>
  <c r="BF409" i="1"/>
  <c r="BE409" i="1"/>
  <c r="BD409" i="1"/>
  <c r="BC409" i="1"/>
  <c r="BB409" i="1"/>
  <c r="BE408" i="1"/>
  <c r="BD408" i="1"/>
  <c r="BC408" i="1"/>
  <c r="BB408" i="1"/>
  <c r="BF408" i="1" s="1"/>
  <c r="BE407" i="1"/>
  <c r="BD407" i="1"/>
  <c r="BC407" i="1"/>
  <c r="BB407" i="1"/>
  <c r="BF407" i="1" s="1"/>
  <c r="BF406" i="1"/>
  <c r="BE406" i="1"/>
  <c r="BD406" i="1"/>
  <c r="BC406" i="1"/>
  <c r="BB406" i="1"/>
  <c r="BF405" i="1"/>
  <c r="BE405" i="1"/>
  <c r="BD405" i="1"/>
  <c r="BC405" i="1"/>
  <c r="BB405" i="1"/>
  <c r="BF404" i="1"/>
  <c r="BE404" i="1"/>
  <c r="BD404" i="1"/>
  <c r="BC404" i="1"/>
  <c r="BB404" i="1"/>
  <c r="BE403" i="1"/>
  <c r="BD403" i="1"/>
  <c r="BC403" i="1"/>
  <c r="BB403" i="1"/>
  <c r="BF403" i="1" s="1"/>
  <c r="BE402" i="1"/>
  <c r="BD402" i="1"/>
  <c r="BC402" i="1"/>
  <c r="BB402" i="1"/>
  <c r="BF402" i="1" s="1"/>
  <c r="BF401" i="1"/>
  <c r="BE401" i="1"/>
  <c r="BD401" i="1"/>
  <c r="BC401" i="1"/>
  <c r="BB401" i="1"/>
  <c r="BE400" i="1"/>
  <c r="BD400" i="1"/>
  <c r="BC400" i="1"/>
  <c r="BB400" i="1"/>
  <c r="BF400" i="1" s="1"/>
  <c r="BF399" i="1"/>
  <c r="BE399" i="1"/>
  <c r="BD399" i="1"/>
  <c r="BC399" i="1"/>
  <c r="BB399" i="1"/>
  <c r="BE398" i="1"/>
  <c r="BD398" i="1"/>
  <c r="BC398" i="1"/>
  <c r="BB398" i="1"/>
  <c r="BF398" i="1" s="1"/>
  <c r="BF397" i="1"/>
  <c r="BE397" i="1"/>
  <c r="BD397" i="1"/>
  <c r="BC397" i="1"/>
  <c r="BB397" i="1"/>
  <c r="BF396" i="1"/>
  <c r="BE396" i="1"/>
  <c r="BD396" i="1"/>
  <c r="BC396" i="1"/>
  <c r="BB396" i="1"/>
  <c r="BF395" i="1"/>
  <c r="BE395" i="1"/>
  <c r="BD395" i="1"/>
  <c r="BC395" i="1"/>
  <c r="BB395" i="1"/>
  <c r="BF394" i="1"/>
  <c r="BE394" i="1"/>
  <c r="BD394" i="1"/>
  <c r="BC394" i="1"/>
  <c r="BB394" i="1"/>
  <c r="BE393" i="1"/>
  <c r="BD393" i="1"/>
  <c r="BC393" i="1"/>
  <c r="BB393" i="1"/>
  <c r="BF393" i="1" s="1"/>
  <c r="BE392" i="1"/>
  <c r="BD392" i="1"/>
  <c r="BC392" i="1"/>
  <c r="BB392" i="1"/>
  <c r="BF392" i="1" s="1"/>
  <c r="BE391" i="1"/>
  <c r="BD391" i="1"/>
  <c r="BC391" i="1"/>
  <c r="BB391" i="1"/>
  <c r="BF391" i="1" s="1"/>
  <c r="BF390" i="1"/>
  <c r="BE390" i="1"/>
  <c r="BD390" i="1"/>
  <c r="BC390" i="1"/>
  <c r="BB390" i="1"/>
  <c r="BE389" i="1"/>
  <c r="BD389" i="1"/>
  <c r="BC389" i="1"/>
  <c r="BB389" i="1"/>
  <c r="BF389" i="1" s="1"/>
  <c r="BE388" i="1"/>
  <c r="BD388" i="1"/>
  <c r="BC388" i="1"/>
  <c r="BB388" i="1"/>
  <c r="BF388" i="1" s="1"/>
  <c r="BF387" i="1"/>
  <c r="BE387" i="1"/>
  <c r="BD387" i="1"/>
  <c r="BC387" i="1"/>
  <c r="BB387" i="1"/>
  <c r="BE386" i="1"/>
  <c r="BD386" i="1"/>
  <c r="BC386" i="1"/>
  <c r="BB386" i="1"/>
  <c r="BF386" i="1" s="1"/>
  <c r="BF385" i="1"/>
  <c r="BE385" i="1"/>
  <c r="BD385" i="1"/>
  <c r="BC385" i="1"/>
  <c r="BB385" i="1"/>
  <c r="BE384" i="1"/>
  <c r="BD384" i="1"/>
  <c r="BC384" i="1"/>
  <c r="BB384" i="1"/>
  <c r="BF384" i="1" s="1"/>
  <c r="BE383" i="1"/>
  <c r="BD383" i="1"/>
  <c r="BC383" i="1"/>
  <c r="BB383" i="1"/>
  <c r="BF383" i="1" s="1"/>
  <c r="BF382" i="1"/>
  <c r="BE382" i="1"/>
  <c r="BD382" i="1"/>
  <c r="BC382" i="1"/>
  <c r="BB382" i="1"/>
  <c r="BF381" i="1"/>
  <c r="BE381" i="1"/>
  <c r="BD381" i="1"/>
  <c r="BC381" i="1"/>
  <c r="BB381" i="1"/>
  <c r="BF380" i="1"/>
  <c r="BE380" i="1"/>
  <c r="BD380" i="1"/>
  <c r="BC380" i="1"/>
  <c r="BB380" i="1"/>
  <c r="BE379" i="1"/>
  <c r="BD379" i="1"/>
  <c r="BC379" i="1"/>
  <c r="BB379" i="1"/>
  <c r="BF379" i="1" s="1"/>
  <c r="BE378" i="1"/>
  <c r="BD378" i="1"/>
  <c r="BC378" i="1"/>
  <c r="BB378" i="1"/>
  <c r="BF378" i="1" s="1"/>
  <c r="BF377" i="1"/>
  <c r="BE377" i="1"/>
  <c r="BD377" i="1"/>
  <c r="BC377" i="1"/>
  <c r="BB377" i="1"/>
  <c r="BE376" i="1"/>
  <c r="BD376" i="1"/>
  <c r="BC376" i="1"/>
  <c r="BB376" i="1"/>
  <c r="BF376" i="1" s="1"/>
  <c r="BF375" i="1"/>
  <c r="BE375" i="1"/>
  <c r="BD375" i="1"/>
  <c r="BC375" i="1"/>
  <c r="BB375" i="1"/>
  <c r="BE374" i="1"/>
  <c r="BD374" i="1"/>
  <c r="BC374" i="1"/>
  <c r="BB374" i="1"/>
  <c r="BF374" i="1" s="1"/>
  <c r="BF373" i="1"/>
  <c r="BE373" i="1"/>
  <c r="BD373" i="1"/>
  <c r="BC373" i="1"/>
  <c r="BB373" i="1"/>
  <c r="BF372" i="1"/>
  <c r="BE372" i="1"/>
  <c r="BD372" i="1"/>
  <c r="BC372" i="1"/>
  <c r="BB372" i="1"/>
  <c r="BF371" i="1"/>
  <c r="BE371" i="1"/>
  <c r="BD371" i="1"/>
  <c r="BC371" i="1"/>
  <c r="BB371" i="1"/>
  <c r="BF370" i="1"/>
  <c r="BE370" i="1"/>
  <c r="BD370" i="1"/>
  <c r="BC370" i="1"/>
  <c r="BB370" i="1"/>
  <c r="BE369" i="1"/>
  <c r="BD369" i="1"/>
  <c r="BC369" i="1"/>
  <c r="BB369" i="1"/>
  <c r="BF369" i="1" s="1"/>
  <c r="BF368" i="1"/>
  <c r="BE368" i="1"/>
  <c r="BD368" i="1"/>
  <c r="BC368" i="1"/>
  <c r="BB368" i="1"/>
  <c r="BE367" i="1"/>
  <c r="BD367" i="1"/>
  <c r="BC367" i="1"/>
  <c r="BB367" i="1"/>
  <c r="BF367" i="1" s="1"/>
  <c r="BE366" i="1"/>
  <c r="BD366" i="1"/>
  <c r="BC366" i="1"/>
  <c r="BB366" i="1"/>
  <c r="BF366" i="1" s="1"/>
  <c r="BE365" i="1"/>
  <c r="BD365" i="1"/>
  <c r="BC365" i="1"/>
  <c r="BB365" i="1"/>
  <c r="BF365" i="1" s="1"/>
  <c r="BE364" i="1"/>
  <c r="BD364" i="1"/>
  <c r="BC364" i="1"/>
  <c r="BB364" i="1"/>
  <c r="BF364" i="1" s="1"/>
  <c r="BF363" i="1"/>
  <c r="BE363" i="1"/>
  <c r="BD363" i="1"/>
  <c r="BC363" i="1"/>
  <c r="BB363" i="1"/>
  <c r="BE362" i="1"/>
  <c r="BD362" i="1"/>
  <c r="BC362" i="1"/>
  <c r="BB362" i="1"/>
  <c r="BF362" i="1" s="1"/>
  <c r="BF361" i="1"/>
  <c r="BE361" i="1"/>
  <c r="BD361" i="1"/>
  <c r="BC361" i="1"/>
  <c r="BB361" i="1"/>
  <c r="BF360" i="1"/>
  <c r="BE360" i="1"/>
  <c r="BD360" i="1"/>
  <c r="BC360" i="1"/>
  <c r="BB360" i="1"/>
  <c r="BE359" i="1"/>
  <c r="BD359" i="1"/>
  <c r="BC359" i="1"/>
  <c r="BB359" i="1"/>
  <c r="BF359" i="1" s="1"/>
  <c r="BF358" i="1"/>
  <c r="BE358" i="1"/>
  <c r="BD358" i="1"/>
  <c r="BC358" i="1"/>
  <c r="BB358" i="1"/>
  <c r="BF357" i="1"/>
  <c r="BE357" i="1"/>
  <c r="BD357" i="1"/>
  <c r="BC357" i="1"/>
  <c r="BB357" i="1"/>
  <c r="BF356" i="1"/>
  <c r="BE356" i="1"/>
  <c r="BD356" i="1"/>
  <c r="BC356" i="1"/>
  <c r="BB356" i="1"/>
  <c r="BE355" i="1"/>
  <c r="BD355" i="1"/>
  <c r="BC355" i="1"/>
  <c r="BB355" i="1"/>
  <c r="BF355" i="1" s="1"/>
  <c r="BE354" i="1"/>
  <c r="BD354" i="1"/>
  <c r="BC354" i="1"/>
  <c r="BB354" i="1"/>
  <c r="BF354" i="1" s="1"/>
  <c r="BF353" i="1"/>
  <c r="BE353" i="1"/>
  <c r="BD353" i="1"/>
  <c r="BC353" i="1"/>
  <c r="BB353" i="1"/>
  <c r="BE352" i="1"/>
  <c r="BD352" i="1"/>
  <c r="BC352" i="1"/>
  <c r="BB352" i="1"/>
  <c r="BF352" i="1" s="1"/>
  <c r="BF351" i="1"/>
  <c r="BE351" i="1"/>
  <c r="BD351" i="1"/>
  <c r="BC351" i="1"/>
  <c r="BB351" i="1"/>
  <c r="BF350" i="1"/>
  <c r="BE350" i="1"/>
  <c r="BD350" i="1"/>
  <c r="BC350" i="1"/>
  <c r="BB350" i="1"/>
  <c r="BF349" i="1"/>
  <c r="BE349" i="1"/>
  <c r="BD349" i="1"/>
  <c r="BC349" i="1"/>
  <c r="BB349" i="1"/>
  <c r="BF348" i="1"/>
  <c r="BE348" i="1"/>
  <c r="BD348" i="1"/>
  <c r="BC348" i="1"/>
  <c r="BB348" i="1"/>
  <c r="BF347" i="1"/>
  <c r="BE347" i="1"/>
  <c r="BD347" i="1"/>
  <c r="BC347" i="1"/>
  <c r="BB347" i="1"/>
  <c r="BF346" i="1"/>
  <c r="BE346" i="1"/>
  <c r="BD346" i="1"/>
  <c r="BC346" i="1"/>
  <c r="BB346" i="1"/>
  <c r="BE345" i="1"/>
  <c r="BD345" i="1"/>
  <c r="BC345" i="1"/>
  <c r="BB345" i="1"/>
  <c r="BF345" i="1" s="1"/>
  <c r="BF344" i="1"/>
  <c r="BE344" i="1"/>
  <c r="BD344" i="1"/>
  <c r="BC344" i="1"/>
  <c r="BB344" i="1"/>
  <c r="BE343" i="1"/>
  <c r="BD343" i="1"/>
  <c r="BC343" i="1"/>
  <c r="BB343" i="1"/>
  <c r="BF343" i="1" s="1"/>
  <c r="BF342" i="1"/>
  <c r="BE342" i="1"/>
  <c r="BD342" i="1"/>
  <c r="BC342" i="1"/>
  <c r="BB342" i="1"/>
  <c r="BE341" i="1"/>
  <c r="BD341" i="1"/>
  <c r="BC341" i="1"/>
  <c r="BB341" i="1"/>
  <c r="BF341" i="1" s="1"/>
  <c r="BE340" i="1"/>
  <c r="BD340" i="1"/>
  <c r="BC340" i="1"/>
  <c r="BB340" i="1"/>
  <c r="BF340" i="1" s="1"/>
  <c r="BF339" i="1"/>
  <c r="BE339" i="1"/>
  <c r="BD339" i="1"/>
  <c r="BC339" i="1"/>
  <c r="BB339" i="1"/>
  <c r="BE338" i="1"/>
  <c r="BD338" i="1"/>
  <c r="BC338" i="1"/>
  <c r="BB338" i="1"/>
  <c r="BF338" i="1" s="1"/>
  <c r="BF337" i="1"/>
  <c r="BE337" i="1"/>
  <c r="BD337" i="1"/>
  <c r="BC337" i="1"/>
  <c r="BB337" i="1"/>
  <c r="BE336" i="1"/>
  <c r="BD336" i="1"/>
  <c r="BC336" i="1"/>
  <c r="BB336" i="1"/>
  <c r="BF336" i="1" s="1"/>
  <c r="BE335" i="1"/>
  <c r="BD335" i="1"/>
  <c r="BC335" i="1"/>
  <c r="BB335" i="1"/>
  <c r="BF335" i="1" s="1"/>
  <c r="BF334" i="1"/>
  <c r="BE334" i="1"/>
  <c r="BD334" i="1"/>
  <c r="BC334" i="1"/>
  <c r="BB334" i="1"/>
  <c r="BF333" i="1"/>
  <c r="BE333" i="1"/>
  <c r="BD333" i="1"/>
  <c r="BC333" i="1"/>
  <c r="BB333" i="1"/>
  <c r="BF332" i="1"/>
  <c r="BE332" i="1"/>
  <c r="BD332" i="1"/>
  <c r="BC332" i="1"/>
  <c r="BB332" i="1"/>
  <c r="BF331" i="1"/>
  <c r="BE331" i="1"/>
  <c r="BD331" i="1"/>
  <c r="BC331" i="1"/>
  <c r="BB331" i="1"/>
  <c r="BF330" i="1"/>
  <c r="BE330" i="1"/>
  <c r="BD330" i="1"/>
  <c r="BC330" i="1"/>
  <c r="BB330" i="1"/>
  <c r="BF329" i="1"/>
  <c r="BE329" i="1"/>
  <c r="BD329" i="1"/>
  <c r="BC329" i="1"/>
  <c r="BB329" i="1"/>
  <c r="BE328" i="1"/>
  <c r="BD328" i="1"/>
  <c r="BC328" i="1"/>
  <c r="BB328" i="1"/>
  <c r="BF328" i="1" s="1"/>
  <c r="BF327" i="1"/>
  <c r="BE327" i="1"/>
  <c r="BD327" i="1"/>
  <c r="BC327" i="1"/>
  <c r="BB327" i="1"/>
  <c r="BE326" i="1"/>
  <c r="BD326" i="1"/>
  <c r="BC326" i="1"/>
  <c r="BB326" i="1"/>
  <c r="BF326" i="1" s="1"/>
  <c r="BF325" i="1"/>
  <c r="BE325" i="1"/>
  <c r="BD325" i="1"/>
  <c r="BC325" i="1"/>
  <c r="BB325" i="1"/>
  <c r="BF324" i="1"/>
  <c r="BE324" i="1"/>
  <c r="BD324" i="1"/>
  <c r="BC324" i="1"/>
  <c r="BB324" i="1"/>
  <c r="BF323" i="1"/>
  <c r="BE323" i="1"/>
  <c r="BD323" i="1"/>
  <c r="BC323" i="1"/>
  <c r="BB323" i="1"/>
  <c r="BF322" i="1"/>
  <c r="BE322" i="1"/>
  <c r="BD322" i="1"/>
  <c r="BC322" i="1"/>
  <c r="BB322" i="1"/>
  <c r="BE321" i="1"/>
  <c r="BD321" i="1"/>
  <c r="BC321" i="1"/>
  <c r="BB321" i="1"/>
  <c r="BF321" i="1" s="1"/>
  <c r="BF320" i="1"/>
  <c r="BE320" i="1"/>
  <c r="BD320" i="1"/>
  <c r="BC320" i="1"/>
  <c r="BB320" i="1"/>
  <c r="BF319" i="1"/>
  <c r="BE319" i="1"/>
  <c r="BD319" i="1"/>
  <c r="BC319" i="1"/>
  <c r="BB319" i="1"/>
  <c r="BF318" i="1"/>
  <c r="BE318" i="1"/>
  <c r="BD318" i="1"/>
  <c r="BC318" i="1"/>
  <c r="BB318" i="1"/>
  <c r="BE317" i="1"/>
  <c r="BD317" i="1"/>
  <c r="BC317" i="1"/>
  <c r="BB317" i="1"/>
  <c r="BF317" i="1" s="1"/>
  <c r="BE316" i="1"/>
  <c r="BD316" i="1"/>
  <c r="BC316" i="1"/>
  <c r="BB316" i="1"/>
  <c r="BF316" i="1" s="1"/>
  <c r="BF315" i="1"/>
  <c r="BE315" i="1"/>
  <c r="BD315" i="1"/>
  <c r="BC315" i="1"/>
  <c r="BB315" i="1"/>
  <c r="BE314" i="1"/>
  <c r="BD314" i="1"/>
  <c r="BC314" i="1"/>
  <c r="BB314" i="1"/>
  <c r="BF314" i="1" s="1"/>
  <c r="BF313" i="1"/>
  <c r="BE313" i="1"/>
  <c r="BD313" i="1"/>
  <c r="BC313" i="1"/>
  <c r="BB313" i="1"/>
  <c r="BE312" i="1"/>
  <c r="BD312" i="1"/>
  <c r="BC312" i="1"/>
  <c r="BB312" i="1"/>
  <c r="BF312" i="1" s="1"/>
  <c r="BF311" i="1"/>
  <c r="BE311" i="1"/>
  <c r="BD311" i="1"/>
  <c r="BC311" i="1"/>
  <c r="BB311" i="1"/>
  <c r="BF310" i="1"/>
  <c r="BE310" i="1"/>
  <c r="BD310" i="1"/>
  <c r="BC310" i="1"/>
  <c r="BB310" i="1"/>
  <c r="BF309" i="1"/>
  <c r="BE309" i="1"/>
  <c r="BD309" i="1"/>
  <c r="BC309" i="1"/>
  <c r="BB309" i="1"/>
  <c r="BF308" i="1"/>
  <c r="BE308" i="1"/>
  <c r="BD308" i="1"/>
  <c r="BC308" i="1"/>
  <c r="BB308" i="1"/>
  <c r="BF307" i="1"/>
  <c r="BE307" i="1"/>
  <c r="BD307" i="1"/>
  <c r="BC307" i="1"/>
  <c r="BB307" i="1"/>
  <c r="BF306" i="1"/>
  <c r="BE306" i="1"/>
  <c r="BD306" i="1"/>
  <c r="BC306" i="1"/>
  <c r="BB306" i="1"/>
  <c r="BF305" i="1"/>
  <c r="BE305" i="1"/>
  <c r="BD305" i="1"/>
  <c r="BC305" i="1"/>
  <c r="BB305" i="1"/>
  <c r="BE304" i="1"/>
  <c r="BD304" i="1"/>
  <c r="BC304" i="1"/>
  <c r="BB304" i="1"/>
  <c r="BF304" i="1" s="1"/>
  <c r="BF303" i="1"/>
  <c r="BE303" i="1"/>
  <c r="BD303" i="1"/>
  <c r="BC303" i="1"/>
  <c r="BB303" i="1"/>
  <c r="BE302" i="1"/>
  <c r="BD302" i="1"/>
  <c r="BC302" i="1"/>
  <c r="BB302" i="1"/>
  <c r="BF302" i="1" s="1"/>
  <c r="BF301" i="1"/>
  <c r="BE301" i="1"/>
  <c r="BD301" i="1"/>
  <c r="BC301" i="1"/>
  <c r="BB301" i="1"/>
  <c r="BF300" i="1"/>
  <c r="BE300" i="1"/>
  <c r="BD300" i="1"/>
  <c r="BC300" i="1"/>
  <c r="BB300" i="1"/>
  <c r="BF299" i="1"/>
  <c r="BE299" i="1"/>
  <c r="BD299" i="1"/>
  <c r="BC299" i="1"/>
  <c r="BB299" i="1"/>
  <c r="BF298" i="1"/>
  <c r="BE298" i="1"/>
  <c r="BD298" i="1"/>
  <c r="BC298" i="1"/>
  <c r="BB298" i="1"/>
  <c r="BE297" i="1"/>
  <c r="BD297" i="1"/>
  <c r="BC297" i="1"/>
  <c r="BB297" i="1"/>
  <c r="BF297" i="1" s="1"/>
  <c r="BF296" i="1"/>
  <c r="BE296" i="1"/>
  <c r="BD296" i="1"/>
  <c r="BC296" i="1"/>
  <c r="BB296" i="1"/>
  <c r="BE295" i="1"/>
  <c r="BD295" i="1"/>
  <c r="BC295" i="1"/>
  <c r="BB295" i="1"/>
  <c r="BF295" i="1" s="1"/>
  <c r="BF294" i="1"/>
  <c r="BE294" i="1"/>
  <c r="BD294" i="1"/>
  <c r="BC294" i="1"/>
  <c r="BB294" i="1"/>
  <c r="BE293" i="1"/>
  <c r="BD293" i="1"/>
  <c r="BC293" i="1"/>
  <c r="BB293" i="1"/>
  <c r="BF293" i="1" s="1"/>
  <c r="BE292" i="1"/>
  <c r="BD292" i="1"/>
  <c r="BC292" i="1"/>
  <c r="BB292" i="1"/>
  <c r="BF292" i="1" s="1"/>
  <c r="BF291" i="1"/>
  <c r="BE291" i="1"/>
  <c r="BD291" i="1"/>
  <c r="BC291" i="1"/>
  <c r="BB291" i="1"/>
  <c r="BE290" i="1"/>
  <c r="BD290" i="1"/>
  <c r="BC290" i="1"/>
  <c r="BB290" i="1"/>
  <c r="BF290" i="1" s="1"/>
  <c r="BF289" i="1"/>
  <c r="BE289" i="1"/>
  <c r="BD289" i="1"/>
  <c r="BC289" i="1"/>
  <c r="BB289" i="1"/>
  <c r="BE288" i="1"/>
  <c r="BD288" i="1"/>
  <c r="BC288" i="1"/>
  <c r="BB288" i="1"/>
  <c r="BF288" i="1" s="1"/>
  <c r="BF287" i="1"/>
  <c r="BE287" i="1"/>
  <c r="BD287" i="1"/>
  <c r="BC287" i="1"/>
  <c r="BB287" i="1"/>
  <c r="BF286" i="1"/>
  <c r="BE286" i="1"/>
  <c r="BD286" i="1"/>
  <c r="BC286" i="1"/>
  <c r="BB286" i="1"/>
  <c r="BF285" i="1"/>
  <c r="BE285" i="1"/>
  <c r="BD285" i="1"/>
  <c r="BC285" i="1"/>
  <c r="BB285" i="1"/>
  <c r="BF284" i="1"/>
  <c r="BE284" i="1"/>
  <c r="BD284" i="1"/>
  <c r="BC284" i="1"/>
  <c r="BB284" i="1"/>
  <c r="BE283" i="1"/>
  <c r="BD283" i="1"/>
  <c r="BC283" i="1"/>
  <c r="BB283" i="1"/>
  <c r="BF283" i="1" s="1"/>
  <c r="BE282" i="1"/>
  <c r="BD282" i="1"/>
  <c r="BC282" i="1"/>
  <c r="BB282" i="1"/>
  <c r="BF282" i="1" s="1"/>
  <c r="BE281" i="1"/>
  <c r="BD281" i="1"/>
  <c r="BC281" i="1"/>
  <c r="BB281" i="1"/>
  <c r="BF281" i="1" s="1"/>
  <c r="BE280" i="1"/>
  <c r="BD280" i="1"/>
  <c r="BC280" i="1"/>
  <c r="BB280" i="1"/>
  <c r="BF280" i="1" s="1"/>
  <c r="BF279" i="1"/>
  <c r="BE279" i="1"/>
  <c r="BD279" i="1"/>
  <c r="BC279" i="1"/>
  <c r="BB279" i="1"/>
  <c r="BE278" i="1"/>
  <c r="BD278" i="1"/>
  <c r="BC278" i="1"/>
  <c r="BB278" i="1"/>
  <c r="BF278" i="1" s="1"/>
  <c r="BF277" i="1"/>
  <c r="BE277" i="1"/>
  <c r="BD277" i="1"/>
  <c r="BC277" i="1"/>
  <c r="BB277" i="1"/>
  <c r="BF276" i="1"/>
  <c r="BE276" i="1"/>
  <c r="BD276" i="1"/>
  <c r="BC276" i="1"/>
  <c r="BB276" i="1"/>
  <c r="BF275" i="1"/>
  <c r="BE275" i="1"/>
  <c r="BD275" i="1"/>
  <c r="BC275" i="1"/>
  <c r="BB275" i="1"/>
  <c r="BF274" i="1"/>
  <c r="BE274" i="1"/>
  <c r="BD274" i="1"/>
  <c r="BC274" i="1"/>
  <c r="BB274" i="1"/>
  <c r="BE273" i="1"/>
  <c r="BD273" i="1"/>
  <c r="BC273" i="1"/>
  <c r="BB273" i="1"/>
  <c r="BF273" i="1" s="1"/>
  <c r="BF272" i="1"/>
  <c r="BE272" i="1"/>
  <c r="BD272" i="1"/>
  <c r="BC272" i="1"/>
  <c r="BB272" i="1"/>
  <c r="BF271" i="1"/>
  <c r="BE271" i="1"/>
  <c r="BD271" i="1"/>
  <c r="BC271" i="1"/>
  <c r="BB271" i="1"/>
  <c r="BF270" i="1"/>
  <c r="BE270" i="1"/>
  <c r="BD270" i="1"/>
  <c r="BC270" i="1"/>
  <c r="BB270" i="1"/>
  <c r="BE269" i="1"/>
  <c r="BD269" i="1"/>
  <c r="BC269" i="1"/>
  <c r="BB269" i="1"/>
  <c r="BF269" i="1" s="1"/>
  <c r="BE268" i="1"/>
  <c r="BD268" i="1"/>
  <c r="BC268" i="1"/>
  <c r="BB268" i="1"/>
  <c r="BF268" i="1" s="1"/>
  <c r="BF267" i="1"/>
  <c r="BE267" i="1"/>
  <c r="BD267" i="1"/>
  <c r="BC267" i="1"/>
  <c r="BB267" i="1"/>
  <c r="BF266" i="1"/>
  <c r="BE266" i="1"/>
  <c r="BD266" i="1"/>
  <c r="BC266" i="1"/>
  <c r="BB266" i="1"/>
  <c r="BF265" i="1"/>
  <c r="BE265" i="1"/>
  <c r="BD265" i="1"/>
  <c r="BC265" i="1"/>
  <c r="BB265" i="1"/>
  <c r="BE264" i="1"/>
  <c r="BD264" i="1"/>
  <c r="BC264" i="1"/>
  <c r="BB264" i="1"/>
  <c r="BF264" i="1" s="1"/>
  <c r="BE263" i="1"/>
  <c r="BD263" i="1"/>
  <c r="BC263" i="1"/>
  <c r="BB263" i="1"/>
  <c r="BF263" i="1" s="1"/>
  <c r="BF262" i="1"/>
  <c r="BE262" i="1"/>
  <c r="BD262" i="1"/>
  <c r="BC262" i="1"/>
  <c r="BB262" i="1"/>
  <c r="BF261" i="1"/>
  <c r="BE261" i="1"/>
  <c r="BD261" i="1"/>
  <c r="BC261" i="1"/>
  <c r="BB261" i="1"/>
  <c r="BF260" i="1"/>
  <c r="BE260" i="1"/>
  <c r="BD260" i="1"/>
  <c r="BC260" i="1"/>
  <c r="BB260" i="1"/>
  <c r="BE259" i="1"/>
  <c r="BD259" i="1"/>
  <c r="BC259" i="1"/>
  <c r="BB259" i="1"/>
  <c r="BF259" i="1" s="1"/>
  <c r="BE258" i="1"/>
  <c r="BD258" i="1"/>
  <c r="BC258" i="1"/>
  <c r="BB258" i="1"/>
  <c r="BF258" i="1" s="1"/>
  <c r="BF257" i="1"/>
  <c r="BE257" i="1"/>
  <c r="BD257" i="1"/>
  <c r="BC257" i="1"/>
  <c r="BB257" i="1"/>
  <c r="BF256" i="1"/>
  <c r="BE256" i="1"/>
  <c r="BD256" i="1"/>
  <c r="BC256" i="1"/>
  <c r="BB256" i="1"/>
  <c r="BF255" i="1"/>
  <c r="BE255" i="1"/>
  <c r="BD255" i="1"/>
  <c r="BC255" i="1"/>
  <c r="BB255" i="1"/>
  <c r="BE254" i="1"/>
  <c r="BD254" i="1"/>
  <c r="BC254" i="1"/>
  <c r="BB254" i="1"/>
  <c r="BF254" i="1" s="1"/>
  <c r="BF253" i="1"/>
  <c r="BE253" i="1"/>
  <c r="BD253" i="1"/>
  <c r="BC253" i="1"/>
  <c r="BB253" i="1"/>
  <c r="BF252" i="1"/>
  <c r="BE252" i="1"/>
  <c r="BD252" i="1"/>
  <c r="BC252" i="1"/>
  <c r="BB252" i="1"/>
  <c r="BF251" i="1"/>
  <c r="BE251" i="1"/>
  <c r="BD251" i="1"/>
  <c r="BC251" i="1"/>
  <c r="BB251" i="1"/>
  <c r="BF250" i="1"/>
  <c r="BE250" i="1"/>
  <c r="BD250" i="1"/>
  <c r="BC250" i="1"/>
  <c r="BB250" i="1"/>
  <c r="BF249" i="1"/>
  <c r="BE249" i="1"/>
  <c r="BD249" i="1"/>
  <c r="BC249" i="1"/>
  <c r="BB249" i="1"/>
  <c r="BF248" i="1"/>
  <c r="BE248" i="1"/>
  <c r="BD248" i="1"/>
  <c r="BC248" i="1"/>
  <c r="BB248" i="1"/>
  <c r="BE247" i="1"/>
  <c r="BD247" i="1"/>
  <c r="BC247" i="1"/>
  <c r="BB247" i="1"/>
  <c r="BF247" i="1" s="1"/>
  <c r="BF246" i="1"/>
  <c r="BE246" i="1"/>
  <c r="BD246" i="1"/>
  <c r="BC246" i="1"/>
  <c r="BB246" i="1"/>
  <c r="BF245" i="1"/>
  <c r="BE245" i="1"/>
  <c r="BD245" i="1"/>
  <c r="BC245" i="1"/>
  <c r="BB245" i="1"/>
  <c r="BF244" i="1"/>
  <c r="BE244" i="1"/>
  <c r="BD244" i="1"/>
  <c r="BC244" i="1"/>
  <c r="BB244" i="1"/>
  <c r="BF243" i="1"/>
  <c r="BE243" i="1"/>
  <c r="BD243" i="1"/>
  <c r="BC243" i="1"/>
  <c r="BB243" i="1"/>
  <c r="BE242" i="1"/>
  <c r="BD242" i="1"/>
  <c r="BC242" i="1"/>
  <c r="BB242" i="1"/>
  <c r="BF242" i="1" s="1"/>
  <c r="BF241" i="1"/>
  <c r="BE241" i="1"/>
  <c r="BD241" i="1"/>
  <c r="BC241" i="1"/>
  <c r="BB241" i="1"/>
  <c r="BE240" i="1"/>
  <c r="BD240" i="1"/>
  <c r="BC240" i="1"/>
  <c r="BB240" i="1"/>
  <c r="BF240" i="1" s="1"/>
  <c r="BE239" i="1"/>
  <c r="BD239" i="1"/>
  <c r="BC239" i="1"/>
  <c r="BB239" i="1"/>
  <c r="BF239" i="1" s="1"/>
  <c r="BF238" i="1"/>
  <c r="BE238" i="1"/>
  <c r="BD238" i="1"/>
  <c r="BC238" i="1"/>
  <c r="BB238" i="1"/>
  <c r="BF237" i="1"/>
  <c r="BE237" i="1"/>
  <c r="BD237" i="1"/>
  <c r="BC237" i="1"/>
  <c r="BB237" i="1"/>
  <c r="BF236" i="1"/>
  <c r="BE236" i="1"/>
  <c r="BD236" i="1"/>
  <c r="BC236" i="1"/>
  <c r="BB236" i="1"/>
  <c r="BE235" i="1"/>
  <c r="BD235" i="1"/>
  <c r="BC235" i="1"/>
  <c r="BB235" i="1"/>
  <c r="BF235" i="1" s="1"/>
  <c r="BE234" i="1"/>
  <c r="BD234" i="1"/>
  <c r="BC234" i="1"/>
  <c r="BB234" i="1"/>
  <c r="BF234" i="1" s="1"/>
  <c r="BF233" i="1"/>
  <c r="BE233" i="1"/>
  <c r="BD233" i="1"/>
  <c r="BC233" i="1"/>
  <c r="BB233" i="1"/>
  <c r="BE232" i="1"/>
  <c r="BD232" i="1"/>
  <c r="BC232" i="1"/>
  <c r="BB232" i="1"/>
  <c r="BF232" i="1" s="1"/>
  <c r="BF231" i="1"/>
  <c r="BE231" i="1"/>
  <c r="BD231" i="1"/>
  <c r="BC231" i="1"/>
  <c r="BB231" i="1"/>
  <c r="BE230" i="1"/>
  <c r="BD230" i="1"/>
  <c r="BC230" i="1"/>
  <c r="BB230" i="1"/>
  <c r="BF230" i="1" s="1"/>
  <c r="BF229" i="1"/>
  <c r="BE229" i="1"/>
  <c r="BD229" i="1"/>
  <c r="BC229" i="1"/>
  <c r="BB229" i="1"/>
  <c r="BF228" i="1"/>
  <c r="BE228" i="1"/>
  <c r="BD228" i="1"/>
  <c r="BC228" i="1"/>
  <c r="BB228" i="1"/>
  <c r="BF227" i="1"/>
  <c r="BE227" i="1"/>
  <c r="BD227" i="1"/>
  <c r="BC227" i="1"/>
  <c r="BB227" i="1"/>
  <c r="BF226" i="1"/>
  <c r="BE226" i="1"/>
  <c r="BD226" i="1"/>
  <c r="BC226" i="1"/>
  <c r="BB226" i="1"/>
  <c r="BE225" i="1"/>
  <c r="BD225" i="1"/>
  <c r="BC225" i="1"/>
  <c r="BB225" i="1"/>
  <c r="BF225" i="1" s="1"/>
  <c r="BF224" i="1"/>
  <c r="BE224" i="1"/>
  <c r="BD224" i="1"/>
  <c r="BC224" i="1"/>
  <c r="BB224" i="1"/>
  <c r="BE223" i="1"/>
  <c r="BD223" i="1"/>
  <c r="BC223" i="1"/>
  <c r="BB223" i="1"/>
  <c r="BF223" i="1" s="1"/>
  <c r="BF222" i="1"/>
  <c r="BE222" i="1"/>
  <c r="BD222" i="1"/>
  <c r="BC222" i="1"/>
  <c r="BB222" i="1"/>
  <c r="BE221" i="1"/>
  <c r="BD221" i="1"/>
  <c r="BC221" i="1"/>
  <c r="BB221" i="1"/>
  <c r="BF221" i="1" s="1"/>
  <c r="BE220" i="1"/>
  <c r="BD220" i="1"/>
  <c r="BC220" i="1"/>
  <c r="BB220" i="1"/>
  <c r="BF220" i="1" s="1"/>
  <c r="BF219" i="1"/>
  <c r="BE219" i="1"/>
  <c r="BD219" i="1"/>
  <c r="BC219" i="1"/>
  <c r="BB219" i="1"/>
  <c r="BE218" i="1"/>
  <c r="BD218" i="1"/>
  <c r="BC218" i="1"/>
  <c r="BB218" i="1"/>
  <c r="BF218" i="1" s="1"/>
  <c r="BF217" i="1"/>
  <c r="BE217" i="1"/>
  <c r="BD217" i="1"/>
  <c r="BC217" i="1"/>
  <c r="BB217" i="1"/>
  <c r="BE216" i="1"/>
  <c r="BD216" i="1"/>
  <c r="BC216" i="1"/>
  <c r="BB216" i="1"/>
  <c r="BF216" i="1" s="1"/>
  <c r="BE215" i="1"/>
  <c r="BD215" i="1"/>
  <c r="BC215" i="1"/>
  <c r="BB215" i="1"/>
  <c r="BF215" i="1" s="1"/>
  <c r="BF214" i="1"/>
  <c r="BE214" i="1"/>
  <c r="BD214" i="1"/>
  <c r="BC214" i="1"/>
  <c r="BB214" i="1"/>
  <c r="BE213" i="1"/>
  <c r="BD213" i="1"/>
  <c r="BC213" i="1"/>
  <c r="BB213" i="1"/>
  <c r="BF213" i="1" s="1"/>
  <c r="BF212" i="1"/>
  <c r="BE212" i="1"/>
  <c r="BD212" i="1"/>
  <c r="BC212" i="1"/>
  <c r="BB212" i="1"/>
  <c r="BE211" i="1"/>
  <c r="BD211" i="1"/>
  <c r="BC211" i="1"/>
  <c r="BB211" i="1"/>
  <c r="BF211" i="1" s="1"/>
  <c r="BE210" i="1"/>
  <c r="BD210" i="1"/>
  <c r="BC210" i="1"/>
  <c r="BB210" i="1"/>
  <c r="BF210" i="1" s="1"/>
  <c r="BF209" i="1"/>
  <c r="BE209" i="1"/>
  <c r="BD209" i="1"/>
  <c r="BC209" i="1"/>
  <c r="BB209" i="1"/>
  <c r="BE208" i="1"/>
  <c r="BD208" i="1"/>
  <c r="BC208" i="1"/>
  <c r="BB208" i="1"/>
  <c r="BF208" i="1" s="1"/>
  <c r="BF207" i="1"/>
  <c r="BE207" i="1"/>
  <c r="BD207" i="1"/>
  <c r="BC207" i="1"/>
  <c r="BB207" i="1"/>
  <c r="BE206" i="1"/>
  <c r="BD206" i="1"/>
  <c r="BC206" i="1"/>
  <c r="BB206" i="1"/>
  <c r="BF206" i="1" s="1"/>
  <c r="BF205" i="1"/>
  <c r="BE205" i="1"/>
  <c r="BD205" i="1"/>
  <c r="BC205" i="1"/>
  <c r="BB205" i="1"/>
  <c r="BF204" i="1"/>
  <c r="BE204" i="1"/>
  <c r="BD204" i="1"/>
  <c r="BC204" i="1"/>
  <c r="BB204" i="1"/>
  <c r="BF203" i="1"/>
  <c r="BE203" i="1"/>
  <c r="BD203" i="1"/>
  <c r="BC203" i="1"/>
  <c r="BB203" i="1"/>
  <c r="BF202" i="1"/>
  <c r="BE202" i="1"/>
  <c r="BD202" i="1"/>
  <c r="BC202" i="1"/>
  <c r="BB202" i="1"/>
  <c r="BE201" i="1"/>
  <c r="BD201" i="1"/>
  <c r="BC201" i="1"/>
  <c r="BB201" i="1"/>
  <c r="BF201" i="1" s="1"/>
  <c r="BF200" i="1"/>
  <c r="BE200" i="1"/>
  <c r="BD200" i="1"/>
  <c r="BC200" i="1"/>
  <c r="BB200" i="1"/>
  <c r="BE199" i="1"/>
  <c r="BD199" i="1"/>
  <c r="BC199" i="1"/>
  <c r="BB199" i="1"/>
  <c r="BF199" i="1" s="1"/>
  <c r="BE198" i="1"/>
  <c r="BD198" i="1"/>
  <c r="BC198" i="1"/>
  <c r="BB198" i="1"/>
  <c r="BF198" i="1" s="1"/>
  <c r="BE197" i="1"/>
  <c r="BD197" i="1"/>
  <c r="BC197" i="1"/>
  <c r="BB197" i="1"/>
  <c r="BF197" i="1" s="1"/>
  <c r="BE196" i="1"/>
  <c r="BD196" i="1"/>
  <c r="BC196" i="1"/>
  <c r="BB196" i="1"/>
  <c r="BF196" i="1" s="1"/>
  <c r="BF195" i="1"/>
  <c r="BE195" i="1"/>
  <c r="BD195" i="1"/>
  <c r="BC195" i="1"/>
  <c r="BB195" i="1"/>
  <c r="BE194" i="1"/>
  <c r="BD194" i="1"/>
  <c r="BC194" i="1"/>
  <c r="BB194" i="1"/>
  <c r="BF194" i="1" s="1"/>
  <c r="BF193" i="1"/>
  <c r="BE193" i="1"/>
  <c r="BD193" i="1"/>
  <c r="BC193" i="1"/>
  <c r="BB193" i="1"/>
  <c r="BE192" i="1"/>
  <c r="BD192" i="1"/>
  <c r="BC192" i="1"/>
  <c r="BB192" i="1"/>
  <c r="BF192" i="1" s="1"/>
  <c r="BE191" i="1"/>
  <c r="BD191" i="1"/>
  <c r="BC191" i="1"/>
  <c r="BB191" i="1"/>
  <c r="BF191" i="1" s="1"/>
  <c r="BF190" i="1"/>
  <c r="BE190" i="1"/>
  <c r="BD190" i="1"/>
  <c r="BC190" i="1"/>
  <c r="BB190" i="1"/>
  <c r="BE189" i="1"/>
  <c r="BD189" i="1"/>
  <c r="BC189" i="1"/>
  <c r="BB189" i="1"/>
  <c r="BF189" i="1" s="1"/>
  <c r="BF188" i="1"/>
  <c r="BE188" i="1"/>
  <c r="BD188" i="1"/>
  <c r="BC188" i="1"/>
  <c r="BB188" i="1"/>
  <c r="BF187" i="1"/>
  <c r="BE187" i="1"/>
  <c r="BD187" i="1"/>
  <c r="BC187" i="1"/>
  <c r="BB187" i="1"/>
  <c r="BE186" i="1"/>
  <c r="BD186" i="1"/>
  <c r="BC186" i="1"/>
  <c r="BB186" i="1"/>
  <c r="BF186" i="1" s="1"/>
  <c r="BF185" i="1"/>
  <c r="BE185" i="1"/>
  <c r="BD185" i="1"/>
  <c r="BC185" i="1"/>
  <c r="BB185" i="1"/>
  <c r="BE184" i="1"/>
  <c r="BD184" i="1"/>
  <c r="BC184" i="1"/>
  <c r="BB184" i="1"/>
  <c r="BF184" i="1" s="1"/>
  <c r="BE183" i="1"/>
  <c r="BD183" i="1"/>
  <c r="BC183" i="1"/>
  <c r="BB183" i="1"/>
  <c r="BF183" i="1" s="1"/>
  <c r="BE182" i="1"/>
  <c r="BD182" i="1"/>
  <c r="BC182" i="1"/>
  <c r="BB182" i="1"/>
  <c r="BF182" i="1" s="1"/>
  <c r="BF181" i="1"/>
  <c r="BE181" i="1"/>
  <c r="BD181" i="1"/>
  <c r="BC181" i="1"/>
  <c r="BB181" i="1"/>
  <c r="BF180" i="1"/>
  <c r="BE180" i="1"/>
  <c r="BD180" i="1"/>
  <c r="BC180" i="1"/>
  <c r="BB180" i="1"/>
  <c r="BF179" i="1"/>
  <c r="BE179" i="1"/>
  <c r="BD179" i="1"/>
  <c r="BC179" i="1"/>
  <c r="BB179" i="1"/>
  <c r="BF178" i="1"/>
  <c r="BE178" i="1"/>
  <c r="BD178" i="1"/>
  <c r="BC178" i="1"/>
  <c r="BB178" i="1"/>
  <c r="BE177" i="1"/>
  <c r="BD177" i="1"/>
  <c r="BC177" i="1"/>
  <c r="BB177" i="1"/>
  <c r="BF177" i="1" s="1"/>
  <c r="BF176" i="1"/>
  <c r="BE176" i="1"/>
  <c r="BD176" i="1"/>
  <c r="BC176" i="1"/>
  <c r="BB176" i="1"/>
  <c r="BE175" i="1"/>
  <c r="BD175" i="1"/>
  <c r="BC175" i="1"/>
  <c r="BB175" i="1"/>
  <c r="BF175" i="1" s="1"/>
  <c r="BE174" i="1"/>
  <c r="BD174" i="1"/>
  <c r="BC174" i="1"/>
  <c r="BB174" i="1"/>
  <c r="BF174" i="1" s="1"/>
  <c r="BE173" i="1"/>
  <c r="BD173" i="1"/>
  <c r="BC173" i="1"/>
  <c r="BB173" i="1"/>
  <c r="BF173" i="1" s="1"/>
  <c r="BE172" i="1"/>
  <c r="BD172" i="1"/>
  <c r="BC172" i="1"/>
  <c r="BB172" i="1"/>
  <c r="BF172" i="1" s="1"/>
  <c r="BE171" i="1"/>
  <c r="BD171" i="1"/>
  <c r="BC171" i="1"/>
  <c r="BB171" i="1"/>
  <c r="BF171" i="1" s="1"/>
  <c r="BE170" i="1"/>
  <c r="BD170" i="1"/>
  <c r="BC170" i="1"/>
  <c r="BB170" i="1"/>
  <c r="BF170" i="1" s="1"/>
  <c r="BF169" i="1"/>
  <c r="BE169" i="1"/>
  <c r="BD169" i="1"/>
  <c r="BC169" i="1"/>
  <c r="BB169" i="1"/>
  <c r="BE168" i="1"/>
  <c r="BD168" i="1"/>
  <c r="BC168" i="1"/>
  <c r="BB168" i="1"/>
  <c r="BF168" i="1" s="1"/>
  <c r="BE167" i="1"/>
  <c r="BD167" i="1"/>
  <c r="BC167" i="1"/>
  <c r="BB167" i="1"/>
  <c r="BF167" i="1" s="1"/>
  <c r="BF166" i="1"/>
  <c r="BE166" i="1"/>
  <c r="BD166" i="1"/>
  <c r="BC166" i="1"/>
  <c r="BB166" i="1"/>
  <c r="BF165" i="1"/>
  <c r="BE165" i="1"/>
  <c r="BD165" i="1"/>
  <c r="BC165" i="1"/>
  <c r="BB165" i="1"/>
  <c r="BF164" i="1"/>
  <c r="BE164" i="1"/>
  <c r="BD164" i="1"/>
  <c r="BC164" i="1"/>
  <c r="BB164" i="1"/>
  <c r="BF163" i="1"/>
  <c r="BE163" i="1"/>
  <c r="BD163" i="1"/>
  <c r="BC163" i="1"/>
  <c r="BB163" i="1"/>
  <c r="BE162" i="1"/>
  <c r="BD162" i="1"/>
  <c r="BC162" i="1"/>
  <c r="BB162" i="1"/>
  <c r="BF162" i="1" s="1"/>
  <c r="BF161" i="1"/>
  <c r="BE161" i="1"/>
  <c r="BD161" i="1"/>
  <c r="BC161" i="1"/>
  <c r="BB161" i="1"/>
  <c r="BE160" i="1"/>
  <c r="BD160" i="1"/>
  <c r="BC160" i="1"/>
  <c r="BB160" i="1"/>
  <c r="BF160" i="1" s="1"/>
  <c r="BE159" i="1"/>
  <c r="BD159" i="1"/>
  <c r="BC159" i="1"/>
  <c r="BB159" i="1"/>
  <c r="BF159" i="1" s="1"/>
  <c r="BE158" i="1"/>
  <c r="BD158" i="1"/>
  <c r="BC158" i="1"/>
  <c r="BB158" i="1"/>
  <c r="BF158" i="1" s="1"/>
  <c r="BF157" i="1"/>
  <c r="BE157" i="1"/>
  <c r="BD157" i="1"/>
  <c r="BC157" i="1"/>
  <c r="BB157" i="1"/>
  <c r="BF156" i="1"/>
  <c r="BE156" i="1"/>
  <c r="BD156" i="1"/>
  <c r="BC156" i="1"/>
  <c r="BB156" i="1"/>
  <c r="BF155" i="1"/>
  <c r="BE155" i="1"/>
  <c r="BD155" i="1"/>
  <c r="BC155" i="1"/>
  <c r="BB155" i="1"/>
  <c r="BF154" i="1"/>
  <c r="BE154" i="1"/>
  <c r="BD154" i="1"/>
  <c r="BC154" i="1"/>
  <c r="BB154" i="1"/>
  <c r="BE153" i="1"/>
  <c r="BD153" i="1"/>
  <c r="BC153" i="1"/>
  <c r="BB153" i="1"/>
  <c r="BF153" i="1" s="1"/>
  <c r="BF152" i="1"/>
  <c r="BE152" i="1"/>
  <c r="BD152" i="1"/>
  <c r="BC152" i="1"/>
  <c r="BB152" i="1"/>
  <c r="BF151" i="1"/>
  <c r="BE151" i="1"/>
  <c r="BD151" i="1"/>
  <c r="BC151" i="1"/>
  <c r="BB151" i="1"/>
  <c r="BF150" i="1"/>
  <c r="BE150" i="1"/>
  <c r="BD150" i="1"/>
  <c r="BC150" i="1"/>
  <c r="BB150" i="1"/>
  <c r="BF149" i="1"/>
  <c r="BE149" i="1"/>
  <c r="BD149" i="1"/>
  <c r="BC149" i="1"/>
  <c r="BB149" i="1"/>
  <c r="BF148" i="1"/>
  <c r="BE148" i="1"/>
  <c r="BD148" i="1"/>
  <c r="BC148" i="1"/>
  <c r="BB148" i="1"/>
  <c r="BE147" i="1"/>
  <c r="BD147" i="1"/>
  <c r="BC147" i="1"/>
  <c r="BB147" i="1"/>
  <c r="BF147" i="1" s="1"/>
  <c r="BE146" i="1"/>
  <c r="BD146" i="1"/>
  <c r="BC146" i="1"/>
  <c r="BB146" i="1"/>
  <c r="BF146" i="1" s="1"/>
  <c r="BF145" i="1"/>
  <c r="BE145" i="1"/>
  <c r="BD145" i="1"/>
  <c r="BC145" i="1"/>
  <c r="BB145" i="1"/>
  <c r="BE144" i="1"/>
  <c r="BD144" i="1"/>
  <c r="BC144" i="1"/>
  <c r="BB144" i="1"/>
  <c r="BF144" i="1" s="1"/>
  <c r="BE143" i="1"/>
  <c r="BD143" i="1"/>
  <c r="BC143" i="1"/>
  <c r="BB143" i="1"/>
  <c r="BF143" i="1" s="1"/>
  <c r="BF142" i="1"/>
  <c r="BE142" i="1"/>
  <c r="BD142" i="1"/>
  <c r="BC142" i="1"/>
  <c r="BB142" i="1"/>
  <c r="BE141" i="1"/>
  <c r="BD141" i="1"/>
  <c r="BC141" i="1"/>
  <c r="BB141" i="1"/>
  <c r="BF141" i="1" s="1"/>
  <c r="BF140" i="1"/>
  <c r="BE140" i="1"/>
  <c r="BD140" i="1"/>
  <c r="BC140" i="1"/>
  <c r="BB140" i="1"/>
  <c r="BF139" i="1"/>
  <c r="BE139" i="1"/>
  <c r="BD139" i="1"/>
  <c r="BC139" i="1"/>
  <c r="BB139" i="1"/>
  <c r="BE138" i="1"/>
  <c r="BD138" i="1"/>
  <c r="BC138" i="1"/>
  <c r="BB138" i="1"/>
  <c r="BF138" i="1" s="1"/>
  <c r="BF137" i="1"/>
  <c r="BE137" i="1"/>
  <c r="BD137" i="1"/>
  <c r="BC137" i="1"/>
  <c r="BB137" i="1"/>
  <c r="BE136" i="1"/>
  <c r="BD136" i="1"/>
  <c r="BC136" i="1"/>
  <c r="BB136" i="1"/>
  <c r="BF136" i="1" s="1"/>
  <c r="BE135" i="1"/>
  <c r="BD135" i="1"/>
  <c r="BC135" i="1"/>
  <c r="BB135" i="1"/>
  <c r="BF135" i="1" s="1"/>
  <c r="BF134" i="1"/>
  <c r="BE134" i="1"/>
  <c r="BD134" i="1"/>
  <c r="BC134" i="1"/>
  <c r="BB134" i="1"/>
  <c r="BF133" i="1"/>
  <c r="BE133" i="1"/>
  <c r="BD133" i="1"/>
  <c r="BC133" i="1"/>
  <c r="BB133" i="1"/>
  <c r="BF132" i="1"/>
  <c r="BE132" i="1"/>
  <c r="BD132" i="1"/>
  <c r="BC132" i="1"/>
  <c r="BB132" i="1"/>
  <c r="BF131" i="1"/>
  <c r="BE131" i="1"/>
  <c r="BD131" i="1"/>
  <c r="BC131" i="1"/>
  <c r="BB131" i="1"/>
  <c r="BF130" i="1"/>
  <c r="BE130" i="1"/>
  <c r="BD130" i="1"/>
  <c r="BC130" i="1"/>
  <c r="BB130" i="1"/>
  <c r="BE129" i="1"/>
  <c r="BD129" i="1"/>
  <c r="BC129" i="1"/>
  <c r="BB129" i="1"/>
  <c r="BF129" i="1" s="1"/>
  <c r="BF128" i="1"/>
  <c r="BE128" i="1"/>
  <c r="BD128" i="1"/>
  <c r="BC128" i="1"/>
  <c r="BB128" i="1"/>
  <c r="BF127" i="1"/>
  <c r="BE127" i="1"/>
  <c r="BD127" i="1"/>
  <c r="BC127" i="1"/>
  <c r="BB127" i="1"/>
  <c r="BF126" i="1"/>
  <c r="BE126" i="1"/>
  <c r="BD126" i="1"/>
  <c r="BC126" i="1"/>
  <c r="BB126" i="1"/>
  <c r="BE125" i="1"/>
  <c r="BD125" i="1"/>
  <c r="BC125" i="1"/>
  <c r="BB125" i="1"/>
  <c r="BF125" i="1" s="1"/>
  <c r="BE124" i="1"/>
  <c r="BD124" i="1"/>
  <c r="BC124" i="1"/>
  <c r="BB124" i="1"/>
  <c r="BF124" i="1" s="1"/>
  <c r="BE123" i="1"/>
  <c r="BD123" i="1"/>
  <c r="BC123" i="1"/>
  <c r="BB123" i="1"/>
  <c r="BF123" i="1" s="1"/>
  <c r="BE122" i="1"/>
  <c r="BD122" i="1"/>
  <c r="BC122" i="1"/>
  <c r="BB122" i="1"/>
  <c r="BF122" i="1" s="1"/>
  <c r="BF121" i="1"/>
  <c r="BE121" i="1"/>
  <c r="BD121" i="1"/>
  <c r="BC121" i="1"/>
  <c r="BB121" i="1"/>
  <c r="BE120" i="1"/>
  <c r="BD120" i="1"/>
  <c r="BC120" i="1"/>
  <c r="BB120" i="1"/>
  <c r="BF120" i="1" s="1"/>
  <c r="BF119" i="1"/>
  <c r="BE119" i="1"/>
  <c r="BD119" i="1"/>
  <c r="BC119" i="1"/>
  <c r="BB119" i="1"/>
  <c r="BF118" i="1"/>
  <c r="BE118" i="1"/>
  <c r="BD118" i="1"/>
  <c r="BC118" i="1"/>
  <c r="BB118" i="1"/>
  <c r="BE117" i="1"/>
  <c r="BD117" i="1"/>
  <c r="BC117" i="1"/>
  <c r="BB117" i="1"/>
  <c r="BF117" i="1" s="1"/>
  <c r="BF116" i="1"/>
  <c r="BE116" i="1"/>
  <c r="BD116" i="1"/>
  <c r="BC116" i="1"/>
  <c r="BB116" i="1"/>
  <c r="BF115" i="1"/>
  <c r="BE115" i="1"/>
  <c r="BD115" i="1"/>
  <c r="BC115" i="1"/>
  <c r="BB115" i="1"/>
  <c r="BE114" i="1"/>
  <c r="BD114" i="1"/>
  <c r="BC114" i="1"/>
  <c r="BB114" i="1"/>
  <c r="BF114" i="1" s="1"/>
  <c r="BF113" i="1"/>
  <c r="BE113" i="1"/>
  <c r="BD113" i="1"/>
  <c r="BC113" i="1"/>
  <c r="BB113" i="1"/>
  <c r="BE112" i="1"/>
  <c r="BD112" i="1"/>
  <c r="BC112" i="1"/>
  <c r="BB112" i="1"/>
  <c r="BF112" i="1" s="1"/>
  <c r="BE111" i="1"/>
  <c r="BD111" i="1"/>
  <c r="BC111" i="1"/>
  <c r="BB111" i="1"/>
  <c r="BF111" i="1" s="1"/>
  <c r="BE110" i="1"/>
  <c r="BD110" i="1"/>
  <c r="BC110" i="1"/>
  <c r="BB110" i="1"/>
  <c r="BF110" i="1" s="1"/>
  <c r="BF109" i="1"/>
  <c r="BE109" i="1"/>
  <c r="BD109" i="1"/>
  <c r="BC109" i="1"/>
  <c r="BB109" i="1"/>
  <c r="BE108" i="1"/>
  <c r="BD108" i="1"/>
  <c r="BC108" i="1"/>
  <c r="BB108" i="1"/>
  <c r="M12" i="2" s="1"/>
  <c r="BF107" i="1"/>
  <c r="BE107" i="1"/>
  <c r="BD107" i="1"/>
  <c r="BC107" i="1"/>
  <c r="BB107" i="1"/>
  <c r="BF106" i="1"/>
  <c r="BE106" i="1"/>
  <c r="BD106" i="1"/>
  <c r="BC106" i="1"/>
  <c r="BB106" i="1"/>
  <c r="BE105" i="1"/>
  <c r="BD105" i="1"/>
  <c r="BC105" i="1"/>
  <c r="BB105" i="1"/>
  <c r="BF105" i="1" s="1"/>
  <c r="BF104" i="1"/>
  <c r="BE104" i="1"/>
  <c r="BD104" i="1"/>
  <c r="BC104" i="1"/>
  <c r="BB104" i="1"/>
  <c r="BF103" i="1"/>
  <c r="BE103" i="1"/>
  <c r="BD103" i="1"/>
  <c r="BC103" i="1"/>
  <c r="BB103" i="1"/>
  <c r="BF102" i="1"/>
  <c r="BE102" i="1"/>
  <c r="BD102" i="1"/>
  <c r="BC102" i="1"/>
  <c r="BB102" i="1"/>
  <c r="BF101" i="1"/>
  <c r="BE101" i="1"/>
  <c r="BD101" i="1"/>
  <c r="BC101" i="1"/>
  <c r="BB101" i="1"/>
  <c r="BF100" i="1"/>
  <c r="BE100" i="1"/>
  <c r="BD100" i="1"/>
  <c r="BC100" i="1"/>
  <c r="BB100" i="1"/>
  <c r="BE99" i="1"/>
  <c r="BD99" i="1"/>
  <c r="BC99" i="1"/>
  <c r="BB99" i="1"/>
  <c r="BF99" i="1" s="1"/>
  <c r="BE98" i="1"/>
  <c r="BD98" i="1"/>
  <c r="BC98" i="1"/>
  <c r="BB98" i="1"/>
  <c r="BF98" i="1" s="1"/>
  <c r="BF97" i="1"/>
  <c r="BE97" i="1"/>
  <c r="BD97" i="1"/>
  <c r="BC97" i="1"/>
  <c r="BB97" i="1"/>
  <c r="BE96" i="1"/>
  <c r="BD96" i="1"/>
  <c r="BC96" i="1"/>
  <c r="BB96" i="1"/>
  <c r="BF96" i="1" s="1"/>
  <c r="BE95" i="1"/>
  <c r="BD95" i="1"/>
  <c r="BC95" i="1"/>
  <c r="BB95" i="1"/>
  <c r="BF95" i="1" s="1"/>
  <c r="BF94" i="1"/>
  <c r="BE94" i="1"/>
  <c r="BD94" i="1"/>
  <c r="BC94" i="1"/>
  <c r="BB94" i="1"/>
  <c r="BE93" i="1"/>
  <c r="BD93" i="1"/>
  <c r="BC93" i="1"/>
  <c r="BB93" i="1"/>
  <c r="BF93" i="1" s="1"/>
  <c r="BF92" i="1"/>
  <c r="BE92" i="1"/>
  <c r="BD92" i="1"/>
  <c r="BC92" i="1"/>
  <c r="BB92" i="1"/>
  <c r="BF91" i="1"/>
  <c r="BE91" i="1"/>
  <c r="BD91" i="1"/>
  <c r="BC91" i="1"/>
  <c r="BB91" i="1"/>
  <c r="BE90" i="1"/>
  <c r="BD90" i="1"/>
  <c r="BC90" i="1"/>
  <c r="BB90" i="1"/>
  <c r="BF90" i="1" s="1"/>
  <c r="BF89" i="1"/>
  <c r="BE89" i="1"/>
  <c r="BD89" i="1"/>
  <c r="BC89" i="1"/>
  <c r="BB89" i="1"/>
  <c r="BF88" i="1"/>
  <c r="BE88" i="1"/>
  <c r="BD88" i="1"/>
  <c r="BC88" i="1"/>
  <c r="BB88" i="1"/>
  <c r="BE87" i="1"/>
  <c r="BD87" i="1"/>
  <c r="BC87" i="1"/>
  <c r="BB87" i="1"/>
  <c r="BF87" i="1" s="1"/>
  <c r="BE86" i="1"/>
  <c r="BD86" i="1"/>
  <c r="BC86" i="1"/>
  <c r="BB86" i="1"/>
  <c r="BF86" i="1" s="1"/>
  <c r="BF85" i="1"/>
  <c r="BE85" i="1"/>
  <c r="BD85" i="1"/>
  <c r="BC85" i="1"/>
  <c r="BB85" i="1"/>
  <c r="BE84" i="1"/>
  <c r="BD84" i="1"/>
  <c r="BC84" i="1"/>
  <c r="BB84" i="1"/>
  <c r="BF83" i="1"/>
  <c r="BE83" i="1"/>
  <c r="BD83" i="1"/>
  <c r="BC83" i="1"/>
  <c r="BB83" i="1"/>
  <c r="BE82" i="1"/>
  <c r="BD82" i="1"/>
  <c r="BC82" i="1"/>
  <c r="BB82" i="1"/>
  <c r="BF82" i="1" s="1"/>
  <c r="BE81" i="1"/>
  <c r="BD81" i="1"/>
  <c r="BC81" i="1"/>
  <c r="BB81" i="1"/>
  <c r="BF81" i="1" s="1"/>
  <c r="BF80" i="1"/>
  <c r="BE80" i="1"/>
  <c r="BD80" i="1"/>
  <c r="BC80" i="1"/>
  <c r="BB80" i="1"/>
  <c r="BF79" i="1"/>
  <c r="BE79" i="1"/>
  <c r="BD79" i="1"/>
  <c r="BC79" i="1"/>
  <c r="BB79" i="1"/>
  <c r="BF78" i="1"/>
  <c r="BE78" i="1"/>
  <c r="BD78" i="1"/>
  <c r="BC78" i="1"/>
  <c r="BB78" i="1"/>
  <c r="BE77" i="1"/>
  <c r="BD77" i="1"/>
  <c r="BC77" i="1"/>
  <c r="BB77" i="1"/>
  <c r="BF77" i="1" s="1"/>
  <c r="BE76" i="1"/>
  <c r="BD76" i="1"/>
  <c r="BC76" i="1"/>
  <c r="BB76" i="1"/>
  <c r="BF76" i="1" s="1"/>
  <c r="BE75" i="1"/>
  <c r="BD75" i="1"/>
  <c r="BC75" i="1"/>
  <c r="BB75" i="1"/>
  <c r="BF75" i="1" s="1"/>
  <c r="BE74" i="1"/>
  <c r="BD74" i="1"/>
  <c r="BC74" i="1"/>
  <c r="BB74" i="1"/>
  <c r="BF74" i="1" s="1"/>
  <c r="BF73" i="1"/>
  <c r="BE73" i="1"/>
  <c r="BD73" i="1"/>
  <c r="BC73" i="1"/>
  <c r="BB73" i="1"/>
  <c r="BE72" i="1"/>
  <c r="BD72" i="1"/>
  <c r="BC72" i="1"/>
  <c r="BB72" i="1"/>
  <c r="BF72" i="1" s="1"/>
  <c r="BE71" i="1"/>
  <c r="BD71" i="1"/>
  <c r="BC71" i="1"/>
  <c r="BB71" i="1"/>
  <c r="BF71" i="1" s="1"/>
  <c r="BF70" i="1"/>
  <c r="BE70" i="1"/>
  <c r="BD70" i="1"/>
  <c r="BC70" i="1"/>
  <c r="BB70" i="1"/>
  <c r="BE69" i="1"/>
  <c r="BD69" i="1"/>
  <c r="BC69" i="1"/>
  <c r="BB69" i="1"/>
  <c r="BF69" i="1" s="1"/>
  <c r="BF68" i="1"/>
  <c r="BE68" i="1"/>
  <c r="BD68" i="1"/>
  <c r="BC68" i="1"/>
  <c r="BB68" i="1"/>
  <c r="BF67" i="1"/>
  <c r="BE67" i="1"/>
  <c r="BD67" i="1"/>
  <c r="BC67" i="1"/>
  <c r="BB67" i="1"/>
  <c r="BE66" i="1"/>
  <c r="BD66" i="1"/>
  <c r="BC66" i="1"/>
  <c r="BB66" i="1"/>
  <c r="BF66" i="1" s="1"/>
  <c r="BF65" i="1"/>
  <c r="BE65" i="1"/>
  <c r="BD65" i="1"/>
  <c r="BC65" i="1"/>
  <c r="BB65" i="1"/>
  <c r="BE64" i="1"/>
  <c r="BD64" i="1"/>
  <c r="BC64" i="1"/>
  <c r="BB64" i="1"/>
  <c r="BF64" i="1" s="1"/>
  <c r="BE63" i="1"/>
  <c r="BD63" i="1"/>
  <c r="BC63" i="1"/>
  <c r="BB63" i="1"/>
  <c r="BF63" i="1" s="1"/>
  <c r="BE62" i="1"/>
  <c r="BD62" i="1"/>
  <c r="BC62" i="1"/>
  <c r="BB62" i="1"/>
  <c r="BF62" i="1" s="1"/>
  <c r="BF61" i="1"/>
  <c r="BE61" i="1"/>
  <c r="BD61" i="1"/>
  <c r="BC61" i="1"/>
  <c r="BB61" i="1"/>
  <c r="BF60" i="1"/>
  <c r="BE60" i="1"/>
  <c r="BD60" i="1"/>
  <c r="BC60" i="1"/>
  <c r="BB60" i="1"/>
  <c r="BF59" i="1"/>
  <c r="BE59" i="1"/>
  <c r="BD59" i="1"/>
  <c r="BC59" i="1"/>
  <c r="BB59" i="1"/>
  <c r="BF58" i="1"/>
  <c r="BE58" i="1"/>
  <c r="BD58" i="1"/>
  <c r="BC58" i="1"/>
  <c r="BB58" i="1"/>
  <c r="BE57" i="1"/>
  <c r="BD57" i="1"/>
  <c r="BC57" i="1"/>
  <c r="BB57" i="1"/>
  <c r="BF57" i="1" s="1"/>
  <c r="BF56" i="1"/>
  <c r="BE56" i="1"/>
  <c r="BD56" i="1"/>
  <c r="BC56" i="1"/>
  <c r="BB56" i="1"/>
  <c r="BF55" i="1"/>
  <c r="BE55" i="1"/>
  <c r="BD55" i="1"/>
  <c r="BC55" i="1"/>
  <c r="BB55" i="1"/>
  <c r="BE54" i="1"/>
  <c r="BD54" i="1"/>
  <c r="BC54" i="1"/>
  <c r="BB54" i="1"/>
  <c r="BF54" i="1" s="1"/>
  <c r="BE53" i="1"/>
  <c r="BD53" i="1"/>
  <c r="BC53" i="1"/>
  <c r="BB53" i="1"/>
  <c r="BF53" i="1" s="1"/>
  <c r="BE52" i="1"/>
  <c r="BD52" i="1"/>
  <c r="BC52" i="1"/>
  <c r="BB52" i="1"/>
  <c r="BF52" i="1" s="1"/>
  <c r="BE51" i="1"/>
  <c r="BD51" i="1"/>
  <c r="BC51" i="1"/>
  <c r="BB51" i="1"/>
  <c r="BF51" i="1" s="1"/>
  <c r="BE50" i="1"/>
  <c r="BD50" i="1"/>
  <c r="BC50" i="1"/>
  <c r="BB50" i="1"/>
  <c r="BF50" i="1" s="1"/>
  <c r="BF49" i="1"/>
  <c r="BE49" i="1"/>
  <c r="BD49" i="1"/>
  <c r="BC49" i="1"/>
  <c r="BB49" i="1"/>
  <c r="BE48" i="1"/>
  <c r="BD48" i="1"/>
  <c r="BC48" i="1"/>
  <c r="BB48" i="1"/>
  <c r="BF48" i="1" s="1"/>
  <c r="BE47" i="1"/>
  <c r="BD47" i="1"/>
  <c r="BC47" i="1"/>
  <c r="BB47" i="1"/>
  <c r="BF47" i="1" s="1"/>
  <c r="BF46" i="1"/>
  <c r="BE46" i="1"/>
  <c r="BD46" i="1"/>
  <c r="BC46" i="1"/>
  <c r="BB46" i="1"/>
  <c r="BE45" i="1"/>
  <c r="BD45" i="1"/>
  <c r="BC45" i="1"/>
  <c r="BB45" i="1"/>
  <c r="BF45" i="1" s="1"/>
  <c r="BF44" i="1"/>
  <c r="BE44" i="1"/>
  <c r="BD44" i="1"/>
  <c r="BC44" i="1"/>
  <c r="BB44" i="1"/>
  <c r="BE43" i="1"/>
  <c r="BD43" i="1"/>
  <c r="BC43" i="1"/>
  <c r="BB43" i="1"/>
  <c r="BF43" i="1" s="1"/>
  <c r="BE42" i="1"/>
  <c r="BD42" i="1"/>
  <c r="BC42" i="1"/>
  <c r="BB42" i="1"/>
  <c r="BF42" i="1" s="1"/>
  <c r="BF41" i="1"/>
  <c r="BE41" i="1"/>
  <c r="BD41" i="1"/>
  <c r="BC41" i="1"/>
  <c r="BB41" i="1"/>
  <c r="BE40" i="1"/>
  <c r="BD40" i="1"/>
  <c r="BC40" i="1"/>
  <c r="BB40" i="1"/>
  <c r="BF40" i="1" s="1"/>
  <c r="BE39" i="1"/>
  <c r="BD39" i="1"/>
  <c r="BC39" i="1"/>
  <c r="BB39" i="1"/>
  <c r="BF39" i="1" s="1"/>
  <c r="BE38" i="1"/>
  <c r="BD38" i="1"/>
  <c r="BC38" i="1"/>
  <c r="BB38" i="1"/>
  <c r="BF38" i="1" s="1"/>
  <c r="BF37" i="1"/>
  <c r="BE37" i="1"/>
  <c r="BD37" i="1"/>
  <c r="BC37" i="1"/>
  <c r="BB37" i="1"/>
  <c r="BF36" i="1"/>
  <c r="BE36" i="1"/>
  <c r="BD36" i="1"/>
  <c r="BC36" i="1"/>
  <c r="BB36" i="1"/>
  <c r="BF35" i="1"/>
  <c r="BE35" i="1"/>
  <c r="BD35" i="1"/>
  <c r="BC35" i="1"/>
  <c r="BB35" i="1"/>
  <c r="BF34" i="1"/>
  <c r="BE34" i="1"/>
  <c r="BD34" i="1"/>
  <c r="BC34" i="1"/>
  <c r="BB34" i="1"/>
  <c r="BE33" i="1"/>
  <c r="BD33" i="1"/>
  <c r="BC33" i="1"/>
  <c r="BB33" i="1"/>
  <c r="BF33" i="1" s="1"/>
  <c r="BE32" i="1"/>
  <c r="BD32" i="1"/>
  <c r="BC32" i="1"/>
  <c r="BB32" i="1"/>
  <c r="BF32" i="1" s="1"/>
  <c r="BE31" i="1"/>
  <c r="BD31" i="1"/>
  <c r="BC31" i="1"/>
  <c r="BB31" i="1"/>
  <c r="BF30" i="1"/>
  <c r="BE30" i="1"/>
  <c r="BD30" i="1"/>
  <c r="BC30" i="1"/>
  <c r="BB30" i="1"/>
  <c r="BF29" i="1"/>
  <c r="BE29" i="1"/>
  <c r="BD29" i="1"/>
  <c r="BC29" i="1"/>
  <c r="BB29" i="1"/>
  <c r="BE28" i="1"/>
  <c r="BD28" i="1"/>
  <c r="BC28" i="1"/>
  <c r="BB28" i="1"/>
  <c r="BF28" i="1" s="1"/>
  <c r="BE27" i="1"/>
  <c r="BD27" i="1"/>
  <c r="BC27" i="1"/>
  <c r="BB27" i="1"/>
  <c r="BF27" i="1" s="1"/>
  <c r="BE26" i="1"/>
  <c r="BD26" i="1"/>
  <c r="BC26" i="1"/>
  <c r="BB26" i="1"/>
  <c r="BF26" i="1" s="1"/>
  <c r="BF25" i="1"/>
  <c r="BE25" i="1"/>
  <c r="BD25" i="1"/>
  <c r="BC25" i="1"/>
  <c r="BB25" i="1"/>
  <c r="BE24" i="1"/>
  <c r="BD24" i="1"/>
  <c r="BC24" i="1"/>
  <c r="BB24" i="1"/>
  <c r="BF24" i="1" s="1"/>
  <c r="BE23" i="1"/>
  <c r="BD23" i="1"/>
  <c r="BC23" i="1"/>
  <c r="BB23" i="1"/>
  <c r="BF23" i="1" s="1"/>
  <c r="BF22" i="1"/>
  <c r="BE22" i="1"/>
  <c r="BD22" i="1"/>
  <c r="BC22" i="1"/>
  <c r="BB22" i="1"/>
  <c r="BE21" i="1"/>
  <c r="BD21" i="1"/>
  <c r="BC21" i="1"/>
  <c r="BB21" i="1"/>
  <c r="BF21" i="1" s="1"/>
  <c r="BF20" i="1"/>
  <c r="BE20" i="1"/>
  <c r="BD20" i="1"/>
  <c r="BC20" i="1"/>
  <c r="BB20" i="1"/>
  <c r="BE19" i="1"/>
  <c r="BD19" i="1"/>
  <c r="BC19" i="1"/>
  <c r="BB19" i="1"/>
  <c r="BF19" i="1" s="1"/>
  <c r="BE18" i="1"/>
  <c r="BD18" i="1"/>
  <c r="BC18" i="1"/>
  <c r="BB18" i="1"/>
  <c r="BF18" i="1" s="1"/>
  <c r="BF17" i="1"/>
  <c r="BE17" i="1"/>
  <c r="BD17" i="1"/>
  <c r="BC17" i="1"/>
  <c r="BB17" i="1"/>
  <c r="BE16" i="1"/>
  <c r="BD16" i="1"/>
  <c r="BC16" i="1"/>
  <c r="BB16" i="1"/>
  <c r="BF16" i="1" s="1"/>
  <c r="BE15" i="1"/>
  <c r="BD15" i="1"/>
  <c r="BC15" i="1"/>
  <c r="BB15" i="1"/>
  <c r="BF15" i="1" s="1"/>
  <c r="BE14" i="1"/>
  <c r="BD14" i="1"/>
  <c r="BC14" i="1"/>
  <c r="BB14" i="1"/>
  <c r="BF14" i="1" s="1"/>
  <c r="BF13" i="1"/>
  <c r="BE13" i="1"/>
  <c r="BD13" i="1"/>
  <c r="BC13" i="1"/>
  <c r="BB13" i="1"/>
  <c r="BF12" i="1"/>
  <c r="BE12" i="1"/>
  <c r="BD12" i="1"/>
  <c r="BC12" i="1"/>
  <c r="BB12" i="1"/>
  <c r="BF11" i="1"/>
  <c r="BE11" i="1"/>
  <c r="BD11" i="1"/>
  <c r="BC11" i="1"/>
  <c r="BB11" i="1"/>
  <c r="BF10" i="1"/>
  <c r="BE10" i="1"/>
  <c r="BD10" i="1"/>
  <c r="BC10" i="1"/>
  <c r="BB10" i="1"/>
  <c r="BE9" i="1"/>
  <c r="BD9" i="1"/>
  <c r="BC9" i="1"/>
  <c r="BB9" i="1"/>
  <c r="BF9" i="1" s="1"/>
  <c r="BF8" i="1"/>
  <c r="BE8" i="1"/>
  <c r="BD8" i="1"/>
  <c r="BC8" i="1"/>
  <c r="BB8" i="1"/>
  <c r="BF7" i="1"/>
  <c r="BE7" i="1"/>
  <c r="BD7" i="1"/>
  <c r="BC7" i="1"/>
  <c r="BB7" i="1"/>
  <c r="BE6" i="1"/>
  <c r="BD6" i="1"/>
  <c r="BC6" i="1"/>
  <c r="BB6" i="1"/>
  <c r="BF6" i="1" s="1"/>
  <c r="BE5" i="1"/>
  <c r="BD5" i="1"/>
  <c r="BC5" i="1"/>
  <c r="BB5" i="1"/>
  <c r="BF5" i="1" s="1"/>
  <c r="BF4" i="1"/>
  <c r="BE4" i="1"/>
  <c r="BD4" i="1"/>
  <c r="BC4" i="1"/>
  <c r="BB4" i="1"/>
  <c r="B19" i="23"/>
  <c r="E27" i="21"/>
  <c r="D27" i="21"/>
  <c r="C27" i="21"/>
  <c r="B27" i="21"/>
  <c r="E26" i="21"/>
  <c r="E25" i="21"/>
  <c r="E24" i="21"/>
  <c r="E23" i="21"/>
  <c r="E22" i="21"/>
  <c r="E21" i="21"/>
  <c r="E20" i="21"/>
  <c r="E19" i="21"/>
  <c r="E18" i="21"/>
  <c r="B14" i="21"/>
  <c r="B37" i="20" a="1"/>
  <c r="B37" i="20" s="1"/>
  <c r="B36" i="20"/>
  <c r="B35" i="20"/>
  <c r="B34" i="20"/>
  <c r="H31" i="20"/>
  <c r="G31" i="20"/>
  <c r="E31" i="20"/>
  <c r="D31" i="20"/>
  <c r="C31" i="20"/>
  <c r="H29" i="20"/>
  <c r="G29" i="20"/>
  <c r="F29" i="20"/>
  <c r="E29" i="20"/>
  <c r="D29" i="20"/>
  <c r="C29" i="20"/>
  <c r="H28" i="20"/>
  <c r="G28" i="20"/>
  <c r="E28" i="20"/>
  <c r="D28" i="20"/>
  <c r="C28" i="20"/>
  <c r="H27" i="20"/>
  <c r="G27" i="20"/>
  <c r="E27" i="20"/>
  <c r="D27" i="20"/>
  <c r="C27" i="20"/>
  <c r="H26" i="20"/>
  <c r="G26" i="20"/>
  <c r="F26" i="20"/>
  <c r="E26" i="20"/>
  <c r="D26" i="20"/>
  <c r="C26" i="20"/>
  <c r="H25" i="20"/>
  <c r="G25" i="20"/>
  <c r="F25" i="20"/>
  <c r="E25" i="20"/>
  <c r="D25" i="20"/>
  <c r="C25" i="20"/>
  <c r="H23" i="20"/>
  <c r="G23" i="20"/>
  <c r="F23" i="20"/>
  <c r="E23" i="20"/>
  <c r="D23" i="20"/>
  <c r="C23" i="20"/>
  <c r="H22" i="20"/>
  <c r="G22" i="20"/>
  <c r="F22" i="20"/>
  <c r="E22" i="20"/>
  <c r="D22" i="20"/>
  <c r="C22" i="20"/>
  <c r="H21" i="20"/>
  <c r="G21" i="20"/>
  <c r="F21" i="20"/>
  <c r="E21" i="20"/>
  <c r="D21" i="20"/>
  <c r="C21" i="20"/>
  <c r="E27" i="17" a="1"/>
  <c r="E27" i="17" s="1"/>
  <c r="E26" i="17" a="1"/>
  <c r="E26" i="17" s="1"/>
  <c r="E25" i="17" a="1"/>
  <c r="E25" i="17" s="1"/>
  <c r="E24" i="17" a="1"/>
  <c r="E24" i="17" s="1"/>
  <c r="E23" i="17" a="1"/>
  <c r="E23" i="17" s="1"/>
  <c r="E22" i="17" a="1"/>
  <c r="E22" i="17" s="1"/>
  <c r="E21" i="17" a="1"/>
  <c r="E21" i="17" s="1"/>
  <c r="E20" i="17" a="1"/>
  <c r="E20" i="17" s="1"/>
  <c r="E19" i="17" a="1"/>
  <c r="E19" i="17" s="1"/>
  <c r="E18" i="17" a="1"/>
  <c r="E18" i="17" s="1"/>
  <c r="D18" i="17" a="1"/>
  <c r="D18" i="17" s="1"/>
  <c r="C26" i="17"/>
  <c r="B26" i="17"/>
  <c r="C25" i="17"/>
  <c r="B25" i="17"/>
  <c r="C24" i="17"/>
  <c r="B24" i="17"/>
  <c r="C23" i="17"/>
  <c r="B23" i="17"/>
  <c r="C22" i="17"/>
  <c r="B22" i="17"/>
  <c r="C21" i="17"/>
  <c r="B21" i="17"/>
  <c r="C20" i="17"/>
  <c r="B20" i="17"/>
  <c r="C19" i="17"/>
  <c r="B19" i="17"/>
  <c r="C18" i="17"/>
  <c r="B18" i="17"/>
  <c r="E13" i="17"/>
  <c r="E12" i="17"/>
  <c r="E11" i="17"/>
  <c r="E10" i="17"/>
  <c r="B13" i="17"/>
  <c r="B12" i="17"/>
  <c r="B11" i="17"/>
  <c r="B10" i="17"/>
  <c r="G6" i="17"/>
  <c r="F6" i="17"/>
  <c r="E6" i="17"/>
  <c r="D6" i="17"/>
  <c r="C6" i="17"/>
  <c r="B6" i="17"/>
  <c r="A6" i="17"/>
  <c r="F209" i="16"/>
  <c r="E209" i="16"/>
  <c r="D209" i="16"/>
  <c r="C209" i="16"/>
  <c r="B209" i="16"/>
  <c r="G203" i="16"/>
  <c r="H203" i="16" s="1"/>
  <c r="G204" i="16"/>
  <c r="H204" i="16" s="1"/>
  <c r="F200" i="16"/>
  <c r="E200" i="16"/>
  <c r="D200" i="16"/>
  <c r="F199" i="16"/>
  <c r="E199" i="16"/>
  <c r="D199" i="16"/>
  <c r="D181" i="16"/>
  <c r="B181" i="16"/>
  <c r="A181" i="16"/>
  <c r="C181" i="16" s="1"/>
  <c r="F178" i="16"/>
  <c r="E178" i="16"/>
  <c r="D178" i="16"/>
  <c r="C178" i="16"/>
  <c r="B178" i="16"/>
  <c r="A178" i="16"/>
  <c r="B166" i="16"/>
  <c r="C166" i="16" s="1"/>
  <c r="B165" i="16"/>
  <c r="C165" i="16" s="1"/>
  <c r="B164" i="16"/>
  <c r="C164" i="16" s="1"/>
  <c r="B163" i="16"/>
  <c r="C163" i="16" s="1"/>
  <c r="B173" i="16"/>
  <c r="B172" i="16"/>
  <c r="B171" i="16"/>
  <c r="B170" i="16"/>
  <c r="B157" i="16"/>
  <c r="C157" i="16" s="1"/>
  <c r="B156" i="16"/>
  <c r="C156" i="16" s="1"/>
  <c r="B155" i="16"/>
  <c r="C155" i="16" s="1"/>
  <c r="B154" i="16"/>
  <c r="C133" i="16"/>
  <c r="G133" i="16" s="1"/>
  <c r="D133" i="16"/>
  <c r="E133" i="16"/>
  <c r="F133" i="16"/>
  <c r="D136" i="16"/>
  <c r="H136" i="16" s="1"/>
  <c r="E136" i="16"/>
  <c r="F136" i="16"/>
  <c r="G136" i="16"/>
  <c r="G132" i="16"/>
  <c r="F132" i="16"/>
  <c r="E132" i="16"/>
  <c r="D132" i="16"/>
  <c r="C132" i="16"/>
  <c r="B132" i="16"/>
  <c r="G24" i="16"/>
  <c r="F24" i="16"/>
  <c r="E24" i="16"/>
  <c r="D24" i="16"/>
  <c r="H24" i="16" s="1"/>
  <c r="I24" i="16" s="1"/>
  <c r="C24" i="16"/>
  <c r="B24" i="16"/>
  <c r="A24" i="16"/>
  <c r="I21" i="16"/>
  <c r="H21" i="16"/>
  <c r="G21" i="16"/>
  <c r="F21" i="16"/>
  <c r="E21" i="16"/>
  <c r="D21" i="16"/>
  <c r="C21" i="16"/>
  <c r="B21" i="16"/>
  <c r="A21" i="16"/>
  <c r="B16" i="16"/>
  <c r="B15" i="16"/>
  <c r="B14" i="16"/>
  <c r="B8" i="16" a="1"/>
  <c r="B8" i="16" s="1"/>
  <c r="B17" i="16"/>
  <c r="B13" i="16"/>
  <c r="B12" i="16"/>
  <c r="B11" i="16"/>
  <c r="B10" i="16"/>
  <c r="B9" i="16"/>
  <c r="B7" i="16"/>
  <c r="B6" i="16"/>
  <c r="L12" i="2" l="1"/>
  <c r="BF108" i="1"/>
  <c r="P12" i="2" s="1"/>
  <c r="L10" i="2"/>
  <c r="N101" i="2"/>
  <c r="BF84" i="1"/>
  <c r="N33" i="2"/>
  <c r="P10" i="2"/>
  <c r="N87" i="2"/>
  <c r="M10" i="2"/>
  <c r="N10" i="2" s="1"/>
  <c r="P5" i="2"/>
  <c r="L5" i="2"/>
  <c r="M5" i="2"/>
  <c r="N5" i="2" s="1"/>
  <c r="N19" i="2"/>
  <c r="N90" i="2"/>
  <c r="N32" i="2"/>
  <c r="M4" i="2"/>
  <c r="N92" i="2"/>
  <c r="N107" i="2"/>
  <c r="L4" i="2"/>
  <c r="BF31" i="1"/>
  <c r="P4" i="2" s="1"/>
  <c r="N108" i="2"/>
  <c r="N99" i="2"/>
  <c r="N69" i="2"/>
  <c r="N43" i="2"/>
  <c r="N14" i="2"/>
  <c r="N91" i="2"/>
  <c r="N17" i="2"/>
  <c r="N13" i="2"/>
  <c r="N42" i="2"/>
  <c r="N16" i="2"/>
  <c r="P3" i="2"/>
  <c r="N74" i="2"/>
  <c r="N39" i="2"/>
  <c r="N44" i="2"/>
  <c r="N9" i="2"/>
  <c r="N40" i="2"/>
  <c r="N36" i="2"/>
  <c r="N49" i="2"/>
  <c r="N58" i="2"/>
  <c r="N62" i="2"/>
  <c r="N66" i="2"/>
  <c r="N80" i="2"/>
  <c r="N84" i="2"/>
  <c r="N50" i="2"/>
  <c r="N98" i="2"/>
  <c r="N72" i="2"/>
  <c r="N64" i="2"/>
  <c r="N7" i="2"/>
  <c r="N48" i="2"/>
  <c r="N96" i="2"/>
  <c r="N95" i="2"/>
  <c r="N28" i="2"/>
  <c r="N45" i="2"/>
  <c r="B81" i="23"/>
  <c r="N24" i="2"/>
  <c r="N59" i="2"/>
  <c r="N63" i="2"/>
  <c r="N71" i="2"/>
  <c r="N88" i="2"/>
  <c r="N97" i="2"/>
  <c r="B82" i="23"/>
  <c r="N67" i="2"/>
  <c r="N11" i="2"/>
  <c r="N20" i="2"/>
  <c r="N46" i="2"/>
  <c r="N93" i="2"/>
  <c r="B86" i="23"/>
  <c r="N25" i="2"/>
  <c r="N34" i="2"/>
  <c r="N38" i="2"/>
  <c r="N56" i="2"/>
  <c r="N60" i="2"/>
  <c r="N68" i="2"/>
  <c r="N77" i="2"/>
  <c r="N12" i="2"/>
  <c r="M3" i="2"/>
  <c r="N8" i="2"/>
  <c r="N21" i="2"/>
  <c r="N26" i="2"/>
  <c r="N52" i="2"/>
  <c r="L3" i="2"/>
  <c r="N35" i="2"/>
  <c r="N61" i="2"/>
  <c r="N75" i="2"/>
  <c r="N55" i="2"/>
  <c r="N100" i="2"/>
  <c r="N105" i="2"/>
  <c r="N51" i="2"/>
  <c r="N76" i="2"/>
  <c r="B83" i="23"/>
  <c r="B84" i="23"/>
  <c r="N22" i="2"/>
  <c r="N31" i="2"/>
  <c r="N47" i="2"/>
  <c r="N81" i="2"/>
  <c r="N106" i="2"/>
  <c r="N85" i="2"/>
  <c r="B87" i="23"/>
  <c r="N27" i="2"/>
  <c r="N89" i="2"/>
  <c r="N57" i="2"/>
  <c r="N102" i="2"/>
  <c r="N23" i="2"/>
  <c r="N53" i="2"/>
  <c r="N73" i="2"/>
  <c r="N82" i="2"/>
  <c r="N6" i="2"/>
  <c r="N65" i="2"/>
  <c r="N86" i="2"/>
  <c r="B88" i="23"/>
  <c r="N78" i="2"/>
  <c r="L2" i="2"/>
  <c r="N2" i="2" s="1"/>
  <c r="N15" i="2"/>
  <c r="N103" i="2"/>
  <c r="N37" i="2"/>
  <c r="N94" i="2"/>
  <c r="N29" i="2"/>
  <c r="N41" i="2"/>
  <c r="N54" i="2"/>
  <c r="N83" i="2"/>
  <c r="N70" i="2"/>
  <c r="N79" i="2"/>
  <c r="N104" i="2"/>
  <c r="I203" i="16"/>
  <c r="I204" i="16"/>
  <c r="E181" i="16"/>
  <c r="F181" i="16" s="1"/>
  <c r="B158" i="16"/>
  <c r="C158" i="16" s="1"/>
  <c r="C154" i="16"/>
  <c r="H133" i="16"/>
  <c r="N4" i="2" l="1"/>
  <c r="N3" i="2"/>
  <c r="B143" i="23"/>
  <c r="C82" i="23"/>
  <c r="C81" i="23"/>
  <c r="B144" i="23" s="1"/>
  <c r="C83" i="23"/>
  <c r="C84"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<sst xmlns="http://schemas.openxmlformats.org/spreadsheetml/2006/main" count="36136" uniqueCount="5605">
  <si>
    <t>#</t>
  </si>
  <si>
    <t>Regulator Code</t>
  </si>
  <si>
    <t>Regulator Name</t>
  </si>
  <si>
    <t>Group</t>
  </si>
  <si>
    <t>Framework Code</t>
  </si>
  <si>
    <t>Framework Name (EN)</t>
  </si>
  <si>
    <t>Framework Name (AR)</t>
  </si>
  <si>
    <t>Current Version</t>
  </si>
  <si>
    <t>Year First Issued</t>
  </si>
  <si>
    <t>Controls</t>
  </si>
  <si>
    <t>Framework Type</t>
  </si>
  <si>
    <t>Role</t>
  </si>
  <si>
    <t>Who Must Comply / Scope</t>
  </si>
  <si>
    <t>HC IoT Relevance</t>
  </si>
  <si>
    <t>Official Source URL</t>
  </si>
  <si>
    <t>Source Name</t>
  </si>
  <si>
    <t>Version History (All Versions)</t>
  </si>
  <si>
    <t>Key Changes Per Version</t>
  </si>
  <si>
    <t>Enforcement / Effective Date</t>
  </si>
  <si>
    <t>Next Review / Expected Update</t>
  </si>
  <si>
    <t>Current Status</t>
  </si>
  <si>
    <t>Penalty / Non-Compliance Consequence</t>
  </si>
  <si>
    <t>Enforcing Authority</t>
  </si>
  <si>
    <t>Healthcare Sub-Sector Applicability</t>
  </si>
  <si>
    <t>Public / Private Sector Scope</t>
  </si>
  <si>
    <t>Audit Type</t>
  </si>
  <si>
    <t>Audit Frequency</t>
  </si>
  <si>
    <t>IoMT-Specific Controls Count / Details</t>
  </si>
  <si>
    <t>International Standard Alignment</t>
  </si>
  <si>
    <t>Document Language</t>
  </si>
  <si>
    <t>GH-ICGA Framework Layer Mapping</t>
  </si>
  <si>
    <t>Maturity Model Available</t>
  </si>
  <si>
    <t>Vision 2030 Programme Link</t>
  </si>
  <si>
    <t>Evidence Required for Compliance</t>
  </si>
  <si>
    <t>Theoretical Grounding / Academic Basis</t>
  </si>
  <si>
    <t>Academic Debates (For vs Against)</t>
  </si>
  <si>
    <t>Known Criticisms &amp; Gaps</t>
  </si>
  <si>
    <t>Comparative Positioning vs Alternatives</t>
  </si>
  <si>
    <t>Key Foundational Citations (Harvard)</t>
  </si>
  <si>
    <t>How to Learn / Training Resources</t>
  </si>
  <si>
    <t>GH-ICGA Thesis Positioning</t>
  </si>
  <si>
    <t>GRC Pillar (G/R/C)</t>
  </si>
  <si>
    <t>Governance Obligations</t>
  </si>
  <si>
    <t>Risk Domains Covered</t>
  </si>
  <si>
    <t>Compliance Obligation Type</t>
  </si>
  <si>
    <t>Control Categories (A/T/P/O)</t>
  </si>
  <si>
    <t>Key Risk Indicators (KRIs)</t>
  </si>
  <si>
    <t>Control Testing Methods</t>
  </si>
  <si>
    <t>GRC Tool Support</t>
  </si>
  <si>
    <t>Third-Party / Supply Chain GRC</t>
  </si>
  <si>
    <t>Business Impact of Non-Compliance</t>
  </si>
  <si>
    <t>Applicable Sectors (All 17 Groups)</t>
  </si>
  <si>
    <t>Cross-Sector Framework?</t>
  </si>
  <si>
    <t xml:space="preserve">  ── 3. Cybersecurity &amp; Data ──</t>
  </si>
  <si>
    <t>NCA</t>
  </si>
  <si>
    <t>National Cybersecurity Authority</t>
  </si>
  <si>
    <t>3. Cybersecurity &amp; Data</t>
  </si>
  <si>
    <t>ECC-2:2024</t>
  </si>
  <si>
    <t>Essential Cybersecurity Controls</t>
  </si>
  <si>
    <t>ضوابط الأمن السيبراني الأساسية</t>
  </si>
  <si>
    <t>ECC-2:2024 (Oct 2024)</t>
  </si>
  <si>
    <t>2018</t>
  </si>
  <si>
    <t>108</t>
  </si>
  <si>
    <t>ISSUES/ENFORCES</t>
  </si>
  <si>
    <t>Mandatory Enforcer</t>
  </si>
  <si>
    <t>All gov. entities + CNI operators incl. hospitals</t>
  </si>
  <si>
    <t>HIGHEST</t>
  </si>
  <si>
    <t>https://nca.gov.sa/en/regulatory-documents/controls-list/ecc/</t>
  </si>
  <si>
    <t>NCA official; Clyde &amp; Co Jan 2025; Wattlecorp Nov 2025</t>
  </si>
  <si>
    <t>ECC-1:2018 → ECC-2:2024</t>
  </si>
  <si>
    <t>v1 (2018): 114 controls, 5 domains. v2 (Oct 2024): 108 controls, 4 domains (Governance/Defence/Resilience/3rd Party &amp; Cloud); expanded scope to private financial sector; Saudisation mandate for all cyber roles; ransomware &amp; phishing controls added; aligned with NIST CSF 2.0 &amp; ISO 27001:2022</t>
  </si>
  <si>
    <t>ECC-1: Jan 2019 (compliance). ECC-2: Oct 2024 (issued); 12-month transition window ends Oct 2025</t>
  </si>
  <si>
    <t>Ongoing — NCA reviews after major incidents or every 3-4 years</t>
  </si>
  <si>
    <t>CURRENT — ECC-2:2024 is the mandatory version as of Oct 2025</t>
  </si>
  <si>
    <t>SAR 25M max fine (NCA-REG-2024); licence revocation; criminal referral; business suspension; public naming in NCA disclosure</t>
  </si>
  <si>
    <t>NCA — dedicated inspectors with judicial powers (Dec 2024 regulation); NCA Supervisory Affairs Dept</t>
  </si>
  <si>
    <t>Hospital; Clinic; Lab; Medical Device Manufacturer; Health IT Vendor; Health Insurer; Pharmacy; Government Health Entity</t>
  </si>
  <si>
    <t>Both (gov. + private CNI operators)</t>
  </si>
  <si>
    <t>Annual self-assessment + NCA external audit (surprise or scheduled); third-party assessment for critical entities</t>
  </si>
  <si>
    <t>Annual self-assessment; NCA external: every 2-3 years or triggered by incident</t>
  </si>
  <si>
    <t>18 (device inventory 1-2-1; IoT/OT segmentation 2-4-x; device patch management 2-2-x; remote access 2-8-x; monitoring 2-11-x; third-party device governance 2-15-x)</t>
  </si>
  <si>
    <t>NIST CSF 2.0 (explicit mapping); ISO 27001:2022 (explicit mapping); IEC 62443 (partial); CIS Controls v8</t>
  </si>
  <si>
    <t>Arabic + English (official bilingual)</t>
  </si>
  <si>
    <t>Layer 1: Governance; Layer 2: Risk Management; Layer 3: Technical Controls; Layer 4: Compliance; Layer 5: Assurance</t>
  </si>
  <si>
    <t>Yes — 5 maturity levels (Initial / Developing / Defined / Managed / Optimising); annual self-scoring required</t>
  </si>
  <si>
    <t>Vision 2030 Digital Transformation; National Cybersecurity Strategy 2020-2030; HSTP digital health targets</t>
  </si>
  <si>
    <t>Asset inventory; risk register; policy documentation; access control logs; patch records; incident response plan; annual self-assessment report; staff awareness training records</t>
  </si>
  <si>
    <t>Governance theory (Bevir 2012): centralised regulatory authority. Risk management theory (ISO 31000): risk-based control selection. Institutional theory (DiMaggio &amp; Powell 1983): coercive isomorphism — government mandate forces adoption.</t>
  </si>
  <si>
    <t>FOR: Nationally contextualised; stronger than NIST CSF for enforcement; Arabic-first design reduces adoption friction in KSA; mandatory Saudisation closes workforce gap. AGAINST: Critics argue reducing from 114 to 108 controls is regressive — Almohammad &amp; Wills (2021) found ECC-1 already under-specified for IoT environments; compliance-oriented rather than risk-oriented (Al-Khater et al. 2020); no formal IoT-specific annex despite ECC-2 expansion</t>
  </si>
  <si>
    <t>No dedicated IoMT/medical device sub-framework; Saudisation mandate may worsen near-term skills shortage before improving it (Clyde &amp; Co 2025); maturity model self-assessment lacks independent verification; gap between ECC compliance and actual security posture documented by Almohammad &amp; Wills (2021); ECC-1 to ECC-2 transition period too short for healthcare entities (12 months)</t>
  </si>
  <si>
    <t>ECC-2 vs NIST CSF 2.0: ECC-2 is MANDATORY, CSF voluntary; ECC-2 KSA-specific, CSF global. ECC-2 vs ISO 27001:2022: ECC-2 = prescriptive controls, ISO 27001 = risk-based ISMS. ECC-2 vs SAMA-CSF: ECC-2 broader scope (all sectors), SAMA-CSF deeper financial sector controls. ECC-2 scores HIGHEST on enforceability; LOWEST on IoMT specificity vs IEC 62443</t>
  </si>
  <si>
    <t>Almohammad A &amp; Wills G (2021) 'Cybersecurity Challenges in Saudi Arabia' J Cybersecurity 7(1); Al-Khater WA et al. (2020) 'Comprehensive Review of Cybersecurity Issues' IEEE Access 8; Clyde &amp; Co (2025) KSA NCA ECC-2 Analysis Jan 2025; NCA (2024) ECC-2 Official Document nca.gov.sa; Bird &amp; Bird (2025) Saudi Arabia Cybersecurity Authority Regulations Jan 2025</t>
  </si>
  <si>
    <t>Official: NCA website (nca.gov.sa) — free downloads. Training: NCA Academy (cybersecurity courses); SANS Institute SANS 566 (CIS Controls maps to ECC); ISC2 CISSP (governance domain). Certification: NCA-recognised cybersecurity certifications. Language: Arabic + English. Estimated study time: 40 hours for full ECC-2 mastery</t>
  </si>
  <si>
    <t>PRIMARY driver for GH-ICGA Layer 1 (Governance) and Layer 4 (Compliance). ECC-2 ECC-2:2024 constitutes the national baseline onto which GH-ICGA adds healthcare IoT specificity. Thesis position: GH-ICGA extends ECC-2 with IoMT-specific controls that ECC-2 currently lacks — justified by 18 IoMT-relevant controls in ECC-2 vs 53+ needed for full IoMT governance per preliminary GH-ICGA framework</t>
  </si>
  <si>
    <t>G + R + C (all three — primary cross-pillar framework)</t>
  </si>
  <si>
    <t>Board: approve cybersecurity strategy + ECC self-assessment annually. CISO: own ECC compliance programme; report to board quarterly. IT/OT Ops: implement controls; maintain evidence. All cybersecurity roles: Saudi nationals (ECC-2 mandate). CISO must hold NCA-recognised certification</t>
  </si>
  <si>
    <t>Cyber Risk (PRIMARY); Operational Risk; Strategic Risk (Saudisation); Supply Chain Risk (third-party domain); Reputational Risk (NCA public naming on breach)</t>
  </si>
  <si>
    <t>LEGAL — Mandatory under Saudi Cybersecurity Law (Royal Decree M/33 2020) + NCA-REG-2024 enforcement regulation. Criminal and administrative sanctions apply</t>
  </si>
  <si>
    <t>Administrative (A): 38 controls — policies, governance, training, awareness. Technical (T): 48 controls — access control, network, encryption, monitoring. Operational (O): 22 controls — incident response, BCP, vendor management</t>
  </si>
  <si>
    <t>1. ECC self-assessment score (target ≥3.5/5 per domain). 2. % open ECC findings from last audit. 3. Time-to-patch critical vulnerabilities (target &lt;30 days). 4. % Saudi nationals in cybersecurity roles (target 100%). 5. # cyber incidents reported to NCA within 24h. 6. Third-party compliance rate</t>
  </si>
  <si>
    <t>Annual self-assessment (NCA template); NCA external audit (interview + evidence review + technical testing); Penetration test (annual for CNI entities); Configuration review; Access control audit; Social engineering simulation</t>
  </si>
  <si>
    <t>IBM OpenPages; ServiceNow GRC; MetricStream; RSA Archer; Nuvolo (OT); NCA self-assessment portal (custom). KSA-specific: NCA compliance tracking platform (government entities). OneTrust for policy management</t>
  </si>
  <si>
    <t>ECC-2 Domain 4 (Third-Party &amp; Cloud): mandatory third-party risk assessment before engagement; annual third-party reassessment; contractual ECC compliance obligation in vendor contracts; cloud providers must be NCA-registered; OTCC applies to OT vendors with remote access</t>
  </si>
  <si>
    <t>Non-compliance: SAR 25M fine (max); licence suspension; business closure; public naming; criminal referral. Operational impact: NCA can order shutdown of non-compliant systems. Reputational: public disclosure damages patient and investor trust. Competitive: non-compliant health IT vendors excluded from MOH/NUPCO tenders</t>
  </si>
  <si>
    <t>Sector-specific — consult official source</t>
  </si>
  <si>
    <t>Sector-Specific</t>
  </si>
  <si>
    <t>OTCC-1:2022</t>
  </si>
  <si>
    <t>OT Cybersecurity Controls</t>
  </si>
  <si>
    <t>ضوابط الأمن السيبراني للتقنيات التشغيلية</t>
  </si>
  <si>
    <t>2022</t>
  </si>
  <si>
    <t>53</t>
  </si>
  <si>
    <t>OT/ICS/SCADA incl. medical device networks</t>
  </si>
  <si>
    <t>https://nca.gov.sa/otcc_en.pdf</t>
  </si>
  <si>
    <t>NCA OTCC PDF; Resecurity</t>
  </si>
  <si>
    <t>OTCC-1:2022 (First issue)</t>
  </si>
  <si>
    <t>First dedicated OT/ICS cybersecurity standard for KSA. 53 controls across 4 pillars: OT Governance, OT Defence, OT Resilience, OT Operations. Extends ECC-1:2018 with ICS/SCADA-specific requirements. References IEC 62443 series and NIST SP 800-82. Covers medical device OT networks in hospitals as CNI</t>
  </si>
  <si>
    <t>Issued: 2022. Compliance mandatory for CNI OT operators</t>
  </si>
  <si>
    <t>Review expected when ECC-3 released or after 5 years</t>
  </si>
  <si>
    <t>CURRENT — first and only version</t>
  </si>
  <si>
    <t>SAR 25M max (NCA-REG-2024 applies); operational shutdown of non-compliant OT systems; CNI operator licence at risk</t>
  </si>
  <si>
    <t>NCA — OT/ICS specialist inspectors; coordinates with sector regulators (MOH, ECRA, KACARE) for CNI OT audits</t>
  </si>
  <si>
    <t>Hospital (medical device OT networks); Medical Device Manufacturer; Pharmacy (automated dispensing); Lab (automated systems); Health IT Vendor (OT integration)</t>
  </si>
  <si>
    <t>Both (all CNI operators — hospitals qualify as CNI)</t>
  </si>
  <si>
    <t>NCA OT assessment; sector-specific OT audit; ICS security assessment by accredited third party</t>
  </si>
  <si>
    <t>Biennial NCA assessment; annual internal OT security review</t>
  </si>
  <si>
    <t>53 of 53 — entire framework is OT/ICS applicable; directly covers medical device networks (2-4-x network segmentation; 2-6-x remote access; 2-9-x patch management for OT)</t>
  </si>
  <si>
    <t>IEC 62443 (explicit reference); NIST SP 800-82 Rev 3; ISA/IEC 62443-2-1; ISO 27001:2022 (partial)</t>
  </si>
  <si>
    <t>Layer 3: Technical Controls (primary); Layer 2: Risk Management; Layer 4: Compliance</t>
  </si>
  <si>
    <t>Yes — aligned with IEC 62443 Security Levels (SL1-SL4); OTCC maps to SL2 minimum for healthcare CNI</t>
  </si>
  <si>
    <t>National Cybersecurity Strategy; Vision 2030 Healthcare Digital Transformation; HSTP connected medical device targets</t>
  </si>
  <si>
    <t>OT asset inventory; network segmentation diagrams; OT patch logs; remote access logs; OT incident response plan; ICS risk assessment report; vendor access audit logs</t>
  </si>
  <si>
    <t>Socio-technical systems theory (Trist 1981): OT/IT convergence requires integrated governance. Defence-in-depth (NIST): layered security for critical systems. Critical infrastructure protection theory: availability &gt; confidentiality in OT environments.</t>
  </si>
  <si>
    <t>FOR: First KSA standard addressing ICS/SCADA — fills critical gap identified in Nurse et al. (2017) for CNI sectors; aligns with IEC 62443 international benchmark; hospital OT networks explicitly in scope. AGAINST: Medical IoT falls between OTCC (OT-centric) and ECC-2 (IT-centric) — Coventry &amp; Branley (2018) argue medical devices need dedicated classification not forced into OT/IT binary; OTCC written for industrial OT, clinical environment nuances absent</t>
  </si>
  <si>
    <t>Clinical IoMT context absent — infusion pumps and ventilators behave differently from SCADA; no clinical engineering expertise incorporated in drafting; 53 controls insufficient for complex hospital OT topology documented by Jalali &amp; Kaiser (2018); conflict between availability-first OT principle and confidentiality-first healthcare requirement unresolved</t>
  </si>
  <si>
    <t>OTCC vs IEC 62443: OTCC mandatory in KSA; IEC 62443 voluntary but globally recognised — OTCC maps to IEC 62443-2-1 security management but lacks 62443-4-2 component-level detail. OTCC vs NIST SP 800-82r3: OTCC simpler (53 controls); NIST 800-82 more comprehensive but advisory. OTCC + SFDA-MDR combined = closest to full IoMT coverage</t>
  </si>
  <si>
    <t>Coventry L &amp; Branley D (2018) 'Cybersecurity in Healthcare' BMJ 2018; Jalali MS &amp; Kaiser JP (2018) 'Cybersecurity in Hospitals' JMIR 20(5); Nurse JRC et al. (2017) 'Security Risk Assessment in IoT' IEEE IoT J; NCA (2022) OTCC-1:2022 nca.gov.sa/otcc_en.pdf; ISA/IEC 62443-2-1 (2009) Security Management System for IACS</t>
  </si>
  <si>
    <t>Official: OTCC PDF (nca.gov.sa). Training: SANS ICS515 (ICS Active Defence); ISA/IEC 62443 Cybersecurity Certificate (ISCI). Vendors: Claroty, Nozomi Networks, Dragos publish OTCC compliance guides. Estimated: 60 hours (requires ICS/SCADA foundation knowledge first)</t>
  </si>
  <si>
    <t>GH-ICGA Layer 3 (Technical Controls) — directly informs IoMT technical control set in preliminary GH-ICGA. Key thesis argument: OTCC covers general OT but misses clinical IoMT specificity — GH-ICGA Layer 3 fills this gap by adding device-specific clinical safety + cybersecurity controls. Referenced in thesis RQ2 on technical governance gaps</t>
  </si>
  <si>
    <t>G + C (Governance + Compliance — standard regulatory framework positioning)</t>
  </si>
  <si>
    <t>Senior management: accountability for framework compliance. Designated compliance officer: monitor requirements. All staff: awareness of applicable obligations</t>
  </si>
  <si>
    <t>Regulatory Risk; Operational Risk; Reputational Risk — specific domains determined by framework scope</t>
  </si>
  <si>
    <t>See official source — legal obligation, regulatory requirement, or voluntary standard as applicable</t>
  </si>
  <si>
    <t>Administrative; Technical; Operational — specific distribution determined by framework content</t>
  </si>
  <si>
    <t>1. Compliance status (compliant/non-compliant). 2. # open findings from last assessment. 3. % controls implemented. 4. Time to remediate findings. 5. Incident rate in framework scope area</t>
  </si>
  <si>
    <t>Self-assessment; internal audit; external assessment as specified by issuing authority</t>
  </si>
  <si>
    <t>ServiceNow GRC; IBM OpenPages; RSA Archer; MetricStream — all major GRC platforms support custom framework import. Contact vendor for framework-specific module</t>
  </si>
  <si>
    <t>Third parties in scope must demonstrate equivalent compliance. Contractual compliance obligations; right-to-audit clauses; annual third-party assessment</t>
  </si>
  <si>
    <t>Non-compliance: regulatory action by issuing authority; fines and penalties as specified; operational and reputational consequences</t>
  </si>
  <si>
    <t>CCC-1:2020</t>
  </si>
  <si>
    <t>Cloud Cybersecurity Controls</t>
  </si>
  <si>
    <t>ضوابط الأمن السيبراني للحوسبة السحابية</t>
  </si>
  <si>
    <t>2020</t>
  </si>
  <si>
    <t>67</t>
  </si>
  <si>
    <t>Cloud service providers and tenants — health cloud platforms</t>
  </si>
  <si>
    <t>HIGH</t>
  </si>
  <si>
    <t>https://nca.gov.sa/ccc-en.pdf</t>
  </si>
  <si>
    <t>NCA CCC PDF; Entrust Nov 2025</t>
  </si>
  <si>
    <t>CCC-1:2020 (First issue); CCC-2 consultation noted 2024/2025</t>
  </si>
  <si>
    <t>v1 (2020): 67 controls, 4 domains, 24 sub-domains. Covers CSP and CST obligations. Extends ECC-1:2018 for cloud environments. CSTs must comply with both ECC and CCC. CCC-2 draft noted in 2024/2025 adding edge computing and data localisation controls</t>
  </si>
  <si>
    <t>CCC-1:2020 mandatory for cloud users/providers since 2020. CCC-2 under consultation 2024-2025</t>
  </si>
  <si>
    <t>CCC-2 expected to replace CCC-1 post-consultation</t>
  </si>
  <si>
    <t>CURRENT — CCC-1:2020. CCC-2 in consultation</t>
  </si>
  <si>
    <t>SAR 25M max (NCA-REG-2024); cloud service suspension; loss of CSP licence; CST cloud provider licence revoked</t>
  </si>
  <si>
    <t>NCA (primary cybersecurity oversight); CST (cloud provider licensing); DGA (government cloud governance)</t>
  </si>
  <si>
    <t>Health IT Vendor (CSP/CST); Hospital (cloud EHR/NABIDH); Health Insurer (cloud claims systems); Government Health Entity</t>
  </si>
  <si>
    <t>Both (cloud service providers anywhere + all cloud tenants in KSA)</t>
  </si>
  <si>
    <t>Annual CSP self-assessment; NCA cloud audit; CST licensing audit; DGA cloud first policy compliance check</t>
  </si>
  <si>
    <t>Annual; CSP external audit every 2 years</t>
  </si>
  <si>
    <t>12 (cloud-hosted IoMT platform controls: data segregation; API security; access management; logging; encryption; incident notification)</t>
  </si>
  <si>
    <t>ISO 27017:2015; ISO 27018:2019; ISO 27001:2022; CSA CCM (Cloud Controls Matrix) v4; NIST SP 800-144</t>
  </si>
  <si>
    <t>Layer 3: Technical Controls; Layer 4: Compliance; Layer 2: Risk Management</t>
  </si>
  <si>
    <t>Yes — 4 maturity levels for CSPs and CSTs separately</t>
  </si>
  <si>
    <t>Cloud First Policy; Vision 2030 Digital Economy; Government Cloud (G-Cloud) initiative</t>
  </si>
  <si>
    <t>Cloud architecture diagrams; data classification records; access logs; encryption certificates; CSP audit reports; incident response plan; data residency evidence</t>
  </si>
  <si>
    <t>Shared responsibility model (Cloud Security Alliance): CSP vs CST obligation split. Cloud-specific risk theory: multi-tenancy, data sovereignty, supply chain risk. Regulatory theory: technology-specific regulation vs principle-based.</t>
  </si>
  <si>
    <t>FOR: Addresses real gap in ECC-1 for cloud-hosted health systems; CSP+CST dual obligation model mirrors EU NIS2 approach; mandatory for health cloud deployment. AGAINST: CCC-1 pre-dates major health cloud adoption acceleration — rapidly becoming outdated; Alassaf et al. (2019) argue cloud health data sovereignty requirements create innovation friction; CCC-2 consultation process too slow relative to cloud technology evolution</t>
  </si>
  <si>
    <t>CCC-1 does not address edge computing (critical for real-time IoMT); generative AI/ML workloads in health cloud not covered; sovereign cloud zone regulations (CST 2023) create regulatory overlap with CCC; NABIDH cloud hosting requirements not explicitly aligned with CCC controls</t>
  </si>
  <si>
    <t>CCC vs ISO 27017: CCC mandatory in KSA; ISO 27017 voluntary global standard. CCC maps to CSA CCM v4 (Cloud Controls Matrix) but is simpler. CCC vs SAMA Cloud Policy: CCC = technical security; SAMA = financial sector data sovereignty. Together: CCC + CST-CCR + NCA-ECC = full cloud governance for health entities</t>
  </si>
  <si>
    <t>Alassaf N et al. (2019) 'Cloud Computing Challenges in Healthcare' IEEE ICCES; CSA (2021) Cloud Controls Matrix v4 cloudsecurityalliance.org; NCA (2020) CCC-1:2020 nca.gov.sa/ccc-en.pdf; Alhenaki L et al. (2019) 'Security of Cloud Computing' IJACSA 10(7); Alouffi B et al. (2021) 'Systematic Literature Review on Cloud Security' IEEE Access 9</t>
  </si>
  <si>
    <t>Official: NCA CCC PDF. Training: AWS Security Specialty; Google Cloud Professional Security Engineer; Azure Security Technologies. CSA Certificate of Cloud Security Knowledge (CCSK). Estimated: 35 hours</t>
  </si>
  <si>
    <t>GH-ICGA Layer 3 (Technical) + Layer 4 (Compliance) — cloud security controls inform GH-ICGA cloud-hosted IoMT governance. Thesis gap: GH-ICGA must address how CCC applies when IoMT data streams to cloud — Layer 3 IoMT Technical Controls include cloud transmission requirements</t>
  </si>
  <si>
    <t>R + C (cloud-specific risk and compliance)</t>
  </si>
  <si>
    <t>CTO/Cloud Owner: responsible for CCC compliance. Cloud Governance Committee: approve cloud adoption (Cloud First Policy pre-approval). CISO: ensure CSP selection meets CCC requirements. CSP relationship owner: maintain contractual CCC compliance</t>
  </si>
  <si>
    <t>Cyber Risk (cloud-specific); Data Sovereignty Risk; Supply Chain Risk (CSP); Operational Risk (cloud outage); Regulatory Risk (data localisation)</t>
  </si>
  <si>
    <t>LEGAL — Mandatory for all ECC-scope entities using cloud + all CSPs operating in KSA. Integrated with NCA-ECC-2 compliance. NCA-REG-2024 enforcement applies</t>
  </si>
  <si>
    <t>Technical: 50 controls — data encryption; access management; API security; network controls; logging. Administrative: 10 controls — CSP assessment; cloud governance; contract management. Operational: 7 controls — cloud incident response; CSP SLA management</t>
  </si>
  <si>
    <t>1. % cloud workloads with encryption at rest and in transit. 2. # CSP compliance assessments completed (target: all critical CSPs annually). 3. Cloud incident response time (target &lt;1h detection, &lt;4h notification). 4. % data classified and labelled in cloud. 5. CSP CCC compliance score</t>
  </si>
  <si>
    <t>CSP CCC compliance assessment (annual); cloud configuration review (CSPM tools); cloud penetration test; data residency verification; access management audit; API security scan</t>
  </si>
  <si>
    <t>Palo Alto Prisma Cloud; Microsoft Defender for Cloud; AWS Security Hub; Google Chronicle; Wiz; CSPM (Cloud Security Posture Management) tools. For KSA: cloud brokers with local data centre: STC Cloud; Mobily Cloud; Oracle KSA; AWS Bahrain region</t>
  </si>
  <si>
    <t>All CSPs: must demonstrate NCA CCC compliance; data residency within KSA (government data); PDPL-DTR-2024 cross-border assessment; annual CSP security report; right-to-audit clause; incident notification within 4 hours; subprocessor disclosure</t>
  </si>
  <si>
    <t>Non-compliance: NCA audit finding; SAR 25M fine; cloud service suspension by CST. Data breach in cloud: PDPL + CCC dual penalties; CSP liability; patient data exposure</t>
  </si>
  <si>
    <t>DCC-1:2022</t>
  </si>
  <si>
    <t>Data Cybersecurity Controls</t>
  </si>
  <si>
    <t>ضوابط أمن البيانات</t>
  </si>
  <si>
    <t>40</t>
  </si>
  <si>
    <t>All ECC-scope entities — patient data lifecycle</t>
  </si>
  <si>
    <t>https://nca.gov.sa/</t>
  </si>
  <si>
    <t>Resecurity; NCA official</t>
  </si>
  <si>
    <t>DCC-1:2022 (First issue)</t>
  </si>
  <si>
    <t>First dedicated data cybersecurity controls from NCA. 40 controls across 3 domains: Data Governance, Data Protection, Data Lifecycle Management. Covers classification, labelling, handling, retention, and destruction. Aligns with NDMO Data Classification Policy and PDPL requirements</t>
  </si>
  <si>
    <t>Issued: 2022. Mandatory for all ECC-scope entities</t>
  </si>
  <si>
    <t>Review expected 2025-2026</t>
  </si>
  <si>
    <t>SAR 25M max (NCA-REG-2024); PDPL penalties also applicable for personal data; data processing suspension</t>
  </si>
  <si>
    <t>NCA (technical data security); SDAIA/NDMO (personal data governance overlap)</t>
  </si>
  <si>
    <t>Hospital; Lab; Health IT Vendor; Health Insurer; Government Health Entity (all data processors)</t>
  </si>
  <si>
    <t>Both</t>
  </si>
  <si>
    <t>NCA annual self-assessment; may be assessed jointly with ECC audit</t>
  </si>
  <si>
    <t>Annual (integrated with ECC self-assessment cycle)</t>
  </si>
  <si>
    <t>15 (IoMT data lifecycle: collection minimisation; storage encryption; transmission security; retention and secure disposal of device-generated data)</t>
  </si>
  <si>
    <t>ISO 27001:2022 Annex A (data protection controls); NIST SP 800-53r5 (data protection family); GDPR (partial reference)</t>
  </si>
  <si>
    <t>Arabic + English</t>
  </si>
  <si>
    <t>Layer 3: Technical Controls; Layer 4: Compliance</t>
  </si>
  <si>
    <t>Yes — 4 maturity levels aligned with ECC maturity model</t>
  </si>
  <si>
    <t>National Data Strategy; PDPL implementation support; Vision 2030 digital trust</t>
  </si>
  <si>
    <t>Data classification register; encryption implementation evidence; data retention policy; secure disposal records; data flow maps</t>
  </si>
  <si>
    <t>Institutional theory and regulatory governance theory underpin all KSA regulatory frameworks. Specific theoretical basis varies by framework — consult academic literature via Google Scholar using framework name as search term.</t>
  </si>
  <si>
    <t>Academic debate varies by framework maturity and international adoption. For KSA-specific debate, consult: Almohammad &amp; Wills (2021) J Cybersecurity; Al-Khater et al. (2020) IEEE Access; Baker McKenzie KSA regulatory updates.</t>
  </si>
  <si>
    <t>Known criticisms include: implementation gap between standards and practice; resource constraints for smaller healthcare entities; rapid technology evolution outpacing regulation. Consult framework evaluation literature for specifics.</t>
  </si>
  <si>
    <t>Framework comparison requires contextual analysis. Key comparators: NIST CSF 2.0 (international benchmark), ISO 27001 (certifiable standard), ECC-2 (KSA mandatory baseline). See main database for cross-framework mapping.</t>
  </si>
  <si>
    <t>Key foundational references: Almohammad A &amp; Wills G (2021) J Cybersecurity; NIST (2024) CSF 2.0; ISO (2022) 27001; NCA official documents (nca.gov.sa); Baker McKenzie Global Data &amp; Cyber Handbook 2025. Consult SFDA, MOH, and NCA websites for framework-specific official citations.</t>
  </si>
  <si>
    <t>Official: Consult the official source URL in the database for the primary document. Training: ISACA, ISC2, RAPS, IAPP, and HIMSS offer professional development covering most regulatory domains. Estimated hours vary by framework complexity.</t>
  </si>
  <si>
    <t>Relevance to GH-ICGA framework varies by layer — see GH-ICGA Layer Mapping column. All KSA mandatory frameworks are compliance inputs to GH-ICGA Layer 4. Frameworks with IoMT-specific provisions directly inform Layers 2 and 3.</t>
  </si>
  <si>
    <t>CSCC-1:2019</t>
  </si>
  <si>
    <t>Critical Systems Cybersecurity Controls</t>
  </si>
  <si>
    <t>ضوابط الأمن السيبراني للأنظمة الحساسة</t>
  </si>
  <si>
    <t>2019</t>
  </si>
  <si>
    <t>35</t>
  </si>
  <si>
    <t>Critical national system operators incl. hospitals as CNI</t>
  </si>
  <si>
    <t>https://nca.gov.sa/en/regulatory-documents/controls-list/cscc/</t>
  </si>
  <si>
    <t>NCA CSCC official</t>
  </si>
  <si>
    <t>CSCC-1:2019 (First issue)</t>
  </si>
  <si>
    <t>32 main controls / 73 sub-controls extending ECC for critical systems. Covers mission-critical systems, availability requirements, integrity controls, access control for critical systems. Hospital core infrastructure (EMR servers, imaging systems, life support networks) qualifies</t>
  </si>
  <si>
    <t>Issued: 2019. Mandatory for entities with critical national systems</t>
  </si>
  <si>
    <t>Review expected 2025</t>
  </si>
  <si>
    <t>CURRENT — first and only version; update expected</t>
  </si>
  <si>
    <t>SAR 25M max (NCA-REG-2024); critical system shutdown authority; escalated penalties for CNI operators</t>
  </si>
  <si>
    <t>NCA — critical infrastructure protection division; sector regulators (MOH for hospital critical systems)</t>
  </si>
  <si>
    <t>Hospital (core IT: EMR servers, life support, ICU systems); Government Health Entity; Health IT Vendor (critical system developers)</t>
  </si>
  <si>
    <t>Both (entities with critical national systems)</t>
  </si>
  <si>
    <t>NCA critical systems audit; specialised third-party assessment</t>
  </si>
  <si>
    <t>Annual internal; NCA external: biennial</t>
  </si>
  <si>
    <t>10 (critical system availability; failover; integrity monitoring; privileged access to critical medical systems; change management for life-critical systems)</t>
  </si>
  <si>
    <t>NIST SP 800-53r5 (availability controls); IEC 62443-3-3; ISO 27001:2022</t>
  </si>
  <si>
    <t>Layer 3: Technical Controls; Layer 2: Risk Management</t>
  </si>
  <si>
    <t>Yes — complements ECC 5-level maturity model</t>
  </si>
  <si>
    <t>National Critical Infrastructure Protection Programme (CNIP); National Cybersecurity Strategy</t>
  </si>
  <si>
    <t>Critical system register; BIA (Business Impact Analysis); availability test records; privileged access audit; change management logs</t>
  </si>
  <si>
    <t>TCC-1:2021</t>
  </si>
  <si>
    <t>Telework Cybersecurity Controls</t>
  </si>
  <si>
    <t>ضوابط الأمن السيبراني للعمل عن بعد</t>
  </si>
  <si>
    <t>2021</t>
  </si>
  <si>
    <t>28</t>
  </si>
  <si>
    <t>All ECC-scope entities with remote workers — telehealth clinicians</t>
  </si>
  <si>
    <t>MODERATE</t>
  </si>
  <si>
    <t>https://nca.gov.sa/en/regulatory-documents/controls-list/tcc/</t>
  </si>
  <si>
    <t>NCA TCC official</t>
  </si>
  <si>
    <t>TCC-1:2021 (First issue)</t>
  </si>
  <si>
    <t>21 main controls / 42 sub-controls across 3 domains: Telework Governance, Telework Security, Telework Monitoring. Covers secure VPN, MFA, endpoint security, BYOD policy, remote access to clinical systems. Healthcare application: telehealth clinicians accessing patient records remotely</t>
  </si>
  <si>
    <t>Issued: 2021. Mandatory for ECC-scope entities with remote workers</t>
  </si>
  <si>
    <t>SAR 25M max (NCA-REG-2024); may be assessed as ECC non-compliance</t>
  </si>
  <si>
    <t>NCA — assessed as part of ECC compliance audit</t>
  </si>
  <si>
    <t>Hospital; Clinic; Health IT Vendor; Health Insurer; Government Health Entity (all entities with remote workers)</t>
  </si>
  <si>
    <t>Annual self-assessment (integrated with ECC); spot check during NCA audit</t>
  </si>
  <si>
    <t>Annual</t>
  </si>
  <si>
    <t>5 (secure remote access to clinical systems; remote device management; VPN requirements for IoMT monitoring platforms)</t>
  </si>
  <si>
    <t>NIST SP 800-114; ISO 27001:2022; CIS Benchmark for remote access</t>
  </si>
  <si>
    <t>Layer 3: Technical Controls</t>
  </si>
  <si>
    <t>Aligned with ECC 5-level model</t>
  </si>
  <si>
    <t>National Telework Programme; Healthcare Digital Transformation (telehealth staff)</t>
  </si>
  <si>
    <t>VPN configuration evidence; remote access policy; endpoint security records; MFA implementation evidence; remote worker awareness training records</t>
  </si>
  <si>
    <t>OSMACC-1:2021</t>
  </si>
  <si>
    <t>Social Media Cybersecurity Controls</t>
  </si>
  <si>
    <t>ضوابط الأمن السيبراني لحسابات التواصل</t>
  </si>
  <si>
    <t>18</t>
  </si>
  <si>
    <t>All NCA-scope entities with social media accounts</t>
  </si>
  <si>
    <t>LOW</t>
  </si>
  <si>
    <t>https://nca.gov.sa/en/regulatory-documents/controls-list/osmacc/</t>
  </si>
  <si>
    <t>NCA OSMACC official</t>
  </si>
  <si>
    <t>OSMACC-1:2021 (First issue)</t>
  </si>
  <si>
    <t>18 controls for official social media account security. Covers MFA, account monitoring, content approval workflows, incident response for account compromise. Healthcare application: hospital official accounts, MOH social media security</t>
  </si>
  <si>
    <t>Issued: 2021</t>
  </si>
  <si>
    <t>Review 2025</t>
  </si>
  <si>
    <t>Penalties defined by issuing authority; consult official source. NCA ECC-2 penalties apply if relevant</t>
  </si>
  <si>
    <t>Issuing authority and/or designated inspection department</t>
  </si>
  <si>
    <t>As specified in framework scope — consult official document</t>
  </si>
  <si>
    <t>Both (unless specified otherwise in official document)</t>
  </si>
  <si>
    <t>As defined by issuing authority</t>
  </si>
  <si>
    <t>To be determined from framework text — see official source</t>
  </si>
  <si>
    <t>See framework preamble for international standard references</t>
  </si>
  <si>
    <t>Arabic (primary in KSA); English may be available</t>
  </si>
  <si>
    <t>Mapped to relevant GH-ICGA layer — requires manual assessment</t>
  </si>
  <si>
    <t>See official framework for maturity model details</t>
  </si>
  <si>
    <t>Aligned with relevant Vision 2030 programme — see framework context</t>
  </si>
  <si>
    <t>As specified in framework compliance requirements</t>
  </si>
  <si>
    <t>NCS-1:2020</t>
  </si>
  <si>
    <t>National Cryptographic Standards</t>
  </si>
  <si>
    <t>المعايير الوطنية للتشفير</t>
  </si>
  <si>
    <t>22</t>
  </si>
  <si>
    <t>All ECC-scope entities — patient data encryption</t>
  </si>
  <si>
    <t>https://nca.gov.sa/en/regulatory-documents/frameworks-and-standard-list/ncs/</t>
  </si>
  <si>
    <t>NCA NCS official; Entrust</t>
  </si>
  <si>
    <t>NCS-1:2020 (First issue); quantum-safe update under consideration</t>
  </si>
  <si>
    <t>22 cryptographic requirements. Covers approved algorithms (AES-256, RSA-2048+, SHA-256+), key management, PKI requirements, TLS version requirements. Healthcare: patient data encryption at rest and in transit, digital signatures on clinical records</t>
  </si>
  <si>
    <t>Issued: 2020. Mandatory for all ECC-scope entities</t>
  </si>
  <si>
    <t>Quantum-safe cryptography update under consideration post-2025</t>
  </si>
  <si>
    <t>CURRENT — NCS-1:2020. Quantum migration guidance expected</t>
  </si>
  <si>
    <t>SCyWF</t>
  </si>
  <si>
    <t>Saudi Cybersecurity Workforce Framework</t>
  </si>
  <si>
    <t>الإطار السعودي للكوادر السيبرانية</t>
  </si>
  <si>
    <t>SCyWF updated 2024</t>
  </si>
  <si>
    <t>N/A</t>
  </si>
  <si>
    <t>All NCA-scope entities — cyber roles must be Saudi nationals (ECC-2)</t>
  </si>
  <si>
    <t>https://nca.gov.sa/en/regulatory-documents/frameworks-and-standard-list/scywf/</t>
  </si>
  <si>
    <t>NCA SCyWF; Clyde &amp; Co Jan 2025</t>
  </si>
  <si>
    <t>SCyWF v1 2022 → updated 2024 with ECC-2 Saudisation mandate</t>
  </si>
  <si>
    <t>National taxonomy of cybersecurity roles and competency levels. Updated 2024 to add mandatory Saudisation: all cybersecurity positions in ECC-scope entities must be full-time qualified Saudi nationals (ECC-2 Section 1-1-3). Healthcare CISO and SOC analyst roles affected directly</t>
  </si>
  <si>
    <t>v1 issued 2022. Saudisation mandate: Oct 2024 (ECC-2). Compliance window: Oct 2025</t>
  </si>
  <si>
    <t>Annual review with job market changes</t>
  </si>
  <si>
    <t>CURRENT — updated 2024</t>
  </si>
  <si>
    <t>ALL 17 SECTORS — entities with cybersecurity roles</t>
  </si>
  <si>
    <t>YES — ALL SECTORS</t>
  </si>
  <si>
    <t>SCyber-Edu</t>
  </si>
  <si>
    <t>Saudi Cybersecurity Higher Education Framework</t>
  </si>
  <si>
    <t>الإطار السعودي للتعليم العالي في الأمن السيبراني</t>
  </si>
  <si>
    <t>SCyber-Edu-1:2022</t>
  </si>
  <si>
    <t>Universities offering cybersecurity programmes</t>
  </si>
  <si>
    <t>https://nca.gov.sa/en/regulatory-documents/frameworks-and-standard-list/scyberedu/</t>
  </si>
  <si>
    <t>NCA SCyber-Edu</t>
  </si>
  <si>
    <t>SCyber-Edu v1 2022 (First issue)</t>
  </si>
  <si>
    <t>Curriculum framework for university-level cybersecurity programmes. Defines core competencies, elective tracks, lab requirements. Aligned with SCyWF role taxonomy. Supports national pipeline for Saudi cybersecurity professionals required by NCA frameworks</t>
  </si>
  <si>
    <t>Issued: 2022</t>
  </si>
  <si>
    <t>Review every 3 years</t>
  </si>
  <si>
    <t>CURRENT — first version</t>
  </si>
  <si>
    <t>NCA-REG-2024</t>
  </si>
  <si>
    <t>NCA Regulatory Framework (Enforcement &amp; Penalties)</t>
  </si>
  <si>
    <t>لائحة الهيئة الوطنية للأمن السيبراني</t>
  </si>
  <si>
    <t>Dec 2024</t>
  </si>
  <si>
    <t>2024</t>
  </si>
  <si>
    <t>All entities subject to any NCA framework — fines up to SAR 25M</t>
  </si>
  <si>
    <t>https://www.twobirds.com/en/insights/2025/</t>
  </si>
  <si>
    <t>Bird &amp; Bird Jan 2025; Clyde &amp; Co Jan 2025</t>
  </si>
  <si>
    <t>First enforcement regulation — Dec 21, 2024</t>
  </si>
  <si>
    <t>First dedicated NCA enforcement mechanism. Powers: inspection/audit authority, administrative fines up to SAR 25 million, licence suspension/revocation, appointment of NCA inspectors with judicial powers, criminal referrals. Covers all NCA frameworks (ECC, OTCC, CCC, DCC, CSCC, TCC). Significant shift from guidance to enforceable compliance</t>
  </si>
  <si>
    <t>Issued: Dec 21, 2024. In force immediately</t>
  </si>
  <si>
    <t>Ongoing enforcement</t>
  </si>
  <si>
    <t>CURRENT — first enforcement regulation</t>
  </si>
  <si>
    <t>This IS the penalty framework — SAR 25M max; imprisonment via criminal referral; business suspension; public naming; appeals process defined</t>
  </si>
  <si>
    <t>NCA — Director General of Supervisory Affairs; NCA Inspectors (appointed Dec 2024 with judicial powers)</t>
  </si>
  <si>
    <t>All healthcare entities subject to any NCA framework</t>
  </si>
  <si>
    <t>NCA-initiated inspections; complaint-triggered; incident-triggered; scheduled sector reviews</t>
  </si>
  <si>
    <t>As determined by NCA risk-based approach</t>
  </si>
  <si>
    <t>N/A — enforcement mechanism, not technical controls</t>
  </si>
  <si>
    <t>EU NIS2 Directive (enforcement model reference); Singapore CSA Cybersecurity Act (penalty benchmarking)</t>
  </si>
  <si>
    <t>Arabic (primary); English unofficial translation</t>
  </si>
  <si>
    <t>Layer 4: Compliance; Layer 5: Assurance</t>
  </si>
  <si>
    <t>No maturity model — binary compliance/non-compliance</t>
  </si>
  <si>
    <t>National Cybersecurity Strategy (enforcement pillar)</t>
  </si>
  <si>
    <t>N/A — this is the enforcement regulation; entities must produce evidence of compliance with underlying NCA frameworks</t>
  </si>
  <si>
    <t>ALL 17 SECTORS — all NCA framework subjects</t>
  </si>
  <si>
    <t>NCA-MCSOC</t>
  </si>
  <si>
    <t>Managed SOC Policy</t>
  </si>
  <si>
    <t>سياسة مراكز العمليات الأمنية المُدارة</t>
  </si>
  <si>
    <t>MSOC service providers — hospital SOC services</t>
  </si>
  <si>
    <t>https://nca.gov.sa/en/regulatory-documents/</t>
  </si>
  <si>
    <t>NCA official</t>
  </si>
  <si>
    <t>2024 (First issue)</t>
  </si>
  <si>
    <t>Requirements for Managed Security Operations Centers. Defines MSOC service delivery standards, SOC analyst qualifications (Saudi nationals required), incident response SLAs, threat intelligence sharing obligations, reporting to NCA CERT. Healthcare SOCs using managed services must ensure vendor compliance</t>
  </si>
  <si>
    <t>Issued 2024</t>
  </si>
  <si>
    <t>Annual review</t>
  </si>
  <si>
    <t>CURRENT</t>
  </si>
  <si>
    <t>NCA-CGEC</t>
  </si>
  <si>
    <t>Cybersecurity Guidelines for eCommerce</t>
  </si>
  <si>
    <t>إرشادات الأمن السيبراني للتجارة الإلكترونية</t>
  </si>
  <si>
    <t>Guideline</t>
  </si>
  <si>
    <t>E-commerce operators — health app stores, telemedicine platforms</t>
  </si>
  <si>
    <t>https://nca.gov.sa/en/regulatory-documents/guidelines-list/ccgec/</t>
  </si>
  <si>
    <t>2022 (First issue)</t>
  </si>
  <si>
    <t>Guidelines for cybersecurity in e-commerce platforms. Covers payment data protection, customer authentication, fraud detection, incident disclosure. Healthcare application: online pharmacy platforms, telemedicine subscription services, hospital appointment booking portals</t>
  </si>
  <si>
    <t>Issued 2022</t>
  </si>
  <si>
    <t>CURRENT — guideline (non-mandatory but best practice)</t>
  </si>
  <si>
    <t>SDAIA</t>
  </si>
  <si>
    <t>Saudi Data &amp; AI Authority + NDMO</t>
  </si>
  <si>
    <t>PDPL-2021</t>
  </si>
  <si>
    <t>Personal Data Protection Law</t>
  </si>
  <si>
    <t>نظام حماية البيانات الشخصية</t>
  </si>
  <si>
    <t>Sep 2021 + Apr 2023</t>
  </si>
  <si>
    <t>45</t>
  </si>
  <si>
    <t>All organisations processing personal data — health data = sensitive</t>
  </si>
  <si>
    <t>https://sdaia.gov.sa/en/SDAIA/about/Pages/RegulationsAndPolicies.aspx</t>
  </si>
  <si>
    <t>SDAIA official; Baker McKenzie 2025</t>
  </si>
  <si>
    <t>Royal Decree M/19 (16 Sep 2021) → amended Apr 2023</t>
  </si>
  <si>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</si>
  <si>
    <t>Issued: Sep 2021. Amended: Apr 2023. Fully enforceable: Sep 14, 2024</t>
  </si>
  <si>
    <t>SDAIA reviews annually; amendments expected 2025-2026</t>
  </si>
  <si>
    <t>CURRENT — fully enforceable since Sep 2024</t>
  </si>
  <si>
    <t>Criminal offence: up to 2 years imprisonment + SAR 3M fine for disclosing sensitive data (health data = sensitive); administrative fine up to SAR 5M; mandatory breach notification to SDAIA within 72 hours; data subject compensation claims</t>
  </si>
  <si>
    <t>SDAIA — Data Protection Authority (DPA functions); NDMO for government entities; courts for criminal penalties</t>
  </si>
  <si>
    <t>Hospital; Clinic; Lab; Pharmacy; Health IT Vendor; Health Insurer; Government Health Entity; Medical Device Manufacturer (all processing patient data)</t>
  </si>
  <si>
    <t>Both + foreign entities processing data of KSA residents</t>
  </si>
  <si>
    <t>SDAIA audit; controller self-assessment; DPO oversight; data subject complaints trigger investigation</t>
  </si>
  <si>
    <t>Continuous (breach notification: 72 hours); annual DPO report; SDAIA random audits</t>
  </si>
  <si>
    <t>12 (IoMT data minimisation; purpose limitation; consent management for wearable data; automated decision-making; data subject rights for IoMT-generated health data; cross-border transfer of IoMT data)</t>
  </si>
  <si>
    <t>GDPR (substantial alignment — adequate protection basis); APEC Privacy Framework; ISO 29100; ISO 27701</t>
  </si>
  <si>
    <t>Arabic (official); English translation (unofficial)</t>
  </si>
  <si>
    <t>Layer 4: Compliance; Layer 2: Risk Management</t>
  </si>
  <si>
    <t>No formal maturity model; SDAIA publishes compliance guidance</t>
  </si>
  <si>
    <t>National Data Strategy; Vision 2030 Digital Economy; Digital Government transformation</t>
  </si>
  <si>
    <t>Privacy notices; consent records; DPO appointment letter; data mapping/flow diagrams; breach notification records; DPIA for health data processing; controller registration</t>
  </si>
  <si>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</si>
  <si>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</si>
  <si>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</si>
  <si>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</si>
  <si>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</si>
  <si>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</si>
  <si>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</si>
  <si>
    <t>G + C (Governance + Compliance — strong compliance driver; risk implicit)</t>
  </si>
  <si>
    <t>Board/CEO: ultimate accountability for PDPL compliance. DPO: mandatory for large-scale health data processors — reports to highest management level. Privacy Committee: cross-functional oversight. All staff processing personal data: mandatory privacy awareness training annually</t>
  </si>
  <si>
    <t>Privacy Risk (PRIMARY); Legal/Regulatory Risk; Reputational Risk; Strategic Risk (data monetisation constraints); Cross-Border Risk (data transfer restrictions)</t>
  </si>
  <si>
    <t>LEGAL — Royal Decree M/19 2021 + Implementing Regulations Sep 2023. Criminal: imprisonment up to 2 years + SAR 3M fine for sensitive data disclosure. Administrative: SAR 5M maximum fine. Civil: data subject compensation claims</t>
  </si>
  <si>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</si>
  <si>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</si>
  <si>
    <t>Annual DPIA review; data mapping audit (controller record validation); consent record audit; breach response simulation (tabletop); access control review for personal data systems; third-party processor audit; SDAIA compliance self-assessment</t>
  </si>
  <si>
    <t>OneTrust (market leader for PDPL); TrustArc; Nymity; DataGrail; Varonis (data discovery); Microsoft Purview (data classification). SDAIA National Data Governance Platform for registration. Arabic-capable tools preferred</t>
  </si>
  <si>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</si>
  <si>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</si>
  <si>
    <t>ALL 17 SECTORS — any entity processing personal data</t>
  </si>
  <si>
    <t>PDPL-IR-2023</t>
  </si>
  <si>
    <t>PDPL Implementing Regulations</t>
  </si>
  <si>
    <t>اللائحة التنفيذية لنظام حماية البيانات</t>
  </si>
  <si>
    <t>7 Sep 2023</t>
  </si>
  <si>
    <t>2023</t>
  </si>
  <si>
    <t>89</t>
  </si>
  <si>
    <t>All PDPL-scope entities — fully enforced Sep 2024</t>
  </si>
  <si>
    <t>SDAIA official; DLA Piper 2024</t>
  </si>
  <si>
    <t>Issued 7 Sep 2023 (22/2/1445H); multiple ministerial updates to Jun 2025</t>
  </si>
  <si>
    <t>89 detailed implementing articles. Key provisions: health data requires explicit consent + necessity justification; DPO mandatory for large-scale health data processors; 72-hour breach notification to SDAIA; cross-border transfer assessment; individual rights (access, correction, deletion, objection); registration obligation for certain controllers. Updates to Jun 2025 clarified breach notification and international transfer rules</t>
  </si>
  <si>
    <t>Issued: Sep 7, 2023. In force with PDPL: Sep 14, 2024</t>
  </si>
  <si>
    <t>SDAIA issues ministerial decisions periodically; next major update expected 2025</t>
  </si>
  <si>
    <t>CURRENT — with amendments to Jun 2025</t>
  </si>
  <si>
    <t>Same as PDPL-2021 — implementing regulation adds specificity to penalties; breach notification failure = separate penalty up to SAR 5M</t>
  </si>
  <si>
    <t>SDAIA (primary); NDMO (government entities); sector regulators may co-enforce (MOH for health data)</t>
  </si>
  <si>
    <t>All processing health data — Hospital; Clinic; Lab; Pharmacy; Health IT Vendor; Health Insurer</t>
  </si>
  <si>
    <t>SDAIA compliance audit; DPO internal audit; third-party DPIA</t>
  </si>
  <si>
    <t>Annual DPO report; SDAIA audit (risk-based); breach-triggered</t>
  </si>
  <si>
    <t>14 (health data provisions: consent specificity for IoMT wearables; purpose limitation for connected device data; data retention limits for IoMT streams; cross-border IoMT data transfer controls)</t>
  </si>
  <si>
    <t>GDPR Articles 5-9 (closely mirrored); ISO 27701:2019</t>
  </si>
  <si>
    <t>Arabic (official); English translation available from SDAIA</t>
  </si>
  <si>
    <t>Layer 4: Compliance</t>
  </si>
  <si>
    <t>No formal maturity model</t>
  </si>
  <si>
    <t>National Data Strategy; Privacy framework for digital health</t>
  </si>
  <si>
    <t>DPIA reports; consent records with timestamps; health data processing register; DPO appointment; breach notification log</t>
  </si>
  <si>
    <t>C (primary Compliance instrument — implementing detail for PDPL governance)</t>
  </si>
  <si>
    <t>DPO: must be notified to SDAIA; independence from operational decision-making; access to senior management. Health data: additional justification beyond consent required (medical necessity; public health). Controller registration: mandatory for specified categories (large-scale health data processors)</t>
  </si>
  <si>
    <t>Privacy Risk; Legal Risk; Operational Risk (compliance machinery); Cross-Border Data Transfer Risk</t>
  </si>
  <si>
    <t>LEGAL — Implementing regulation of PDPL. Same sanctions as PDPL-2021. Ministerial decisions update periodically (latest Jun 2025)</t>
  </si>
  <si>
    <t>Administrative: health data processing justification documentation; DPO notification to SDAIA; controller registration. Technical: health data access logs. Operational: individual rights fulfilment workflow; breach notification process</t>
  </si>
  <si>
    <t>1. % health data processing activities with documented legal basis. 2. DPO notification status (registered with SDAIA: Y/N). 3. Controller registration status (if applicable). 4. # DPIA register entries for health IoMT data. 5. Average days to fulfil data subject rights request</t>
  </si>
  <si>
    <t>SDAIA compliance audit; DPO internal audit; legal basis review; controller registration verification; health data processing register audit</t>
  </si>
  <si>
    <t>OneTrust; TrustArc; Microsoft Purview — same tools as PDPL-2021. SDAIA data governance platform for controller registration</t>
  </si>
  <si>
    <t>Same as PDPL-2021 + health data processor must demonstrate specific health data controls</t>
  </si>
  <si>
    <t>Failure to register: SAR 5M fine. Failure to appoint DPO: enforcement action. Failure to notify breach: separate penalty. Compounding: PDPL-2021 + IR-2023 violations can attract cumulative penalties</t>
  </si>
  <si>
    <t>PDPL-DTR-2024</t>
  </si>
  <si>
    <t>Data Transfer Regulation (revised)</t>
  </si>
  <si>
    <t>لائحة نقل البيانات الشخصية</t>
  </si>
  <si>
    <t>Sep 2024</t>
  </si>
  <si>
    <t>12</t>
  </si>
  <si>
    <t>All organisations transferring personal data outside KSA — cloud health data</t>
  </si>
  <si>
    <t>SDAIA Sep 2024; Baker McKenzie 2025</t>
  </si>
  <si>
    <t>DTR v1: Sep 7, 2023 → DTR v2 (replacement): Sep 1, 2024</t>
  </si>
  <si>
    <t>v1 (Sep 2023): Initial data transfer regulation allowing transfers via adequacy, contractual clauses, consent, or necessity. v2 (Sep 1, 2024): Complete replacement. Significant change: removed automatic adequacy for certain jurisdictions; introduced mandatory risk assessment before any cross-border health data transfer; controller accountability strengthened; specific provisions for cloud-hosted patient data transferred to overseas servers</t>
  </si>
  <si>
    <t>DTR v1: Sep 2023. DTR v2 (replacement): Sep 1, 2024</t>
  </si>
  <si>
    <t>Annual review by SDAIA; adequacy list publication expected 2025</t>
  </si>
  <si>
    <t>CURRENT — DTR v2 (Sep 2024)</t>
  </si>
  <si>
    <t>NDMO-DGF</t>
  </si>
  <si>
    <t>National Data Governance Framework</t>
  </si>
  <si>
    <t>إطار حوكمة البيانات الوطني</t>
  </si>
  <si>
    <t>2021 updated</t>
  </si>
  <si>
    <t>All government entities — health data classification</t>
  </si>
  <si>
    <t>SDAIA/NDMO official</t>
  </si>
  <si>
    <t>First approved 2021 by SDAIA Board; updated 2022</t>
  </si>
  <si>
    <t>28 governance obligations. Covers data ownership, data stewardship, metadata management, data quality standards, data sharing protocols between government entities. Critical for health data interoperability between MOH, NHIC, CBAHI, CCHI systems. Mandates Data Governance Officer role in government entities</t>
  </si>
  <si>
    <t>Approved: 2021. Updated: 2022</t>
  </si>
  <si>
    <t>Biennial review</t>
  </si>
  <si>
    <t>ALL SECTORS (government entities)</t>
  </si>
  <si>
    <t>NDMO-DCP</t>
  </si>
  <si>
    <t>Data Classification Policy</t>
  </si>
  <si>
    <t>سياسة تصنيف البيانات</t>
  </si>
  <si>
    <t>15</t>
  </si>
  <si>
    <t>All public entities — patient records classification mandatory</t>
  </si>
  <si>
    <t>Issued 2021 (first version)</t>
  </si>
  <si>
    <t>4-level classification: Public / Internal Use / Confidential / Restricted. Patient health records = Confidential minimum; genetic data, mental health records = Restricted. Drives handling, storage, transmission, and disposal requirements across government health systems</t>
  </si>
  <si>
    <t>Review 2024-2025</t>
  </si>
  <si>
    <t>NDMO-NDGIR</t>
  </si>
  <si>
    <t>National Data Governance Interim Regulations</t>
  </si>
  <si>
    <t>اللوائح المؤقتة لحوكمة البيانات</t>
  </si>
  <si>
    <t>Government entities — data governance baseline</t>
  </si>
  <si>
    <t>CMS Law Oct 2025</t>
  </si>
  <si>
    <t>Issued 2020 (interim, pre-PDPL)</t>
  </si>
  <si>
    <t>Interim data governance regulations covering government data management prior to PDPL. Still operative for government-to-government data sharing aspects not fully covered by PDPL. Covers national data registry, data sharing agreements between ministries</t>
  </si>
  <si>
    <t>Issued: 2020</t>
  </si>
  <si>
    <t>Will be superseded by full NDMO Data Governance Regulations post-PDPL implementation</t>
  </si>
  <si>
    <t>CURRENT — interim, partial supersession by PDPL-IR-2023</t>
  </si>
  <si>
    <t>SDAIA-AI-ETH</t>
  </si>
  <si>
    <t>AI Ethics Principles (2nd Ed.)</t>
  </si>
  <si>
    <t>مبادئ أخلاقيات الذكاء الاصطناعي</t>
  </si>
  <si>
    <t>2nd Ed. late 2023</t>
  </si>
  <si>
    <t>All organisations deploying AI — healthcare AI diagnostics</t>
  </si>
  <si>
    <t>SDAIA Nov 2023</t>
  </si>
  <si>
    <t>1st Edition 2019 → 2nd Edition late 2023</t>
  </si>
  <si>
    <t>1st Ed (2019): 5 principles (Human-centred, Fairness, Privacy, Reliability, Transparency). 2nd Ed (late 2023): Expanded to address generative AI, hallucination risks, AI in high-stakes decisions (medical diagnosis), human oversight requirements, liability for AI-caused harm. Healthcare AI systems must document ethical review process</t>
  </si>
  <si>
    <t>1st Ed: 2019. 2nd Ed: late 2023</t>
  </si>
  <si>
    <t>3rd edition expected 2025-2026 post-GenAI regulatory landscape maturation</t>
  </si>
  <si>
    <t>CURRENT — 2nd Edition 2023</t>
  </si>
  <si>
    <t>ALL SECTORS deploying AI</t>
  </si>
  <si>
    <t>SDAIA-AI-ADO</t>
  </si>
  <si>
    <t>AI Adoption Framework</t>
  </si>
  <si>
    <t>إطار تبني الذكاء الاصطناعي</t>
  </si>
  <si>
    <t>All organisations deploying AI — health AI systems</t>
  </si>
  <si>
    <t>SDAIA Sep 2024</t>
  </si>
  <si>
    <t>First issue Sep 2024</t>
  </si>
  <si>
    <t>AI adoption readiness framework with 5 dimensions: Strategy, Data, Technology, People, Governance. Health entities deploying clinical AI must complete readiness assessment. AI risk tiers defined (medical diagnosis = high risk requiring pre-deployment review). Aligns with Saudi AI Strategy and SFDA AI/ML medical device guidance</t>
  </si>
  <si>
    <t>Issued: Sep 2024</t>
  </si>
  <si>
    <t>SDAIA-GENAI</t>
  </si>
  <si>
    <t>Generative AI Guidelines</t>
  </si>
  <si>
    <t>إرشادات الذكاء الاصطناعي التوليدي</t>
  </si>
  <si>
    <t>Early 2024</t>
  </si>
  <si>
    <t>All organisations using generative AI — health AI chatbots</t>
  </si>
  <si>
    <t>Baker McKenzie 2025</t>
  </si>
  <si>
    <t>Two versions published early 2024: Government employees version + General public version</t>
  </si>
  <si>
    <t>Government version: prohibits sharing classified/sensitive data with GenAI tools; requires approved GenAI platforms; human review of AI outputs in official documents. General version: awareness-based, recommends caution with personal health information in GenAI prompts. Healthcare application: clinical staff using AI scribing tools, AI diagnostic aids</t>
  </si>
  <si>
    <t>Issued: early 2024</t>
  </si>
  <si>
    <t>Rapid evolution expected; formal regulation anticipated 2025</t>
  </si>
  <si>
    <t>CURRENT — early 2024 versions</t>
  </si>
  <si>
    <t>ALL SECTORS using generative AI</t>
  </si>
  <si>
    <t>SDAIA-NSDAI</t>
  </si>
  <si>
    <t>National Strategy for Data &amp; AI</t>
  </si>
  <si>
    <t>الاستراتيجية الوطنية للبيانات والذكاء الاصطناعي</t>
  </si>
  <si>
    <t>2020-2030</t>
  </si>
  <si>
    <t>Policy Setter</t>
  </si>
  <si>
    <t>National data and AI development — health data strategy</t>
  </si>
  <si>
    <t>https://sdaia.gov.sa/</t>
  </si>
  <si>
    <t>SDAIA official; my.gov.sa</t>
  </si>
  <si>
    <t>National Strategy for Data &amp; AI 2020-2030 (updated periodically)</t>
  </si>
  <si>
    <t>6-dimension strategy: Regulation &amp; Policy, Ecosystem &amp; Infrastructure, Data, Talent, Innovation, International. Health data as strategic national asset. Targets: KSA in top 15 globally for AI readiness; national health data platform (NABIDH); AI-enabled diagnosis deployment across MOH facilities by 2030</t>
  </si>
  <si>
    <t>Launched: 2020. Annual progress reports</t>
  </si>
  <si>
    <t>Ongoing — 2030 horizon with annual targets</t>
  </si>
  <si>
    <t>ACTIVE — 2020-2030 strategy</t>
  </si>
  <si>
    <t>ALL SECTORS (national strategy)</t>
  </si>
  <si>
    <t>NDMO-RULEBOOK</t>
  </si>
  <si>
    <t>PDPL Controllers Registration &amp; Rules</t>
  </si>
  <si>
    <t>قواعد تسجيل المتحكمين</t>
  </si>
  <si>
    <t>2023 updated</t>
  </si>
  <si>
    <t>All controllers processing personal data — health data controllers</t>
  </si>
  <si>
    <t>Issued 2023; updates to Jun 2025</t>
  </si>
  <si>
    <t>Mandatory registration for data controllers meeting thresholds (e.g., large-scale health data processors). Defines controller obligations post-registration: annual compliance report, DPO appointment notification, breach reporting procedures. NDMO National Data Governance Platform for registration (Saudi entities only as of 2025)</t>
  </si>
  <si>
    <t>Issued: 2023. Updates: Jun 2025</t>
  </si>
  <si>
    <t>Ongoing</t>
  </si>
  <si>
    <t>NCA-ECC-2:2024</t>
  </si>
  <si>
    <t>MUST COMPLY WITH</t>
  </si>
  <si>
    <t>Mandatory Complier</t>
  </si>
  <si>
    <t>SDAIA as government entity</t>
  </si>
  <si>
    <t>NCA ECC scope</t>
  </si>
  <si>
    <t>See official source for version history</t>
  </si>
  <si>
    <t>Framework issued by the relevant authority. Version details available on the official website referenced in the source URL column. The framework has been updated periodically since first issuance.</t>
  </si>
  <si>
    <t>See official source</t>
  </si>
  <si>
    <t>Updated as needed by the issuing authority</t>
  </si>
  <si>
    <t>CURRENT — consult official source for latest version</t>
  </si>
  <si>
    <t>ALL 17 SECTORS</t>
  </si>
  <si>
    <t xml:space="preserve">  ── 2. Healthcare &amp; Life Sciences ──</t>
  </si>
  <si>
    <t>MOH</t>
  </si>
  <si>
    <t>Ministry of Health</t>
  </si>
  <si>
    <t>2. Healthcare &amp; Life Sciences</t>
  </si>
  <si>
    <t>MOH-HL</t>
  </si>
  <si>
    <t>Health Law</t>
  </si>
  <si>
    <t>نظام الصحة</t>
  </si>
  <si>
    <t>RD M/11 2002 updated</t>
  </si>
  <si>
    <t>1949</t>
  </si>
  <si>
    <t>All healthcare facilities and providers</t>
  </si>
  <si>
    <t>https://www.moh.gov.sa/en/Ministry/Rules/Pages/default.aspx</t>
  </si>
  <si>
    <t>MOH official; Hammad &amp; Al-Mehdar 2025</t>
  </si>
  <si>
    <t>Royal Decree M/11 1949 (foundational) → multiple Royal Decrees updating through 2024</t>
  </si>
  <si>
    <t>Foundational health law establishing MOH mandate. Major milestones: 1950s-1990s: primary care network; 2001 National Health Plan; 2009 Private Hospitals Law; 2016 Health Clusters reform; 2021 NABIDH mandate; 2024 mandatory EMR adoption for all private facilities. Constitutes the overarching legal basis for all MOH regulations</t>
  </si>
  <si>
    <t>Original: 1949. Continuously updated by Royal Decrees</t>
  </si>
  <si>
    <t>Ongoing — amendments via Royal Decree</t>
  </si>
  <si>
    <t>CURRENT — foundational law with continuous amendments</t>
  </si>
  <si>
    <t>Healthcare &amp; Life Sciences</t>
  </si>
  <si>
    <t>MOH-HIS</t>
  </si>
  <si>
    <t>Health Information System Standards</t>
  </si>
  <si>
    <t>معايير نظم المعلومات الصحية</t>
  </si>
  <si>
    <t>2024 update</t>
  </si>
  <si>
    <t>2010</t>
  </si>
  <si>
    <t>112</t>
  </si>
  <si>
    <t>All MOH-affiliated hospitals and clinics</t>
  </si>
  <si>
    <t>https://www.moh.gov.sa/en/</t>
  </si>
  <si>
    <t>MOH; NHIC NABIDH; WHO/WEF PHSSR 2025</t>
  </si>
  <si>
    <t>First issued ~2010 → comprehensive update 2022 → mandatory EMR update 2024</t>
  </si>
  <si>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</si>
  <si>
    <t>First: 2010. Major update: 2022. EMR mandate: 2024</t>
  </si>
  <si>
    <t>Updated with NABIDH platform releases; typically annual minor updates</t>
  </si>
  <si>
    <t>CURRENT — 2024 version mandatory</t>
  </si>
  <si>
    <t>MOH facility licensing at risk; mandatory corrective action plan; financial penalties under Private Health Institutions Law; non-compliant systems barred from NABIDH connectivity</t>
  </si>
  <si>
    <t>MOH — Directorate of Health Information (DHI); regional health cluster inspection teams; NHIC for interoperability compliance</t>
  </si>
  <si>
    <t>Hospital; Clinic; Lab; Pharmacy (hospital); Government Health Entity</t>
  </si>
  <si>
    <t>Both (mandatory for MOH facilities; mandatory for private facilities since 2024 PHILAW update)</t>
  </si>
  <si>
    <t>MOH annual IT audit; NHIC interoperability assessment; CBAHI HIT standards review during accreditation</t>
  </si>
  <si>
    <t>Annual MOH audit; NABIDH connectivity continuous monitoring</t>
  </si>
  <si>
    <t>28 (medical device integration into HIS; alarm management; device data capture; IoMT workflow integration; remote monitoring data ingestion; device incident reporting to HIS)</t>
  </si>
  <si>
    <t>HL7 FHIR R4 (interoperability); IHE profiles (integration); ISO 27799:2016 (health ISMS); DICOM (imaging)</t>
  </si>
  <si>
    <t>Arabic (primary); English technical annexes</t>
  </si>
  <si>
    <t>Layer 1: Governance; Layer 3: Technical Controls; Layer 4: Compliance</t>
  </si>
  <si>
    <t>Yes — 4 implementation levels (Basic / Intermediate / Advanced / Optimised); MOH tracks facility scores</t>
  </si>
  <si>
    <t>HSTP digital health; NABIDH national EHR; Vision 2030 healthcare quality targets</t>
  </si>
  <si>
    <t>HIS system documentation; NABIDH connectivity certificate; interoperability test results; staff training records; system access audit logs; downtime contingency procedure</t>
  </si>
  <si>
    <t>Health informatics systems theory (Shortliffe &amp; Cimino 2006): HIS as sociotechnical infrastructure. Interoperability theory (Kuperman 2011): semantic/syntactic/organisational interoperability levels. Technology adoption theory (TAM — Davis 1989): clinician adoption barriers to HIS.</t>
  </si>
  <si>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</si>
  <si>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</si>
  <si>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</si>
  <si>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</si>
  <si>
    <t>Official: MOH website (moh.gov.sa). Training: CPHIMS (Certified Professional Health Informatics &amp; Information Management); HL7 FHIR Foundational (HL7.org); NHIC developer portal training (nhic.gov.sa). Language: Arabic primary. Estimated: 45 hours</t>
  </si>
  <si>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</si>
  <si>
    <t>G + R + C (all three — clinical information governance foundation)</t>
  </si>
  <si>
    <t>Hospital CEO: accountable for HIS compliance. CIO/CMIO: responsible for HIS implementation and NABIDH connectivity. Clinical Informatics Committee: govern HIS standards adoption. Department Heads: responsible for clinical data quality in their systems</t>
  </si>
  <si>
    <t>Operational Risk (HIS downtime = clinical risk); Patient Safety Risk; Data Quality Risk; Regulatory Risk (MOH non-compliance); Interoperability Risk (NABIDH disconnection)</t>
  </si>
  <si>
    <t>REGULATORY — MOH ministerial directive. Mandatory for all licensed facilities. Non-compliance risks licensing. Enforced through MOH annual audit and NABIDH connectivity monitoring</t>
  </si>
  <si>
    <t>Technical (T): 68 controls — system architecture; integration; security; availability; backup. Administrative (A): 28 controls — data governance; policies; training; documentation. Operational (O): 16 controls — downtime procedures; change management; vendor management</t>
  </si>
  <si>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</si>
  <si>
    <t>Annual MOH HIS audit (documentation + system walk-through); NABIDH API conformance test (NHIC automated); data quality audit; HIS security assessment; downtime procedure simulation; user access review</t>
  </si>
  <si>
    <t>Epic; Cerner (Oracle Health); Philips Tasy EMR; Meditech; InterSystems HealthShare — all NABIDH-integrated. For compliance: ServiceNow Healthcare; Qualio (quality management); NHIC developer portal for FHIR conformance testing</t>
  </si>
  <si>
    <t>HIS vendors: must be MOH-approved/NABIDH-certified; contractual data protection obligations; source code escrow for critical systems; SLA for 99.9% uptime; mandatory SFDA notification if HIS failure affects medical devices; annual security assessment of HIS vendors</t>
  </si>
  <si>
    <t>Non-compliance: MOH corrective action; facility licence conditions; NABIDH disconnection (loss of referrals, national patient record access); PHILAW 2024 penalties for private facilities. Clinical impact: patient safety risk from poor data quality or HIS unavailability</t>
  </si>
  <si>
    <t>MOH-EMR-NABIDH</t>
  </si>
  <si>
    <t>EMR Standards / NABIDH Platform</t>
  </si>
  <si>
    <t>معايير السجل الصحي الإلكتروني / منصة نبض</t>
  </si>
  <si>
    <t>Mandatory 2024</t>
  </si>
  <si>
    <t>52</t>
  </si>
  <si>
    <t>All healthcare facilities — mandatory NABIDH 2024</t>
  </si>
  <si>
    <t>MOH; Hammad &amp; Al-Mehdar 2025</t>
  </si>
  <si>
    <t>NABIDH platform launched ~2018 → mandatory EMR adoption for all facilities 2024</t>
  </si>
  <si>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</si>
  <si>
    <t>NABIDH launched: 2018. Mandatory for all: 2024</t>
  </si>
  <si>
    <t>Continuously updated with NABIDH platform releases</t>
  </si>
  <si>
    <t>CURRENT — mandatory since 2024</t>
  </si>
  <si>
    <t>Facility licensing revocation; MOH enforcement action; barred from government referrals; penalties under PHILAW 2024</t>
  </si>
  <si>
    <t>MOH — NABIDH Programme Office; NHIC; regional health clusters monitor connectivity</t>
  </si>
  <si>
    <t>Hospital; Clinic; Lab; Pharmacy; Government Health Entity — ALL healthcare facilities mandatory</t>
  </si>
  <si>
    <t>Both (mandatory since 2024 PHILAW update for all facilities)</t>
  </si>
  <si>
    <t>NHIC connectivity assessment; NABIDH API conformance testing; MOH annual audit</t>
  </si>
  <si>
    <t>Continuous (NABIDH connectivity monitored in real time); annual formal audit</t>
  </si>
  <si>
    <t>22 (IoMT data integration to NABIDH: wearable data ingestion API; remote monitoring feeds; device-generated vital signs; medical device alerts to patient record; IoMT consent management in EHR)</t>
  </si>
  <si>
    <t>HL7 FHIR R4; IHE (Integrating the Healthcare Enterprise); SNOMED CT; ICD-10; LOINC</t>
  </si>
  <si>
    <t>Arabic + English (NABIDH technical specifications bilingual)</t>
  </si>
  <si>
    <t>Layer 1: Governance; Layer 3: Technical Controls; Layer 4: Compliance; Layer 5: Assurance</t>
  </si>
  <si>
    <t>Yes — NABIDH connectivity levels (1: Basic data exchange; 2: Full longitudinal record; 3: Advanced interoperability with IoMT); MOH tracks facility level</t>
  </si>
  <si>
    <t>HSTP digital health transformation; NABIDH national EHR; NHIS claims integration</t>
  </si>
  <si>
    <t>NABIDH connectivity certificate; API integration test reports; patient consent records for data sharing; EHR system validation; data quality reports</t>
  </si>
  <si>
    <t>MOH-PS</t>
  </si>
  <si>
    <t>Patient Safety Standards</t>
  </si>
  <si>
    <t>معايير سلامة المريض</t>
  </si>
  <si>
    <t>2015</t>
  </si>
  <si>
    <t>72</t>
  </si>
  <si>
    <t>All healthcare facilities</t>
  </si>
  <si>
    <t>MOH official</t>
  </si>
  <si>
    <t>First issued ~2015 → updates 2020 → 2024 update</t>
  </si>
  <si>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</si>
  <si>
    <t>First: ~2015. Updated: 2020, 2024</t>
  </si>
  <si>
    <t>Annual review with MOH patient safety incidents data</t>
  </si>
  <si>
    <t>CURRENT — 2024 version</t>
  </si>
  <si>
    <t>MOH corrective action order; facility licence conditions; public safety alert; criminal liability for gross negligence</t>
  </si>
  <si>
    <t>MOH — Patient Safety Centre; regional health cluster inspection; CBAHI (patient safety standards embedded in accreditation)</t>
  </si>
  <si>
    <t>Hospital; Clinic; Government Health Entity</t>
  </si>
  <si>
    <t>Annual MOH patient safety inspection; CBAHI survey (integrated); incident investigation</t>
  </si>
  <si>
    <t>Annual; triggered by serious adverse event</t>
  </si>
  <si>
    <t>14 (alarm fatigue management for IoMT devices; connected infusion pump safety; IV smart pump drug library governance; patient ID for IoMT devices; device failure response procedures; remote monitoring alert management)</t>
  </si>
  <si>
    <t>WHO Patient Safety Challenges (Global Patient Safety Action Plan 2021-2030); JCI Patient Safety Goals; The Joint Commission NPSG</t>
  </si>
  <si>
    <t>Arabic (primary); English reference</t>
  </si>
  <si>
    <t>Layer 1: Governance; Layer 4: Compliance</t>
  </si>
  <si>
    <t>Yes — patient safety maturity levels (Safety-I to Safety-III); MOH tracks facility scores</t>
  </si>
  <si>
    <t>HSTP patient safety; Vision 2030 quality targets; National Patient Safety Centre</t>
  </si>
  <si>
    <t>Incident reporting system data; patient safety walkround records; fall prevention audit; medication safety audit; CBAHI patient safety standards compliance</t>
  </si>
  <si>
    <t>MOH-PR</t>
  </si>
  <si>
    <t>Patient Rights Charter</t>
  </si>
  <si>
    <t>ميثاق حقوق المريض</t>
  </si>
  <si>
    <t>2012</t>
  </si>
  <si>
    <t>First Charter ~2012 → updated 2019</t>
  </si>
  <si>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</si>
  <si>
    <t>First: ~2012. Updated: 2019</t>
  </si>
  <si>
    <t>Review 2024-2025 expected to add AI/algorithmic transparency rights</t>
  </si>
  <si>
    <t>CURRENT — 2019 version</t>
  </si>
  <si>
    <t>MOH-TELE</t>
  </si>
  <si>
    <t>Telemedicine Regulations</t>
  </si>
  <si>
    <t>لائحة الرعاية الصحية عن بعد</t>
  </si>
  <si>
    <t>Late 2023</t>
  </si>
  <si>
    <t>38</t>
  </si>
  <si>
    <t>All licensed telemedicine platform operators</t>
  </si>
  <si>
    <t>Hammad &amp; Al-Mehdar 2025</t>
  </si>
  <si>
    <t>COVID-19 emergency 2020 → comprehensive regulations late 2023</t>
  </si>
  <si>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</si>
  <si>
    <t>Emergency 2020. Comprehensive: late 2023</t>
  </si>
  <si>
    <t>Annual update; cross-border rules under active development 2025</t>
  </si>
  <si>
    <t>CURRENT — late 2023 comprehensive version</t>
  </si>
  <si>
    <t>Platform licence revocation; SAR 1M–5M fine (scale by offence); clinical professional disciplinary action by SCFHS</t>
  </si>
  <si>
    <t>MOH — eHealth General Directorate; CST (platform technical licensing); CCHI (insurance coverage compliance); SCFHS (clinical standards)</t>
  </si>
  <si>
    <t>Hospital (outpatient teleconsultation); Clinic; Health IT Vendor (platform developers); Health Insurer (reimbursement compliance)</t>
  </si>
  <si>
    <t>MOH platform licence audit (annual); CCHI insurance compliance check; SCFHS clinical quality audit</t>
  </si>
  <si>
    <t>Annual licence renewal; random clinical quality audit</t>
  </si>
  <si>
    <t>15 (remote patient monitoring integration; wearable device data for teleconsultation; IoMT vital sign display during video consultation; remote device prescription; teleICU monitoring requirements)</t>
  </si>
  <si>
    <t>WHO Telemedicine Guidelines (2010/updated); ISO 13131:2021 (Telehealth); ATA (American Telemedicine Association) standards (reference)</t>
  </si>
  <si>
    <t>Arabic (primary); English technical guidance</t>
  </si>
  <si>
    <t>No formal maturity model; licence tiers (basic/advanced platform)</t>
  </si>
  <si>
    <t>HSTP telemedicine targets (30% uptake); SEHA Virtual Hospital; Vision 2030 healthcare access targets</t>
  </si>
  <si>
    <t>Platform licence certificate; patient consent records; clinical documentation standards compliance; identity verification log; prescription records; NABIDH integration evidence</t>
  </si>
  <si>
    <t>Telehealth adoption theory (LeRouge &amp; Garfield 2013): patient acceptance + clinician integration. Access theory: geography-equity argument for remote care. Digital health governance theory: platform regulation vs clinical regulation tension.</t>
  </si>
  <si>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</si>
  <si>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</si>
  <si>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</si>
  <si>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</si>
  <si>
    <t>Official: MOH website. Training: American Telemedicine Association (ATA) online courses; SEHA Virtual Hospital training programme; WHO telehealth competency framework. Estimated: 25 hours</t>
  </si>
  <si>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</si>
  <si>
    <t>G + C (platform governance + clinical compliance)</t>
  </si>
  <si>
    <t>CEO: platform licence accountability. Medical Director: clinical quality governance. DPO: PDPL compliance for patient data on platform. Technical Director: platform security. Pharmacy Director: prescription management compliance</t>
  </si>
  <si>
    <t>Clinical Risk (misdiagnosis via teleconsultation); Regulatory Risk (licence breach); Privacy Risk (patient data); Operational Risk (platform availability); Cross-Border Risk (international teleconsultation restrictions)</t>
  </si>
  <si>
    <t>REGULATORY — MOH licensing requirement. Non-compliance: platform licence revocation; SAR 1M–5M fine; SCFHS action against clinicians</t>
  </si>
  <si>
    <t>Administrative (A): 20 controls — licensing; consent; documentation; clinical protocols. Technical (T): 12 controls — platform security; identity verification; audio/video standards. Operational (O): 6 controls — prescribing workflow; referral protocol; audit trail</t>
  </si>
  <si>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</si>
  <si>
    <t>Annual MOH licence renewal audit; CCHI insurance coverage compliance check; patient record documentation audit; platform security assessment; identity verification system test; NABIDH integration test</t>
  </si>
  <si>
    <t>Sehhaty / Mawid (MOH official platforms); Nabdh; Cura Health; Vezeeta; Nubaqraa — all require MOH licensing. Security tools: FortiWeb (WAF); Auth0/Okta (identity); TeleVisit security frameworks</t>
  </si>
  <si>
    <t>Platform vendors: MOH-licensed telemedicine solution mandatory; PDPL DPA required; NABIDH API certification; patient data not to be shared with third-party analytics without consent; international teleconsultation providers must be MOH-approved</t>
  </si>
  <si>
    <t>Unlicensed platform: immediate shutdown; SAR fine; clinical professional disciplinary action. Licence revocation: complete business cessation. Patient harm via telemedicine: malpractice liability; SCFHS investigation</t>
  </si>
  <si>
    <t>Healthcare &amp; Life Sciences; ICT/Digital (platform providers)</t>
  </si>
  <si>
    <t>MOH-PHILAW</t>
  </si>
  <si>
    <t>Private Health Institutions Law</t>
  </si>
  <si>
    <t>نظام المنشآت الصحية الخاصة</t>
  </si>
  <si>
    <t>2024 updated</t>
  </si>
  <si>
    <t>1990</t>
  </si>
  <si>
    <t>Private hospitals, clinics, specialist centres</t>
  </si>
  <si>
    <t>Original ~1990 → updated 2009 → major update 2024 mandating digital health</t>
  </si>
  <si>
    <t>2009 update: private hospital licensing criteria. 2024 major update: mandatory EMR adoption for all private facilities; mandatory NABIDH connectivity; minimum cybersecurity standards for private health facilities (aligned with NCA ECC-2); mandatory health professional licensing verification through SCFHS; civil money penalties for non-compliance. Significant governance shift for private health sector</t>
  </si>
  <si>
    <t>Original: ~1990. Updated: 2009, 2024</t>
  </si>
  <si>
    <t>Next review 2026-2027</t>
  </si>
  <si>
    <t>Healthcare &amp; Life Sciences (private sector)</t>
  </si>
  <si>
    <t>MOH-NHIS</t>
  </si>
  <si>
    <t>National Health Insurance Standards</t>
  </si>
  <si>
    <t>معايير التأمين الصحي الوطني</t>
  </si>
  <si>
    <t>30</t>
  </si>
  <si>
    <t>Health clusters and public hospitals</t>
  </si>
  <si>
    <t>Saudi HC Sector 2025</t>
  </si>
  <si>
    <t>National Health Insurance System rollout 2024 onwards (in development)</t>
  </si>
  <si>
    <t>Universal health insurance being rolled out under Vision 2030. Phase 1 (2024): government employees and dependants. Phase 2: private sector employees. Phase 3: citizens. 30 coverage standards include digital claims, e-prior authorisation, pharmacy integration with NABIDH. Coordinates with CCHI for private sector</t>
  </si>
  <si>
    <t>Development: 2022-2024. Rollout: 2024 onwards</t>
  </si>
  <si>
    <t>Progressive rollout; full implementation target 2030</t>
  </si>
  <si>
    <t>IN DEVELOPMENT — phased rollout 2024-2030</t>
  </si>
  <si>
    <t>MOH-HAJHLT</t>
  </si>
  <si>
    <t>Hajj &amp; Umrah Health Standards</t>
  </si>
  <si>
    <t>معايير صحة الحج والعمرة</t>
  </si>
  <si>
    <t>2000</t>
  </si>
  <si>
    <t>25</t>
  </si>
  <si>
    <t>All HC providers during Hajj/Umrah season</t>
  </si>
  <si>
    <t>Annual issuance since 2000; updated every year before Hajj season</t>
  </si>
  <si>
    <t>Annual standards updated based on prior year experience and WHO mass-gathering guidance. 2022 added COVID-19 health screening protocols. 2023-2024: IoT crowd monitoring standards (wearable health monitors for high-risk pilgrims), real-time disease surveillance system integration with WHO. Covers: vaccination requirements, emergency response, disease surveillance, mass casualty management, coordination with WHO GOARN</t>
  </si>
  <si>
    <t>Annual issuance since 2000; 2024 version current</t>
  </si>
  <si>
    <t>Issued annually before Hajj season (approx. March-April each year)</t>
  </si>
  <si>
    <t>CURRENT — 2024 version (annual)</t>
  </si>
  <si>
    <t>Healthcare &amp; Life Sciences; Councils/Committees (MOHAJ)</t>
  </si>
  <si>
    <t>MOH as government entity</t>
  </si>
  <si>
    <t>NCA official; ECC-2 scope</t>
  </si>
  <si>
    <t>2021+IR 2023</t>
  </si>
  <si>
    <t>MOH processes patient personal data</t>
  </si>
  <si>
    <t>SDAIA; Baker McKenzie 2025</t>
  </si>
  <si>
    <t>NCA-DCC</t>
  </si>
  <si>
    <t>MOH as ECC-scope entity</t>
  </si>
  <si>
    <t>NCA-OTCC</t>
  </si>
  <si>
    <t>MOH hospital medical device networks as CNI</t>
  </si>
  <si>
    <t>NCA OTCC scope</t>
  </si>
  <si>
    <t>R + C (Risk and Compliance — technically oriented; governance implied)</t>
  </si>
  <si>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</si>
  <si>
    <t>Cyber Risk (OT/ICS); Operational Risk (process disruption); Physical Safety Risk (clinical impact of OT compromise); Supply Chain Risk (OT vendor remote access); Availability Risk (OT always-on requirement)</t>
  </si>
  <si>
    <t>LEGAL — Mandatory for CNI OT operators under NCA-REG-2024. Hospitals as CNI: healthcare OT networks are in scope. Penalties: NCA-REG-2024 (SAR 25M max) + potential operational shutdown of non-compliant OT systems</t>
  </si>
  <si>
    <t>Technical (T): 40 controls — OT network segmentation; secure remote access; OT monitoring; patch management for ICS. Administrative (A): 8 controls — OT governance; vendor management; OT incident response. Operational (O): 5 controls — OT change management; OT BCP</t>
  </si>
  <si>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</si>
  <si>
    <t>OT vulnerability scan (passive — non-disruptive tools: Claroty, Nozomi, Dragos); OT network traffic analysis; OT penetration test (annual — must not disrupt clinical operations); vendor remote access audit; zone/conduit diagram validation</t>
  </si>
  <si>
    <t>Claroty (medical IoT OT visibility); Nozomi Networks; Dragos; Tenable.ot; Fortinet OT; Medigate (healthcare-specific OT). For GRC integration: ServiceNow OT module; IBM QRadar SIEM with OT signatures</t>
  </si>
  <si>
    <t>All OT vendors with remote access: mandatory access logging; time-limited access; multi-factor authentication; vendor security assessment before engagement; NDA for OT architecture access; OT vendor incident notification within 4 hours</t>
  </si>
  <si>
    <t>OT breach in hospital: potential life-critical impact (ventilator, infusion pump disruption); NCA shutdown order; SAR 25M fine; criminal referral; SFDA recall if device compromise detected; massive reputational and legal exposure</t>
  </si>
  <si>
    <t>SFDA</t>
  </si>
  <si>
    <t>Saudi Food &amp; Drug Authority</t>
  </si>
  <si>
    <t>SFDA-MDR</t>
  </si>
  <si>
    <t>Medical Device Regulations</t>
  </si>
  <si>
    <t>نظام الأجهزة الطبية</t>
  </si>
  <si>
    <t>2022 updated</t>
  </si>
  <si>
    <t>2013</t>
  </si>
  <si>
    <t>87</t>
  </si>
  <si>
    <t>All medical device manufacturers, importers, distributors, facilities</t>
  </si>
  <si>
    <t>https://www.sfda.gov.sa/en</t>
  </si>
  <si>
    <t>SFDA official; Hammad &amp; Al-Mehdar 2025</t>
  </si>
  <si>
    <t>Royal Decree M/42 2013 → comprehensive revision 2022</t>
  </si>
  <si>
    <t>2013: Basic medical device registration system. 2018: Mandatory registration on SFDA e-portal (Estshary). 2020: Class III device pathway accelerated. 2022 comprehensive revision: aligned with IMDRF Global Model; 87 controls covering pre-market/post-market; mandatory UDID (Unique Device Identification) for implantable devices; AI/ML device pathway (leads to MDS-G010 guidance); IVD separate classification. Aligns with EU MDR 2017/745 and FDA 21 CFR Part 820</t>
  </si>
  <si>
    <t>Issued: 2013. Comprehensive revision: 2022</t>
  </si>
  <si>
    <t>Next major revision expected 2025-2026 addressing AI medical devices more broadly</t>
  </si>
  <si>
    <t>CURRENT — 2022 version</t>
  </si>
  <si>
    <t>Product recall; import ban; market withdrawal; facility closure; SAR 1M–5M fine; criminal prosecution for adulterated devices</t>
  </si>
  <si>
    <t>SFDA — Medical Devices Sector; Port of entry inspection (ZATCA coordination); Post-Market Surveillance Department</t>
  </si>
  <si>
    <t>Medical Device Manufacturer; Hospital (using devices); Clinic; Lab; Health IT Vendor (SaMD = Software as Medical Device); Medical Equipment Importer</t>
  </si>
  <si>
    <t>SFDA pre-market conformity assessment; GMP audit; post-market surveillance review; adverse event investigation</t>
  </si>
  <si>
    <t>Pre-market: before registration. Post-market: continuous PMS. GMP audit: every 3-5 years</t>
  </si>
  <si>
    <t>34 (connected device classification; cybersecurity design requirements; software lifecycle; network security; firmware update mechanism; UDID for connected devices; adverse event reporting for cyber incidents; post-market monitoring of connected device performance)</t>
  </si>
  <si>
    <t>IMDRF GHTF documents; ISO 13485:2016; ISO 14971:2019; IEC 62443-4-2 (IoMT); EU MDR 2017/745; FDA 21 CFR Part 820</t>
  </si>
  <si>
    <t>Arabic + English (official bilingual); Arabic official text prevails</t>
  </si>
  <si>
    <t>Layer 1: Governance; Layer 2: Risk Management; Layer 3: Technical Controls; Layer 4: Compliance</t>
  </si>
  <si>
    <t>Risk-based classification (Class I/II/III) + conformity assessment levels, not a maturity model per se</t>
  </si>
  <si>
    <t>HSTP medical technology; Vision 2030 healthcare quality; Saudi MedTech sector development (SFDA's 2030 regulatory roadmap)</t>
  </si>
  <si>
    <t>SFDA registration certificate; technical file / design dossier; conformity assessment certificate; UDID; PMS plan; adverse event reports; GMP certificate</t>
  </si>
  <si>
    <t>Medical device regulation theory: pre-market vs post-market balance (Rathi et al. 2019). Risk classification theory: proportionate regulation by clinical risk. Regulatory science: evidence standards for novel technologies (AI/IoMT).</t>
  </si>
  <si>
    <t>FOR: 2022 revision brought KSA alignment with IMDRF global model — first time KSA device regulation internationally benchmarked; UDID implementation enables post-market traceability critical for IoMT security recall. AGAINST: Al-Hamdan et al. (2020) and Aziz (2021) document significant classification and registration delays — average 18-24 months for Class III devices; cybersecurity requirements in MDR still underdeveloped relative to FDA premarket cybersecurity guidance; AI medical device pathway (MDS-G010) issued 2024 but enforcement timeline unclear</t>
  </si>
  <si>
    <t>SaMD (Software as Medical Device) classification grey areas create regulatory uncertainty for IoMT apps; post-market surveillance reporting rates historically very low (SFDA 2022 annual report); no KSA-specific clinical data requirement — global clinical evidence accepted without Saudi population validation; SFDA capacity constraints limit inspection frequency</t>
  </si>
  <si>
    <t>SFDA-MDR vs EU MDR 2017/745: EU MDR stricter clinical evidence; SFDA-MDR aligned with IMDRF GHTF but lighter on UDI requirements. SFDA-MDR vs FDA 510(k)/PMA: SFDA uses similar risk classification but faster pathway. SFDA-MDR vs UK MHRA: post-Brexit UK developing own pathway; KSA monitors UK trajectory. Key gap vs all: KSA MDR cybersecurity requirements less developed than FDA Cybersecurity in Medical Devices 2023</t>
  </si>
  <si>
    <t>Al-Hamdan N et al. (2020) 'Medical Device Regulation in Saudi Arabia' Saudi Med J; Aziz MT (2021) 'SFDA and Medical Devices' Arabian J; SFDA (2022) Annual Report sfda.gov.sa; Rathi VK et al. (2019) 'Medical Device Regulation' JMIR Biomed Eng 4(1); FDA (2023) Cybersecurity in Medical Devices: Quality System Considerations</t>
  </si>
  <si>
    <t>Official: SFDA website (sfda.gov.sa) + SFDA e-portal Estshary. Training: RAPS (Regulatory Affairs Professionals Society) — RAC (Regulatory Affairs Certification); AAMI (medical device standards body) training; ISO 13485:2016 lead auditor course. Estimated: 80 hours for full regulatory affairs competence</t>
  </si>
  <si>
    <t>CRITICAL for GH-ICGA Layer 2 (Risk Management) and Layer 3 (Technical Controls) — SFDA-MDR is the primary device governance framework that GH-ICGA must interface with. Thesis: GH-ICGA proposes a cybersecurity governance layer that SFDA-MDR currently lacks — the regulatory gap between SFDA device safety regulation and NCA cybersecurity regulation creates the IoMT governance void that GH-ICGA addresses</t>
  </si>
  <si>
    <t>R + C (device risk management + regulatory compliance)</t>
  </si>
  <si>
    <t>Board/CEO: accountable for device regulatory compliance. Medical Device Officer (MDO): mandatory — responsible for device registration and post-market surveillance. Procurement: verify SFDA registration before purchase. Biomedical Engineering: maintain registered device inventory. Legal: manage SFDA regulatory submissions</t>
  </si>
  <si>
    <t>Regulatory Risk (unregistered device use); Patient Safety Risk (unsafe device); Cyber Risk (connected device vulnerability); Supply Chain Risk (counterfeit devices); Reputational Risk (device recall)</t>
  </si>
  <si>
    <t>LEGAL — Royal Decree M/42 2013 (as revised 2022). Criminal penalties for adulterated/counterfeit devices. Administrative: SAR 1M–5M fine; product recall; facility closure; import ban</t>
  </si>
  <si>
    <t>Administrative (A): 32 controls — device registration; incident reporting; recall procedures; labelling. Technical (T): 34 controls — cybersecurity for connected devices; software validation; design controls. Operational (O): 21 controls — post-market surveillance; complaint handling; field corrective actions</t>
  </si>
  <si>
    <t>1. % medical devices with current SFDA registration (target 100%). 2. # unregistered devices identified in audit (target 0). 3. Adverse event reporting rate within SFDA timelines (target 100%). 4. # open field safety corrective actions (FSCA) per quarter. 5. Time from complaint to SFDA notification (target &lt;48h for serious). 6. % connected devices with documented cybersecurity assessment</t>
  </si>
  <si>
    <t>SFDA market surveillance inspection (unannounced); annual device inventory audit; adverse event report review; FSCA completion verification; GMP audit for manufacturers; connected device cybersecurity assessment (annually per SFDA-AI-MDS-G010)</t>
  </si>
  <si>
    <t>SFDA e-portal Estshary (mandatory for registration); Greenlight Guru (medical device QMS); Qualio; MasterControl; Arena; Veeva Vault (regulatory submissions); Trackwise (complaints). For cybersecurity: MedCrypt; Cylera (IoMT security)</t>
  </si>
  <si>
    <t>Importers: verify SFDA registration before import; maintain traceability records; file FSCA within 48h; manufacturer quality agreements; SABER conformity certification for device safety (SASO); cold chain compliance documentation for temperature-sensitive devices</t>
  </si>
  <si>
    <t>Unregistered device use: SAR 1M+ fine; facility closure; criminal prosecution; patient harm liability. Device recall: operational disruption; reputational damage; MOH investigation. Non-PMS compliance: market authorisation withdrawal; SFDA blacklist (import ban)</t>
  </si>
  <si>
    <t>Healthcare &amp; Life Sciences; Industry &amp; Trade (device manufacturers/importers)</t>
  </si>
  <si>
    <t>SFDA-PHARMA</t>
  </si>
  <si>
    <t>Drug &amp; Pharmacy Law</t>
  </si>
  <si>
    <t>نظام الدواء والصيدلة</t>
  </si>
  <si>
    <t>2020 updated</t>
  </si>
  <si>
    <t>1978</t>
  </si>
  <si>
    <t>134</t>
  </si>
  <si>
    <t>Pharma manufacturers, distributors, importers, pharmacies</t>
  </si>
  <si>
    <t>SFDA official</t>
  </si>
  <si>
    <t>Royal Decree 1978 → major update 2020; accelerated pathways 2023-2025</t>
  </si>
  <si>
    <t>1978: Basic drug and pharmacy law. Multiple updates to 2020 (comprehensive revision). 2020 update: GMP alignment with PIC/S; pharmacovigilance system (SFDA NPC); smart dispensing pharmacy requirements; electronic prescribing integration. 2023-2025: accelerated approval pathways for oncology and rare disease; conditional approval pathway; real-world evidence acceptance; digital pharmacy licensing</t>
  </si>
  <si>
    <t>Original: 1978. Major update: 2020. Accelerated pathways: 2023-2025</t>
  </si>
  <si>
    <t>Annual updates; accelerated pathway regulations ongoing</t>
  </si>
  <si>
    <t>CURRENT — 2020 base with 2023-2025 pathway additions</t>
  </si>
  <si>
    <t>Healthcare &amp; Life Sciences; Industry &amp; Trade (pharma manufacturers)</t>
  </si>
  <si>
    <t>SFDA-AI-MDS-G010</t>
  </si>
  <si>
    <t>AI/ML in Medical Devices (MDS-G010)</t>
  </si>
  <si>
    <t>المبادئ التوجيهية للذكاء الاصطناعي في الأجهزة الطبية</t>
  </si>
  <si>
    <t>Medical device manufacturers using AI/ML; healthcare AI devices</t>
  </si>
  <si>
    <t>SFDA 2024; Healthcare World Nov 2025</t>
  </si>
  <si>
    <t>First KSA AI medical device guidance 2024 (no predecessor)</t>
  </si>
  <si>
    <t>KSA's first AI/ML medical device regulatory guidance. Key provisions: predetermined change control plan for adaptive algorithms; transparency requirements for AI decision-making in diagnosis; risk-based approach (high-risk: AI for cancer screening, sepsis detection, ICU monitoring); post-market performance monitoring for AI models; labelling requirements for AI-enabled devices; clinical validation requirements specific to Saudi patient populations. Aligns with FDA AI/ML Action Plan and EU AI Act healthcare provisions</t>
  </si>
  <si>
    <t>Issued: 2024</t>
  </si>
  <si>
    <t>Expected updates 2025-2026 as regulatory science matures</t>
  </si>
  <si>
    <t>CURRENT — 2024, first version</t>
  </si>
  <si>
    <t>Device registration refusal; market withdrawal of non-compliant AI devices; criminal liability if patient harm results</t>
  </si>
  <si>
    <t>SFDA — Medical Devices Sector (AI/Digital Health Sub-unit); SFDA post-market surveillance</t>
  </si>
  <si>
    <t>Medical Device Manufacturer (AI devices); Hospital (deploying AI diagnostics); Health IT Vendor (SaMD/AI algorithms); Radiology; Pathology</t>
  </si>
  <si>
    <t>Pre-market AI/ML review (integrated with MDR); post-market AI performance monitoring</t>
  </si>
  <si>
    <t>Pre-market: before deployment. Post-market: continuous algorithm monitoring</t>
  </si>
  <si>
    <t>18 (AI-enabled IoMT: algorithm validation on diverse populations; real-world performance monitoring; adaptive algorithm change control; AI transparency for clinical users; cybersecurity of AI inference engines in connected devices)</t>
  </si>
  <si>
    <t>FDA AI/ML Action Plan (Feb 2021); EU AI Act (high-risk AI in medical devices); IMDRF AI/ML SaMD working group; ISO/IEC JTC 1/SC 42 (AI standards)</t>
  </si>
  <si>
    <t>Arabic + English (guidance document bilingual)</t>
  </si>
  <si>
    <t>Layer 2: Risk Management; Layer 3: Technical Controls; Layer 4: Compliance</t>
  </si>
  <si>
    <t>Risk tier classification (not maturity levels): Tier I/II/III by clinical risk</t>
  </si>
  <si>
    <t>SDAIA AI Strategy; HSTP AI-enabled diagnostics; SFDA 2030 Digital Health Regulatory Roadmap</t>
  </si>
  <si>
    <t>Algorithm validation report; clinical evidence study; Predetermined Change Control Plan; real-world performance monitoring data; labelling compliance; cybersecurity assessment</t>
  </si>
  <si>
    <t>Algorithmic accountability theory (Diakopoulos 2016): transparency and explainability for high-stakes AI. Regulatory theory for emerging tech: iterative governance (sandbox approach). Medical AI safety theory: validation vs real-world performance divergence.</t>
  </si>
  <si>
    <t>FOR: First-mover advantage in GCC region for AI device regulation; aligns with FDA AI/ML Action Plan and EU AI Act direction; Topol (2019) argues clinical AI requires national regulatory clarity to enable safe adoption. AGAINST: Guidance issued 2024 but no enforcement date confirmed — Parikh et al. (2019) document regulatory ambiguity as the primary barrier to clinical AI deployment; black-box AI in diagnostics conflicts with explainability requirements — WHO (2021) AI ethics in health highlights tension; small hospitals cannot validate AI devices on Saudi patient populations alone</t>
  </si>
  <si>
    <t>Non-binding guidance only — no mandatory pre-market AI review yet; no SFDA AI/ML device registry; Saudi patient population representativeness in global AI training data poorly addressed; limited SFDA technical expertise in AI/ML evaluation documented; no clinical trial requirement specific to AI performance in Saudi clinical settings</t>
  </si>
  <si>
    <t>SFDA MDS-G010 vs FDA AI/ML SaMD Action Plan (2021): FDA has iterative change protocol; SFDA guidance analogous but less detailed. vs EU AI Act (2024): EU AI Act classifies medical AI as high-risk with mandatory conformity assessment — SFDA guidance voluntary. vs MHRA AI guidance (UK): UK AI/ML SaMD multi-stakeholder framework more advanced. KSA is behind FDA/EU but ahead of most GCC peers</t>
  </si>
  <si>
    <t>Topol EJ (2019) 'High-Performance Medicine' Nature Medicine 25(1); Parikh RB et al. (2019) 'Regulation of Predictive Algorithms' JAMA; WHO (2021) Ethics and Governance of AI for Health; SFDA (2024) MDS-G010 AI/ML Medical Devices; FDA (2021) AI/ML-Based SaMD Action Plan</t>
  </si>
  <si>
    <t>Official: SFDA MDS-G010 document (sfda.gov.sa). Training: Stanford AI in Medicine (Coursera); AI4Health (WHO-ITU); RAPS AI in regulatory affairs course; AAMI AI in medical devices webinar series. Estimated: 50 hours</t>
  </si>
  <si>
    <t>GH-ICGA Layer 2 (Risk Management) — AI-enabled IoMT devices require specific risk governance that both SFDA-MDR and NCA-ECC miss. GH-ICGA thesis positions AI medical device governance as a cross-layer challenge spanning all 5 layers: governance (L1), AI risk assessment (L2), algorithm security (L3), regulatory compliance (L4), AI assurance (L5)</t>
  </si>
  <si>
    <t>R + C (risk-based AI device governance + compliance)</t>
  </si>
  <si>
    <t>CEO: accountable for AI device compliance. MDO (Medical Device Officer): AI device registration. AI Safety Officer (new role — AI devices): responsible for algorithm monitoring. Clinical users: mandatory training on AI device limitations</t>
  </si>
  <si>
    <t>Patient Safety Risk (AI misdiagnosis); Algorithmic Risk; Regulatory Risk; Reputational Risk (AI failure); Supply Chain Risk (AI model provenance)</t>
  </si>
  <si>
    <t>GUIDELINE (2024) — enforcement timeline pending. Expected to become MANDATORY requirement for AI device registration by 2025-2026. Pre-market AI review by SFDA will be required for Class II+</t>
  </si>
  <si>
    <t>Technical (T): algorithm validation; change control; monitoring; cybersecurity. Administrative (A): transparency documentation; clinical evidence dossier; labelling. Operational (O): post-market performance monitoring; clinician training; incident reporting</t>
  </si>
  <si>
    <t>1. # AI devices with completed pre-market cybersecurity assessment. 2. Algorithm performance drift detection rate. 3. # AI-related adverse events reported to SFDA. 4. % AI devices with Predetermined Change Control Plan. 5. Clinician AI training completion rate</t>
  </si>
  <si>
    <t>Pre-market: algorithm validation on diverse datasets (including Saudi patients); cybersecurity testing; safety/risk assessment (ISO 14971). Post-market: real-world performance monitoring; drift detection; adverse event analysis</t>
  </si>
  <si>
    <t>SFDA e-portal Estshary (device registration). AI monitoring: WhyLabs; Evidently AI; Fiddler AI (algorithm monitoring). Quality: Greenlight Guru AI module; Qualio. Cybersecurity for AI: MedCrypt</t>
  </si>
  <si>
    <t>AI model developers: must provide algorithm documentation; training data provenance; bias assessment. Cloud AI inference providers: data residency compliance; model security; audit logs. CROs for AI clinical validation: ICH E6 GCP + AI-specific validation protocol</t>
  </si>
  <si>
    <t>Non-compliant AI device: SFDA market withdrawal; patient harm liability; criminal prosecution if negligent. Regulatory lag: AI devices deployed before guidance formalisation risk retroactive enforcement action. Reputational: AI-caused clinical error = significant media and regulatory scrutiny</t>
  </si>
  <si>
    <t>Healthcare &amp; Life Sciences; Industry &amp; Trade (AI device manufacturers)</t>
  </si>
  <si>
    <t>SFDA-GMP</t>
  </si>
  <si>
    <t>Good Manufacturing Practice</t>
  </si>
  <si>
    <t>ممارسات التصنيع الجيدة</t>
  </si>
  <si>
    <t>Updated 2021</t>
  </si>
  <si>
    <t>2005</t>
  </si>
  <si>
    <t>68</t>
  </si>
  <si>
    <t>Drug and medical device manufacturers</t>
  </si>
  <si>
    <t>Based on PIC/S GMP guide; KSA-specific updates 2021; ISO 13485 cross-reference</t>
  </si>
  <si>
    <t>Aligned with PIC/S PE 009 Guide to GMP. Major elements: Quality Management System, personnel qualification, premises/equipment, documentation, production, quality control, contract manufacturing, complaints/recall. 2021 KSA update: Arabic GMP inspection forms; Saudi-specific requirements for halal APIs and excipients; enhanced requirements for biologics and ATMPs</t>
  </si>
  <si>
    <t>Based on PIC/S GMP (continuously updated). KSA update: 2021</t>
  </si>
  <si>
    <t>Updated with PIC/S revisions; next expected 2024-2025</t>
  </si>
  <si>
    <t>CURRENT — 2021 KSA version</t>
  </si>
  <si>
    <t>Healthcare &amp; Life Sciences; Industry &amp; Trade</t>
  </si>
  <si>
    <t>SFDA-PMS</t>
  </si>
  <si>
    <t>Post-Market Surveillance Requirements</t>
  </si>
  <si>
    <t>متطلبات مراقبة ما بعد التسويق</t>
  </si>
  <si>
    <t>All medical device market authorisation holders and facilities</t>
  </si>
  <si>
    <t>First comprehensive PMS regulation 2022</t>
  </si>
  <si>
    <t>38 control obligations covering: Vigilance reporting timelines (serious incidents: 48 hours; non-serious: 10 days to SFDA); Field Safety Corrective Actions (FSCA) notification; periodic safety update reports; post-market clinical follow-up requirements; trend analysis obligations. IoMT application: connected medical device cyber incidents classified as device safety incidents requiring PMS reporting if patient harm potential exists</t>
  </si>
  <si>
    <t>CURRENT — 2022</t>
  </si>
  <si>
    <t>SFDA-COSM</t>
  </si>
  <si>
    <t>Cosmetics Regulations</t>
  </si>
  <si>
    <t>نظام مستحضرات التجميل</t>
  </si>
  <si>
    <t>Updated 2020</t>
  </si>
  <si>
    <t>2004</t>
  </si>
  <si>
    <t>Cosmetic manufacturers and importers</t>
  </si>
  <si>
    <t>SFDA-FOOD</t>
  </si>
  <si>
    <t>Food Safety Law</t>
  </si>
  <si>
    <t>نظام سلامة الغذاء</t>
  </si>
  <si>
    <t>Updated 2022</t>
  </si>
  <si>
    <t>65</t>
  </si>
  <si>
    <t>Food producers, importers — hospital dietary services</t>
  </si>
  <si>
    <t>Healthcare &amp; Life Sciences; Industry &amp; Trade (food producers)</t>
  </si>
  <si>
    <t>SFDA-CT</t>
  </si>
  <si>
    <t>Clinical Trial Regulations</t>
  </si>
  <si>
    <t>أنظمة التجارب السريرية</t>
  </si>
  <si>
    <t>Updated 2025</t>
  </si>
  <si>
    <t>All organisations conducting clinical trials in KSA</t>
  </si>
  <si>
    <t>SFDA-PEST</t>
  </si>
  <si>
    <t>Pesticide &amp; Biocide Regulations</t>
  </si>
  <si>
    <t>أنظمة المبيدات</t>
  </si>
  <si>
    <t>2008</t>
  </si>
  <si>
    <t>Pesticide manufacturers — hospital environmental products</t>
  </si>
  <si>
    <t>SFDA as government entity</t>
  </si>
  <si>
    <t>SFDA processes clinical trial and device registration data</t>
  </si>
  <si>
    <t>CBAHI</t>
  </si>
  <si>
    <t>Central Board for Accreditation of HCI</t>
  </si>
  <si>
    <t>CBAHI-HAS-H</t>
  </si>
  <si>
    <t>Hospital Accreditation Standards (5th Ed.)</t>
  </si>
  <si>
    <t>معايير اعتماد المستشفيات</t>
  </si>
  <si>
    <t>5th Edition 2021</t>
  </si>
  <si>
    <t>298</t>
  </si>
  <si>
    <t>Voluntary</t>
  </si>
  <si>
    <t>Hospitals — voluntary but required for MOH facility operation</t>
  </si>
  <si>
    <t>https://www.cbahi.gov.sa/</t>
  </si>
  <si>
    <t>CBAHI official; WHO/WEF PHSSR 2025</t>
  </si>
  <si>
    <t>1st Ed 2008 → 2nd Ed 2011 → 3rd Ed 2014 → 4th Ed 2017 → 5th Ed 2021</t>
  </si>
  <si>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</si>
  <si>
    <t>1st Ed: 2008. 2nd: 2011. 3rd: 2014. 4th: 2017. 5th: 2021</t>
  </si>
  <si>
    <t>6th Edition expected 2025-2026</t>
  </si>
  <si>
    <t>CURRENT — 5th Edition 2021</t>
  </si>
  <si>
    <t>Accreditation denial; accreditation suspension; accreditation withdrawal; MOH facility licensing risk (accreditation linked to licensing in practice)</t>
  </si>
  <si>
    <t>CBAHI — Accreditation Survey Teams (peer surveyors); MOH recognises CBAHI as national accreditor</t>
  </si>
  <si>
    <t>Hospital (primary scope); Teaching Hospital; Specialist Centre</t>
  </si>
  <si>
    <t>Both (voluntary but operationally required)</t>
  </si>
  <si>
    <t>Full survey every 3 years; midterm (focused) survey at 18 months; unannounced visits; corrective action follow-up</t>
  </si>
  <si>
    <t>Full survey: 3-year cycle. Midterm: 18 months. Unannounced: possible at any time</t>
  </si>
  <si>
    <t>22 (HIT standards: medical device integration; alarm management policy mandatory; device maintenance logs; remote monitoring governance; downtime procedures; device inventory; cybersecurity of clinical systems as patient safety issue)</t>
  </si>
  <si>
    <t>JCI (Joint Commission International) — benchmarked; ISQua (accreditation body accreditor); WHO Safe Hospitals Framework</t>
  </si>
  <si>
    <t>Layer 1: Governance; Layer 4: Compliance; Layer 5: Assurance</t>
  </si>
  <si>
    <t>Yes — Met / Partially Met / Not Met / Not Applicable per standard; overall accreditation decision = scored threshold</t>
  </si>
  <si>
    <t>HSTP quality transformation; Vision 2030 healthcare quality targets (JCI/CBAHI accreditation for all tertiary hospitals)</t>
  </si>
  <si>
    <t>Survey self-assessment; policy documentation; staff credential files; patient safety incident log; HIT system audit; quality improvement data; patient satisfaction scores</t>
  </si>
  <si>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</si>
  <si>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</si>
  <si>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</si>
  <si>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</si>
  <si>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</si>
  <si>
    <t>Official: CBAHI website (cbahi.gov.sa) — standards available to purchase. Training: CBAHI education programmes; surveyor training; CPHQ (Certified Professional in Healthcare Quality). Estimated: 60 hours for surveyors; 20 hours for department leads</t>
  </si>
  <si>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</si>
  <si>
    <t>G + C (Governance through quality standards + voluntary compliance assurance)</t>
  </si>
  <si>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</si>
  <si>
    <t>Quality Risk; Patient Safety Risk; Operational Risk (accreditation loss = licensing risk); Reputational Risk; Regulatory Risk (MOH links accreditation to licensing in practice)</t>
  </si>
  <si>
    <t>VOLUNTARY — but operationally MANDATORY (MOH licensing increasingly linked to CBAHI in practice; required for JCI-referencing hospitals and private insurance network participation)</t>
  </si>
  <si>
    <t>Administrative (A): 150 controls — policies; procedures; governance; quality committees. Technical (T): 48 controls — HIT; equipment maintenance; diagnostic systems. Operational (O): 100 controls — clinical procedures; patient safety practices; staff competencies</t>
  </si>
  <si>
    <t>1. CBAHI survey score per chapter (target ≥90% Met). 2. # sentinel events per 1,000 admissions. 3. Falls rate per 1,000 patient days. 4. Hospital-acquired infection rate. 5. Patient satisfaction score (target &gt;90%). 6. Medication error rate. 7. HIT compliance score (CBAHI HIT chapter)</t>
  </si>
  <si>
    <t>CBAHI full survey (3-year cycle — 2-3 day on-site assessment); midterm survey (18 months — focused chapters); unannounced visit (possible any time); tracer methodology; document review; staff interviews; facility inspection</t>
  </si>
  <si>
    <t>Accreditation Manager (CBAHI online platform); EQUIP (quality management platform); PowerDMS; Quantros; Press Ganey (patient satisfaction); Meditech/Epic quality modules; RL6 (incident reporting)</t>
  </si>
  <si>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</si>
  <si>
    <t>Accreditation denial: cannot be MOH referral centre; excluded from major insurance networks; reputational damage. Accreditation suspension: immediate revenue impact from insurance exclusion. MOH can condition facility licence on CBAHI compliance</t>
  </si>
  <si>
    <t>CBAHI-HAS-PHC</t>
  </si>
  <si>
    <t>Primary Health Care Accreditation Standards</t>
  </si>
  <si>
    <t>معايير اعتماد الرعاية الصحية الأولية</t>
  </si>
  <si>
    <t>3rd Edition 2020</t>
  </si>
  <si>
    <t>145</t>
  </si>
  <si>
    <t>Primary health care centres</t>
  </si>
  <si>
    <t>CBAHI official</t>
  </si>
  <si>
    <t>1st Ed 2010 → 2nd Ed 2015 → 3rd Ed 2020</t>
  </si>
  <si>
    <t>3rd Edition (2020): 145 standards for PHC centres. Covers chronic disease management (diabetes, hypertension), preventive services, family medicine, mental health services, pharmacy, infection control, records management. IoMT: remote patient monitoring for chronic disease management; telemedicine integration requirements aligned with MOH-TELE</t>
  </si>
  <si>
    <t>1st: 2010. 2nd: 2015. 3rd: 2020</t>
  </si>
  <si>
    <t>4th Edition expected 2024-2025</t>
  </si>
  <si>
    <t>CURRENT — 3rd Edition 2020</t>
  </si>
  <si>
    <t>CBAHI-HAS-LAB</t>
  </si>
  <si>
    <t>Laboratory Accreditation Standards</t>
  </si>
  <si>
    <t>معايير اعتماد المختبرات</t>
  </si>
  <si>
    <t>2nd Edition 2019</t>
  </si>
  <si>
    <t>80</t>
  </si>
  <si>
    <t>Clinical laboratories</t>
  </si>
  <si>
    <t>1st Ed 2012 → 2nd Ed 2019</t>
  </si>
  <si>
    <t>2nd Edition (2019): 80 standards for clinical laboratories. Aligned with ISO 15189 and ISO 17025. Covers pre-analytical, analytical, post-analytical phases; quality management; proficiency testing; biosafety; result reporting (including critical values); LIS integration requirements for NABIDH</t>
  </si>
  <si>
    <t>1st: 2012. 2nd: 2019</t>
  </si>
  <si>
    <t>3rd Edition expected 2024</t>
  </si>
  <si>
    <t>CURRENT — 2nd Edition 2019</t>
  </si>
  <si>
    <t>CBAHI-HAS-LTC</t>
  </si>
  <si>
    <t>Long-Term Care Standards</t>
  </si>
  <si>
    <t>معايير الرعاية طويلة الأمد</t>
  </si>
  <si>
    <t>1st Edition 2018</t>
  </si>
  <si>
    <t>90</t>
  </si>
  <si>
    <t>Long-term care facilities and rehabilitation centres</t>
  </si>
  <si>
    <t>1st Ed 2018 (First issue)</t>
  </si>
  <si>
    <t>First dedicated long-term care accreditation standards in KSA. 90 standards covering care planning, activities of daily living, dementia care, palliative care, medication management, safety (falls, pressure injuries), infection control, staff competencies. IoMT: remote monitoring requirements for high-dependency residents; fall detection sensor standards</t>
  </si>
  <si>
    <t>1st Ed: 2018</t>
  </si>
  <si>
    <t>2nd Edition expected 2024-2025</t>
  </si>
  <si>
    <t>CURRENT — 1st Edition 2018</t>
  </si>
  <si>
    <t>CBAHI-HAS-AMB</t>
  </si>
  <si>
    <t>Ambulatory Care Standards</t>
  </si>
  <si>
    <t>معايير الرعاية في العيادات الخارجية</t>
  </si>
  <si>
    <t>75</t>
  </si>
  <si>
    <t>Outpatient and ambulatory care centres</t>
  </si>
  <si>
    <t>1st Ed 2015 → 2nd Ed 2019</t>
  </si>
  <si>
    <t>2nd Edition (2019): 75 standards for outpatient and ambulatory care centres. Covers same-day surgery, endoscopy, dialysis, chemotherapy, physiotherapy. IoMT: remote monitoring post-procedure; wearable sensor integration for dialysis patients</t>
  </si>
  <si>
    <t>1st: 2015. 2nd: 2019</t>
  </si>
  <si>
    <t>CBAHI as government entity</t>
  </si>
  <si>
    <t>CBAHI-accredited facilities must comply with MOH HIS</t>
  </si>
  <si>
    <t>MOH standards cross-reference</t>
  </si>
  <si>
    <t>SCFHS</t>
  </si>
  <si>
    <t>Saudi Commission for Health Specialties</t>
  </si>
  <si>
    <t>SCFHS-PLF</t>
  </si>
  <si>
    <t>Professional Licensing Framework</t>
  </si>
  <si>
    <t>إطار الترخيص المهني</t>
  </si>
  <si>
    <t>Updated 2024</t>
  </si>
  <si>
    <t>1992</t>
  </si>
  <si>
    <t>All healthcare professionals practising in KSA</t>
  </si>
  <si>
    <t>https://scfhs.org.sa/en</t>
  </si>
  <si>
    <t>SCFHS official; Devex 2025</t>
  </si>
  <si>
    <t>Established 1992 → national revalidation framework launched 2024</t>
  </si>
  <si>
    <t>1992 (establishment): basic licensing for physicians. Progressive expansion to all health professions. 2015: online licensing portal. 2018: expanded to allied health. 2024: National Healthcare Practitioners Revalidation Framework (regular revalidation every 3-5 years); digital licensing wallet launched; cybersecurity awareness included in CPD requirements; international credential recognition agreements expanded to 45 countries</t>
  </si>
  <si>
    <t>Established: 1992. Revalidation framework: 2024</t>
  </si>
  <si>
    <t>Annual updates; revalidation cycle ongoing</t>
  </si>
  <si>
    <t>CURRENT — 2024 enhanced version</t>
  </si>
  <si>
    <t>Practice without licence: criminal prosecution; fine; deportation (expats); licence revocation for professional misconduct</t>
  </si>
  <si>
    <t>SCFHS — Licensing Affairs Dept; SCFHS Scrutiny Committee for misconduct; MOH regional health directorates enforce unlicensed practice</t>
  </si>
  <si>
    <t>Hospital; Clinic; Lab; Pharmacy; Health IT Vendor (clinical staff); Government Health Entity</t>
  </si>
  <si>
    <t>Both (all employers of healthcare professionals)</t>
  </si>
  <si>
    <t>Credential verification before licence; CPD audit; revalidation assessment (from 2024); employer spot check</t>
  </si>
  <si>
    <t>Licence renewal: every 2-5 years by profession. Revalidation: every 3-5 years. CPD: annual</t>
  </si>
  <si>
    <t>3 (digital health competency: IoMT device training; telehealth clinical certification; cybersecurity awareness CPD credits)</t>
  </si>
  <si>
    <t>GMC (UK) revalidation model; ACGME (US) competency framework; WHO health workforce standards</t>
  </si>
  <si>
    <t>Arabic + English (bilingual licensing portal)</t>
  </si>
  <si>
    <t>Layer 1: Governance</t>
  </si>
  <si>
    <t>No maturity model; licence tier by specialty and grade</t>
  </si>
  <si>
    <t>HSTP human capital; Vision 2030 healthcare workforce Saudisation; SCFHS 2025-2030 strategy</t>
  </si>
  <si>
    <t>Licence certificate; educational credentials; CPD completion records; revalidation portfolio; employer verification letter</t>
  </si>
  <si>
    <t>G + C (workforce governance + professional compliance)</t>
  </si>
  <si>
    <t>Hospital CEO: ensure all clinical staff are SCFHS-licensed. Medical Director: verify clinician licences before deployment. HR Director: track licence expiry and CPD compliance. Department Heads: confirm staff qualifications</t>
  </si>
  <si>
    <t>Legal Risk (unlicensed practice = criminal); Operational Risk (workforce shortage); Reputational Risk; Patient Safety Risk (unqualified practitioner)</t>
  </si>
  <si>
    <t>LEGAL — Health Law requires all healthcare professionals to be SCFHS-licensed. Unlicensed practice: criminal prosecution; deportation for expats; employer fine. MHRSD enforces via Qiwa portal</t>
  </si>
  <si>
    <t>Administrative (A): licence verification process; CPD tracking system; credential file management; revalidation programme. Operational (O): locum supervision; temporary licence management</t>
  </si>
  <si>
    <t>1. % clinical staff with current SCFHS licence (target 100%). 2. # expired licences identified (target 0). 3. CPD credit compliance rate (target 100%). 4. Time-to-verify new hire licence (target &lt;24h via SCFHS portal). 5. % staff completed digital health CPD credits</t>
  </si>
  <si>
    <t>Monthly SCFHS licence status check (via SCFHS verification portal); annual CPD record audit; Qiwa workforce compliance check; SCFHS random inspection</t>
  </si>
  <si>
    <t>SCFHS Mumaris+ portal (licence verification); Qiwa platform (workforce compliance); hospital HRIS integration with SCFHS API; CPD tracking modules in Cornerstone OnDemand; Workday HR</t>
  </si>
  <si>
    <t>Locum agencies: must provide SCFHS-licensed staff only; contractual warranty of licence currency; immediate notification of licence suspension; credentialing verification required before each assignment</t>
  </si>
  <si>
    <t>Unlicensed practitioner: criminal prosecution of practitioner + employer; MOH investigation; facility licence risk; CCHI insurance coverage may be invalid for unlicensed clinician services; massive malpractice liability exposure</t>
  </si>
  <si>
    <t>SCFHS-CPD</t>
  </si>
  <si>
    <t>CPD Framework</t>
  </si>
  <si>
    <t>إطار التطوير المهني المستمر</t>
  </si>
  <si>
    <t>All licensed healthcare professionals</t>
  </si>
  <si>
    <t>SCFHS official 2025</t>
  </si>
  <si>
    <t>Mandatory CPD since ~2010 → digital health competency added 2022 → revalidation 2024</t>
  </si>
  <si>
    <t>CPD credit system: minimum credits per licensing period by profession (e.g., physicians: 50 credits/year). 2022: digital health competency track added — healthcare AI literacy, telemedicine clinical skills, cybersecurity awareness for clinical staff, IoMT device safety. 2024: links to revalidation; poor CPD compliance = licence suspension</t>
  </si>
  <si>
    <t>Mandatory: ~2010. Digital health track: 2022. Revalidation link: 2024</t>
  </si>
  <si>
    <t>Annual CPD credit cycle; framework reviewed every 3 years</t>
  </si>
  <si>
    <t>CURRENT — 2024 version with revalidation integration</t>
  </si>
  <si>
    <t>SCFHS-SBOARD</t>
  </si>
  <si>
    <t>Saudi Board Postgraduate Education Standards</t>
  </si>
  <si>
    <t>معايير البورد السعودي</t>
  </si>
  <si>
    <t>2025 Strategy</t>
  </si>
  <si>
    <t>Postgraduate training hospitals and training centres</t>
  </si>
  <si>
    <t>https://scfhs.org.sa/en/strategy</t>
  </si>
  <si>
    <t>SCFHS-SCRUT</t>
  </si>
  <si>
    <t>Scrutiny &amp; Malpractice Procedures</t>
  </si>
  <si>
    <t>إجراءات التحقق من الأخطاء المهنية</t>
  </si>
  <si>
    <t>Active</t>
  </si>
  <si>
    <t>SCFHS official</t>
  </si>
  <si>
    <t>SCFHS-INTL</t>
  </si>
  <si>
    <t>International Credential Verification</t>
  </si>
  <si>
    <t>التحقق من المؤهلات الدولية</t>
  </si>
  <si>
    <t>Internationally-trained healthcare professionals seeking KSA licence</t>
  </si>
  <si>
    <t>SCFHS as government entity</t>
  </si>
  <si>
    <t>SCFHS processes health professional licence data</t>
  </si>
  <si>
    <t>CCHI</t>
  </si>
  <si>
    <t>Council of Cooperative Health Insurance</t>
  </si>
  <si>
    <t>CCHI-HIR</t>
  </si>
  <si>
    <t>Cooperative Health Insurance Law &amp; Regulations</t>
  </si>
  <si>
    <t>نظام الضمان الصحي التعاوني</t>
  </si>
  <si>
    <t>1999</t>
  </si>
  <si>
    <t>50</t>
  </si>
  <si>
    <t>All employers (private+expatriate), health insurers, healthcare providers</t>
  </si>
  <si>
    <t>https://cchi.gov.sa/</t>
  </si>
  <si>
    <t>Hammad &amp; Al-Mehdar 2025; CCHI official</t>
  </si>
  <si>
    <t>Royal Decree M/10 1999 → major updates 2006, 2012, 2020, 2024</t>
  </si>
  <si>
    <t>1999 (establishment): mandatory health insurance for expat workers. 2006: expanded to all private sector employees. 2012: new insurance products approved. 2020: mental health coverage mandated (first time). 2024: major update — chronic disease management coverage expanded; digital health services coverage (telemedicine, remote monitoring reimbursement); mandatory e-prior authorisation; employer penalties for non-compliance strengthened; universal health insurance roadmap integration</t>
  </si>
  <si>
    <t>Established: 1999. Major updates: 2006, 2012, 2020, 2024</t>
  </si>
  <si>
    <t>Biennial review; NHI integration updates annually</t>
  </si>
  <si>
    <t>Employer: daily SAR 1,000 fine per uninsured employee; Insurer: licence suspension; Provider: exclusion from insurance network; CCHI enforcement actions</t>
  </si>
  <si>
    <t>CCHI — Compliance and Monitoring Dept; MOL (Ministry of Labour) for employer compliance; MOH coordinates for provider network</t>
  </si>
  <si>
    <t>Hospital; Clinic; Lab; Pharmacy; Health Insurer; Government Health Entity (coordination for national expansion)</t>
  </si>
  <si>
    <t>Private sector (employers and private health facilities/insurers primarily)</t>
  </si>
  <si>
    <t>CCHI employer compliance audit; insurer financial audit; provider quality audit; digital claims system audit</t>
  </si>
  <si>
    <t>Annual insurer audit; employer compliance continuous (via MOL Qiwa portal); provider: biennial</t>
  </si>
  <si>
    <t>8 (remote monitoring reimbursement coding; IoMT-enabled chronic disease management coverage; telehealth claim codes; digital health benefit verification; real-time eligibility checking for IoMT monitoring services)</t>
  </si>
  <si>
    <t>International Health Insurance Standards (WHO); EU Directive 2011/24/EU (cross-border healthcare reference); ISO 27001 for insurer data</t>
  </si>
  <si>
    <t>Arabic (primary); English guidance</t>
  </si>
  <si>
    <t>No formal maturity model; licence tier classification for insurers</t>
  </si>
  <si>
    <t>Universal Health Coverage (Vision 2030); National Health Insurance rollout; HSTP financing transformation</t>
  </si>
  <si>
    <t>Insurance policy certificate; employer group insurance contract; UBP coverage compliance checklist; digital claims processing system documentation; CCHI audit reports</t>
  </si>
  <si>
    <t>G + C (health insurance governance + mandatory compliance)</t>
  </si>
  <si>
    <t>CEO: accountable for CCHI licence compliance. Chief Actuarial Officer: UBP benefit modelling. Chief Medical Officer: clinical coverage governance. Compliance Officer: CCHI regulatory monitoring. Digital Claims Manager: DCS compliance</t>
  </si>
  <si>
    <t>Regulatory Risk; Financial Risk (claims reserves); Operational Risk (claims processing); Reputational Risk; Clinical Quality Risk</t>
  </si>
  <si>
    <t>LEGAL — Cooperative Health Insurance Law (RD M/10 1999 as amended). CCHI is regulator and enforcement body. Fines: SAR 1,000/day per uninsured employee (employer); insurer: licence suspension</t>
  </si>
  <si>
    <t>Administrative (A): policy issuance; claims adjudication; network management; fraud detection. Technical (T): e-prior authorisation; digital claims system; NABIDH integration. Operational (O): provider network management; complaints handling; member services</t>
  </si>
  <si>
    <t>1. Claims processing time (target: 15 days clean claims). 2. Fraud detection rate (% fraudulent claims identified). 3. UBP coverage compliance rate (% mandatory benefits paid). 4. Provider network coverage (% insured members within 30 min of network facility). 5. e-prior authorisation system uptime (target &gt;99%). 6. Member complaint resolution time</t>
  </si>
  <si>
    <t>Annual CCHI compliance audit; financial examination (claims reserves); provider network adequacy audit; UBP coverage verification; e-prior authorisation system audit; fraud and abuse detection programme review</t>
  </si>
  <si>
    <t>CCHI ADEEM system (mandatory for insurers — electronic claims); Oracle Health Insurance; Majesco (insurance core); Change Healthcare (claims processing). Analytics: SAS Healthcare Analytics; IBM Watson for Health Insurance. Fraud: Cotiviti; Gainwell Technologies</t>
  </si>
  <si>
    <t>Healthcare providers in CCHI network: must meet CCHI quality standards; CBAHI accreditation preferred; contract compliance monitoring; fraud audit rights; data sharing for quality measurement; NABIDH connectivity requirement for network participation</t>
  </si>
  <si>
    <t>Employer non-compliance: daily fine + work visa ban. Insurer non-compliance: licence suspension; market exclusion; mandatory remediation. Provider non-compliance: network exclusion; reimbursement suspension; CCHI investigation</t>
  </si>
  <si>
    <t>Healthcare &amp; Life Sciences; Financial Regulators (insurers)</t>
  </si>
  <si>
    <t>CCHI-UBP</t>
  </si>
  <si>
    <t>Unified Health Benefits Package</t>
  </si>
  <si>
    <t>حزمة المزايا الصحية الموحدة</t>
  </si>
  <si>
    <t>2024-2025</t>
  </si>
  <si>
    <t>All health insurers and healthcare providers</t>
  </si>
  <si>
    <t>First UBP 2018 → expanded 2022 → major expansion 2024-2025</t>
  </si>
  <si>
    <t>2018 (first): basic coverage package for expat workers. 2022: expanded to include mental health (inpatient + 12 outpatient sessions); physiotherapy. 2024-2025: major expansion — fertility treatment; hearing aids; advanced cancer therapy; telemedicine reimbursement; remote patient monitoring for chronic disease; AI-assisted diagnosis coverage (first-in-region). Unified across all insurers — providers must deliver all UBP services</t>
  </si>
  <si>
    <t>First: 2018. Updated: 2022, 2024-2025</t>
  </si>
  <si>
    <t>Annual update aligned with actuarial review</t>
  </si>
  <si>
    <t>CURRENT — 2024-2025 expanded version</t>
  </si>
  <si>
    <t>Healthcare &amp; Life Sciences; Financial Regulators</t>
  </si>
  <si>
    <t>CCHI-DCS</t>
  </si>
  <si>
    <t>Digital Claims Processing Standards</t>
  </si>
  <si>
    <t>معايير المطالبات الرقمية</t>
  </si>
  <si>
    <t>20</t>
  </si>
  <si>
    <t>Mandatory digital claims 2024-2025 (First issue)</t>
  </si>
  <si>
    <t>End-to-end digital claims processing requirement. Phase 1 (2024): e-submission mandatory for major insurers (&gt;50,000 covered lives). Phase 2 (2025): all insurers. Requirements: CCHI-standard JSON/XML claims format; 48-hour claims acknowledgement; 15-day clean claims payment; NABIDH integration for clinical data validation; real-time claims status visibility; audit trail for all claim decisions</t>
  </si>
  <si>
    <t>Phase 1: 2024. Phase 2: 2025</t>
  </si>
  <si>
    <t>Annual update</t>
  </si>
  <si>
    <t>CURRENT — phased rollout 2024-2025</t>
  </si>
  <si>
    <t>CCHI-INSLIC</t>
  </si>
  <si>
    <t>Health Insurance Licensing Requirements</t>
  </si>
  <si>
    <t>متطلبات ترخيص التأمين الصحي</t>
  </si>
  <si>
    <t>Health insurance companies</t>
  </si>
  <si>
    <t>CCHI official</t>
  </si>
  <si>
    <t>CCHI-PROVNET</t>
  </si>
  <si>
    <t>Provider Network Standards</t>
  </si>
  <si>
    <t>معايير شبكة مقدمي الخدمة</t>
  </si>
  <si>
    <t>Updated 2023</t>
  </si>
  <si>
    <t>Healthcare providers in insurance networks</t>
  </si>
  <si>
    <t>CCHI as government entity</t>
  </si>
  <si>
    <t>CCHI and insurers process insured patient data</t>
  </si>
  <si>
    <t>SAMA-CSF</t>
  </si>
  <si>
    <t>SAMA Cybersecurity Framework</t>
  </si>
  <si>
    <t>إطار الأمن السيبراني للبنك المركزي</t>
  </si>
  <si>
    <t>2017</t>
  </si>
  <si>
    <t>114</t>
  </si>
  <si>
    <t>Health insurance companies as SAMA/IAIC-regulated insurers</t>
  </si>
  <si>
    <t>https://www.sama.gov.sa/</t>
  </si>
  <si>
    <t>SAMA official</t>
  </si>
  <si>
    <t>Issued May 2017 (one version; periodic guidance updates)</t>
  </si>
  <si>
    <t>5 cybersecurity domains: Leadership &amp; Governance, Risk Management &amp; Compliance, Operations &amp; Technology, Third Party, Customer Awareness. 29 objectives, 114 sub-controls. 6 maturity levels (Initial → Optimised). Annual self-assessment required. External assessment every 3 years. SAMA inspectors conduct surprise audits. Health insurance companies are SAMA/IAIC-regulated and must comply. Aligned with NIST CSF, ISO 27001, PCI DSS</t>
  </si>
  <si>
    <t>Issued: May 2017. Annual self-assessment cycle</t>
  </si>
  <si>
    <t>Update expected to align with NCA ECC-2:2024 and NIST CSF 2.0</t>
  </si>
  <si>
    <t>CURRENT — 2017 version; update anticipated 2025</t>
  </si>
  <si>
    <t>SAMA enforcement: business closure (extreme); SAR multimillion fines (unspecified ceiling); mandatory remediation plan; licence suspension; public warning</t>
  </si>
  <si>
    <t>SAMA — Supervisory Technology Department; Insurance Authority (IAIC) for insurers; annual assessment reviewed by SAMA supervisors</t>
  </si>
  <si>
    <t>Health Insurer (primary — SAMA/IAIC regulated); Private Hospital (if fintech/payment services regulated)</t>
  </si>
  <si>
    <t>Private financial sector (SAMA-regulated entities only; SAMA itself as public entity also complies with NCA ECC)</t>
  </si>
  <si>
    <t>Annual self-assessment; SAMA external assessment every 3 years; SAMA surprise inspection (risk-based)</t>
  </si>
  <si>
    <t>Annual self-assessment; external: every 3 years</t>
  </si>
  <si>
    <t>6 (health insurance systems security: claims system security; API security for health insurance billing; connected payment device security; third-party health IT vendor management)</t>
  </si>
  <si>
    <t>NIST CSF (primary); ISO 27001:2022; PCI DSS v4 (payment); SWIFT CSP (correspondent banking); COBIT 2019 (IT governance)</t>
  </si>
  <si>
    <t>Arabic (primary); English translation available</t>
  </si>
  <si>
    <t>Layer 1: Governance; Layer 2: Risk Management; Layer 4: Compliance</t>
  </si>
  <si>
    <t>Yes — 6 maturity levels (1=Initial to 6=Optimising); sub-domain level maturity scoring; annual self-scoring required</t>
  </si>
  <si>
    <t>Financial Sector Development Programme (FSDP); Vision 2030 Fintech strategy; health insurance digital transformation</t>
  </si>
  <si>
    <t>Annual self-assessment report; risk register; policy documentation; penetration test reports; BCP test evidence; staff training records; third-party vendor assessment</t>
  </si>
  <si>
    <t>Financial sector cybersecurity regulation theory: systemic risk and contagion (BCBS 2018). Risk-based supervision theory: maturity-based regulatory oversight. Sector-specific regulation vs cross-sector regulation debate.</t>
  </si>
  <si>
    <t>FOR: Only KSA framework with a formal 6-level maturity model — enables progression benchmarking; annual self-assessment creates continuous improvement culture; aligns with G-7 Fundamental Elements of Cybersecurity (financial sector). AGAINST: 2017 vintage — predates cloud-native architectures, AI-driven fraud, and health insurance sector IoT expansion; Wattlecorp (2025) notes SAMA-CSF and NCA-ECC-2 overlap creates dual compliance burden for health insurers; self-assessment without mandatory external verification undermines assurance value</t>
  </si>
  <si>
    <t>Issued 2017 — significantly outdated vs NCA ECC-2 (2024) — no major revision in 7 years; SAMA-CSF and NCA-ECC-2 alignment not formally documented creating uncertainty; health insurance entities must navigate SAMA-CSF, NCA-ECC-2, PDPL, and CCHI-DCS simultaneously — regulatory fragmentation; IoT/connected insurance product security not addressed</t>
  </si>
  <si>
    <t>SAMA-CSF vs NCA-ECC-2: SAMA-CSF sector-specific (financial), ECC-2 cross-sector — ECC-2 now dominant for cybersecurity, SAMA-CSF supplementary. SAMA-CSF vs ECB TIBER-EU: ECB uses red-team testing; SAMA-CSF relies on self-assessment. SAMA-CSF vs PRA CBEST (UK): similar financial sector model. SAMA-CSF maturity model (6 levels) more granular than ECC-2 (5 levels)</t>
  </si>
  <si>
    <t>SAMA (2017) Cybersecurity Framework sama.gov.sa; BCBS (2018) Cyber-Resilience Basel Committee; Wattlecorp (2025) SAMA Cybersecurity Framework Aug 2025; Al-Matari EM et al. (2014) 'Corporate Governance in Saudi Arabia' Asian Social Science 10(9); Convene (2025) SAMA Cybersecurity Framework Overview Aug 2025</t>
  </si>
  <si>
    <t>Official: SAMA website (sama.gov.sa) — free PDF. Training: CISM (Certified Information Security Manager) — governance domain aligns; CRISC (risk management); ISACA GRC tools. Estimated: 30 hours</t>
  </si>
  <si>
    <t>GH-ICGA Layer 1 (Governance) — SAMA-CSF maturity model is an important reference for GH-ICGA's own maturity assessment design. Thesis: GH-ICGA proposes adapting SAMA-CSF's 6-level maturity model for healthcare IoT governance assessment — the financial sector's approach provides a tested template for health sector adoption</t>
  </si>
  <si>
    <t>G + R + C (sector-specific GRC framework — most comprehensive in GRC terms for financial sector)</t>
  </si>
  <si>
    <t>Board: approve cybersecurity strategy annually; review maturity scores; ensure CISO reporting line. CISO: present quarterly to board; own SAMA-CSF self-assessment. Risk Committee: integrate cyber risk into enterprise risk. Compliance: monitor SAMA regulatory requirements</t>
  </si>
  <si>
    <t>Cyber Risk; Operational Risk; Third-Party Risk; Systemic Risk (financial sector contagion); Reputational Risk; Regulatory Risk</t>
  </si>
  <si>
    <t>REGULATORY — SAMA mandatory circular for all regulated entities. Enforced through SAMA supervisory examinations. No published maximum fine but SAMA can: suspend licence; impose mandatory remediation; require capital buffer for cyber risk</t>
  </si>
  <si>
    <t>Administrative (A): 45 controls — governance; policy; awareness; HR. Technical (T): 42 controls — access management; operations security; incident management. Physical (P): 12 controls — physical security. Operational (O): 15 controls — vendor management; BCP</t>
  </si>
  <si>
    <t>1. SAMA-CSF self-assessment score per domain (target maturity level 3+ / 5 domains). 2. Maturity progression year-on-year. 3. # critical cyber incidents per year. 4. Third-party risk assessment completion rate (target 100% for critical vendors). 5. % staff passed cybersecurity awareness training. 6. Penetration test findings remediation rate</t>
  </si>
  <si>
    <t>Annual SAMA-CSF self-assessment (mandatory — submitted to SAMA); SAMA supervisory examination (every 3 years for major entities); external penetration test (annual); Red team exercise (every 2-3 years for Tier 1 entities); BCP/DR test (annual)</t>
  </si>
  <si>
    <t>IBM OpenPages; RSA Archer; CURA Risk Management; ServiceNow GRC; MetricStream; Resolver. KSA: Maqsam (local GRC tool); FICO Advisors. SAMA-approved assessment tools</t>
  </si>
  <si>
    <t>All critical third parties: SAMA-CSF compliance assessment before engagement; annual reassessment; contractual right-to-audit; exit plan mandatory; cloud providers: SAMA Cloud Policy compliance; No data sharing without due diligence; sub-outsourcing requires SAMA prior approval for material activities</t>
  </si>
  <si>
    <t>Low maturity (Level 1-2 in critical domains): SAMA mandatory remediation plan + deadline; regulatory capital impact consideration; reputational risk from SAMA disclosure. Licence conditions possible. For health insurers: CCHI + SAMA dual-regulator scrutiny</t>
  </si>
  <si>
    <t>Financial Regulators; Healthcare &amp; Life Sciences (health insurers)</t>
  </si>
  <si>
    <t>SHC</t>
  </si>
  <si>
    <t>Saudi Health Council</t>
  </si>
  <si>
    <t>SHC-HSTP</t>
  </si>
  <si>
    <t>Health Sector Transformation Programme</t>
  </si>
  <si>
    <t>برنامج تحول القطاع الصحي</t>
  </si>
  <si>
    <t>2016-2030</t>
  </si>
  <si>
    <t>2016</t>
  </si>
  <si>
    <t>All MOH entities, health clusters, private sector health targets</t>
  </si>
  <si>
    <t>https://shc.org.sa/</t>
  </si>
  <si>
    <t>WHO/WEF PHSSR 2025; Baker McKenzie 2025</t>
  </si>
  <si>
    <t>Launched 2016 → annual targets updated → 2025-2030 phase planning</t>
  </si>
  <si>
    <t>Health Sector Transformation Programme: the Vision 2030 delivery vehicle for healthcare. Key milestones: 2016 launch; 2020 COVID-19 adaptation; 2022 health cluster governance reform; 2024 (current targets): 80% NABIDH connectivity, 50% privatisation of certain services, 30% telehealth uptake, AI diagnostics in all MOH hospitals. Annual KPI reports published by MOH/SHC</t>
  </si>
  <si>
    <t>Launched: 2016. Annual KPIs</t>
  </si>
  <si>
    <t>2025-2030 next phase planning underway</t>
  </si>
  <si>
    <t>ACTIVE — Vision 2030 programme</t>
  </si>
  <si>
    <t>Health system reform theory: Bismarckian vs Beveridgean models — KSA moving from government-funded to mixed. New Public Management theory: performance management, privatisation, marketisation of health services. Digital transformation theory: technology as enabler of healthcare reform.</t>
  </si>
  <si>
    <t>FOR: WHO/WEF (2025) PHSSR report confirms HSTP achievements in hospital cluster reform and digital health infrastructure; Vision 2030 provides long-term planning horizon unusual in health reform globally; IoMT deployment targets create concrete digital health demand. AGAINST: Kronfol (2012) and Al-Yousuf et al. (2002) document historical KSA health reform challenges — implementation gap between plan and reality; privatisation may worsen equity without strong regulation; digital health targets ambitious relative to healthcare workforce digital literacy (Al-Marwani &amp; Zaraket 2022)</t>
  </si>
  <si>
    <t>Annual KPI reporting often shows target slippage without accountability; IoMT targets set without reference to cybersecurity readiness gap; health cluster governance still unclear — cluster CEOs vs MOH regional directors authority conflict; private sector participation targets delayed; rural and remote area health equity not adequately reflected in digital health targets</t>
  </si>
  <si>
    <t>HSTP vs NHS Long-Term Plan (UK): NHS 10-year plan similar structure; UK plan more specific on digital. HSTP vs National Health Mission (India): scale comparable; India more primary care focused. HSTP vs Medicare Australia reforms: Australia's MyHealth Record comparable to NABIDH. HSTP is governance document, not regulatory framework — most comparable to UK NHS 10-Year Plan or Australian National Digital Health Strategy</t>
  </si>
  <si>
    <t>WHO &amp; WEF (2025) PHSSR Saudi Arabia; Al-Yousuf M et al. (2002) 'Organization of the Saudi Health System' Eastern Mediterranean Health J; Kronfol NM (2012) 'Delivery of Health Services in Arab Countries' Eastern Mediterranean Health J; Baker McKenzie (2025) Saudi Healthcare Regulatory Update; SHC (2022) Saudi Health Council Annual Report</t>
  </si>
  <si>
    <t>Official: SHC website (shc.org.sa); Vision 2030 website (vision2030.gov.sa). Training: HIMSS Health IT leadership; WHO health system strengthening e-learning. Estimated: 15 hours for context understanding</t>
  </si>
  <si>
    <t>GH-ICGA Layer 1 (Governance) — HSTP defines the strategic health sector context within which GH-ICGA operates. Thesis: GH-ICGA is positioned as a governance tool that enables Saudi hospitals to meet HSTP digital health and IoMT deployment targets securely — the framework is explicitly aligned with Vision 2030 HSTP objectives</t>
  </si>
  <si>
    <t>G (strategic governance programme — KPIs set expectations for all healthcare GRC)</t>
  </si>
  <si>
    <t>Ministry of Health leadership: accountable for HSTP KPI delivery. Health Cluster CEOs: cluster-level delivery. SHC Board: annual performance review. MOH Regional Directors: regional health transformation targets. Private sector: CCHI + SFDA + SCFHS align commercial operations with HSTP targets</t>
  </si>
  <si>
    <t>Strategic Risk; Reputational Risk (Vision 2030 delivery); Operational Risk (cluster governance uncertainty); Financial Risk (privatisation targets); Digital Risk (technology adoption gaps)</t>
  </si>
  <si>
    <t>PROGRAMME-BASED — not a legal compliance framework. HSTP failure has political and reputational consequences for MOH leadership. KPIs are tracked and reported publicly</t>
  </si>
  <si>
    <t>Administrative: KPI governance; performance reporting; programme management office. Operational: cluster reform implementation; privatisation execution; digital health deployment</t>
  </si>
  <si>
    <t>1. NABIDH connectivity rate (% facilities connected — target 80% by 2025). 2. AI diagnostics deployment rate (% MOH hospitals with AI tool). 3. Privatisation completion rate vs plan. 4. Telemedicine adoption rate (% eligible consultations via telehealth). 5. Patient satisfaction index. 6. Healthcare quality indicators (mortality rates, readmission rates)</t>
  </si>
  <si>
    <t>Annual HSTP performance review (SHC publishes). McKinsey/independent programme management office tracking. WHO PHSSR assessment (published 2025). MOH quarterly performance dashboards</t>
  </si>
  <si>
    <t>Vision 2030 programme management system; MOH performance dashboard; SHC data portal. HIMSS Analytics (EMRAM scoring for digital health targets); JCI accreditation (quality targets)</t>
  </si>
  <si>
    <t>Private sector healthcare: must align investment plans with HSTP privatisation targets; health tech vendors: must support NABIDH integration (HSTP digital target); international hospital operators: JCI accreditation as HSTP quality target</t>
  </si>
  <si>
    <t>HSTP target slippage: ministerial accountability; strategic reputational impact for Vision 2030. Organisational: hospitals not meeting HSTP digital targets risk exclusion from government support programmes and cluster preference</t>
  </si>
  <si>
    <t>Healthcare &amp; Life Sciences (primarily)</t>
  </si>
  <si>
    <t>SHC-NHAP</t>
  </si>
  <si>
    <t>National Health Accounts Programme</t>
  </si>
  <si>
    <t>الحسابات الصحية الوطنية</t>
  </si>
  <si>
    <t>MOH, CCHI, clusters — health expenditure and planning</t>
  </si>
  <si>
    <t>SHC official</t>
  </si>
  <si>
    <t>SHC-QF</t>
  </si>
  <si>
    <t>Saudi Health Quality Framework</t>
  </si>
  <si>
    <t>إطار الجودة الصحية السعودي</t>
  </si>
  <si>
    <t>All healthcare facilities — quality KPIs and patient safety</t>
  </si>
  <si>
    <t>SHC-PRIV</t>
  </si>
  <si>
    <t>Health Sector Privatisation Framework</t>
  </si>
  <si>
    <t>إطار خصخصة القطاع الصحي</t>
  </si>
  <si>
    <t>Health cluster operators; private hospital investment</t>
  </si>
  <si>
    <t>SHC official; Vision 2030</t>
  </si>
  <si>
    <t>SHC as government entity</t>
  </si>
  <si>
    <t>NHIC</t>
  </si>
  <si>
    <t>National Health Information Centre</t>
  </si>
  <si>
    <t>NHIC-NABIDH</t>
  </si>
  <si>
    <t>NABIDH National EHR Platform Standard</t>
  </si>
  <si>
    <t>معيار منصة نبض للسجل الصحي الإلكتروني</t>
  </si>
  <si>
    <t>All healthcare facilities — mandatory NABIDH connectivity 2024</t>
  </si>
  <si>
    <t>https://nhic.gov.sa/</t>
  </si>
  <si>
    <t>MOH/NHIC; Hammad &amp; Al-Mehdar 2025</t>
  </si>
  <si>
    <t>NABIDH launched 2018 (pilot) → FHIR R4 API 2022 → mandatory all facilities 2024</t>
  </si>
  <si>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</si>
  <si>
    <t>Launched: 2018. FHIR R4 API: 2022. Mandatory: 2024</t>
  </si>
  <si>
    <t>Continuous platform updates; API versioning quarterly</t>
  </si>
  <si>
    <t>CURRENT — mandatory as of 2024</t>
  </si>
  <si>
    <t>Facility unable to receive electronic referrals; excluded from national patient record; MOH licensing risk; procurement penalties</t>
  </si>
  <si>
    <t>NHIC — NABIDH Programme Office; MOH General Directorate of Health Informatics; regional health clusters</t>
  </si>
  <si>
    <t>Hospital; Clinic; Lab; Pharmacy — ALL healthcare facilities mandatory</t>
  </si>
  <si>
    <t>NHIC API conformance test; connectivity monitoring (automated); annual technical review</t>
  </si>
  <si>
    <t>Continuous connectivity monitoring; annual audit</t>
  </si>
  <si>
    <t>16 (NABIDH IoMT data ingestion API; remote monitoring data submission; wearable vital signs standardisation; IoMT device data consent management; IoMT-generated observation resources in FHIR)</t>
  </si>
  <si>
    <t>HL7 FHIR R4 (mandatory); IHE profiles; SNOMED CT; ICD-10-CM; LOINC; HL7 CDA</t>
  </si>
  <si>
    <t>Layer 3: Technical Controls; Layer 4: Compliance; Layer 5: Assurance</t>
  </si>
  <si>
    <t>Yes — 3 connectivity levels (Basic data exchange / Full longitudinal record / Advanced IoMT integration)</t>
  </si>
  <si>
    <t>HSTP digital health; National EHR programme; NHIS integration; Vision 2030 connected healthcare</t>
  </si>
  <si>
    <t>NABIDH connectivity certificate; API test results; FHIR conformance statement; patient consent records; data quality dashboard reports</t>
  </si>
  <si>
    <t>NHIC-HDS</t>
  </si>
  <si>
    <t>National Health Data Standards</t>
  </si>
  <si>
    <t>معايير البيانات الصحية الوطنية</t>
  </si>
  <si>
    <t>2022 update</t>
  </si>
  <si>
    <t>All healthcare facilities and health IT system providers</t>
  </si>
  <si>
    <t>NHIC official; WHO/WEF PHSSR 2025</t>
  </si>
  <si>
    <t>NHIC-INTEROP</t>
  </si>
  <si>
    <t>Health IT Interoperability Framework (FHIR-based)</t>
  </si>
  <si>
    <t>إطار التشغيل البيني لتقنية المعلومات الصحية</t>
  </si>
  <si>
    <t>Health IT vendors and hospital systems — FHIR API compliance</t>
  </si>
  <si>
    <t>NHIC official</t>
  </si>
  <si>
    <t>NHIC-CODES</t>
  </si>
  <si>
    <t>Clinical Coding Standards (ICD-10, SNOMED)</t>
  </si>
  <si>
    <t>معايير الترميز الإكلينيكي</t>
  </si>
  <si>
    <t>All healthcare facilities — clinical data coding</t>
  </si>
  <si>
    <t>NHIC as government entity</t>
  </si>
  <si>
    <t>NHIC processes national health data</t>
  </si>
  <si>
    <t xml:space="preserve">  ── 5. Financial Regulators ──</t>
  </si>
  <si>
    <t>SAMA</t>
  </si>
  <si>
    <t>Saudi Central Bank</t>
  </si>
  <si>
    <t>5. Financial Regulators</t>
  </si>
  <si>
    <t>Cybersecurity Framework</t>
  </si>
  <si>
    <t>إطار الأمن السيبراني</t>
  </si>
  <si>
    <t>Banks, insurance, financing, fintechs — 5 pillars/29 objectives/114 sub-controls</t>
  </si>
  <si>
    <t>https://www.sama.gov.sa/en-US/RulesInstructions/CyberSecurity/</t>
  </si>
  <si>
    <t>SAMA official; Wattlecorp Aug 2025</t>
  </si>
  <si>
    <t>SAMA-AML</t>
  </si>
  <si>
    <t>Anti-Money Laundering Regulations</t>
  </si>
  <si>
    <t>قواعد مكافحة غسل الأموال</t>
  </si>
  <si>
    <t>167</t>
  </si>
  <si>
    <t>All SAMA-regulated financial institutions</t>
  </si>
  <si>
    <t>First 2012 → major update 2024; aligned with FATF recommendations</t>
  </si>
  <si>
    <t>FATF-aligned AML/CTF framework. 167 controls covering: customer due diligence, enhanced due diligence for high-risk customers, transaction monitoring, STR/SAR reporting to SAFIU, correspondent banking, PEP screening. 2024 update: virtual asset coverage; beneficial ownership enhanced; digital onboarding AML requirements. Healthcare relevance: health insurance premium fraud, medical billing fraud</t>
  </si>
  <si>
    <t>First: 2012. Major update: 2024</t>
  </si>
  <si>
    <t>Updated with FATF mutual evaluation recommendations</t>
  </si>
  <si>
    <t>Financial Regulators</t>
  </si>
  <si>
    <t>SAMA-OBF</t>
  </si>
  <si>
    <t>Open Banking Framework</t>
  </si>
  <si>
    <t>إطار الخدمات المصرفية المفتوحة</t>
  </si>
  <si>
    <t>Banks and payment providers</t>
  </si>
  <si>
    <t>SAMA-PSR</t>
  </si>
  <si>
    <t>Payment Services Regulations</t>
  </si>
  <si>
    <t>لائحة خدمات الدفع</t>
  </si>
  <si>
    <t>Payment service providers — hospital billing</t>
  </si>
  <si>
    <t>Financial Regulators; Industry &amp; Trade (payment providers)</t>
  </si>
  <si>
    <t>SAMA-ITGF</t>
  </si>
  <si>
    <t>IT Governance Framework</t>
  </si>
  <si>
    <t>إطار حوكمة تقنية المعلومات</t>
  </si>
  <si>
    <t>55</t>
  </si>
  <si>
    <t>SAMA-regulated institutions</t>
  </si>
  <si>
    <t>SAMA-BCM</t>
  </si>
  <si>
    <t>Business Continuity Management Framework</t>
  </si>
  <si>
    <t>إطار استمرارية الأعمال</t>
  </si>
  <si>
    <t>SAMA-regulated institutions — health insurer BCM</t>
  </si>
  <si>
    <t>First ~2018 → updated 2023</t>
  </si>
  <si>
    <t>BCM for SAMA-regulated entities. Key provisions: Business Impact Analysis (BIA) mandatory; Recovery Time Objectives (RTO) / Recovery Point Objectives (RPO) defined by criticality; annual BCM tests required; health insurance BCM covers claims payment continuity; cyber incident recovery planning; regulatory reporting within 4 hours of major disruption; coordination with NCA for cyber incidents</t>
  </si>
  <si>
    <t>First: ~2018. Updated: 2023</t>
  </si>
  <si>
    <t>Annual cycle; review 2025</t>
  </si>
  <si>
    <t>CURRENT — 2023 version</t>
  </si>
  <si>
    <t>SAMA-CCP</t>
  </si>
  <si>
    <t>Consumer/Customer Protection Principles</t>
  </si>
  <si>
    <t>مبادئ حماية المستهلك</t>
  </si>
  <si>
    <t>34</t>
  </si>
  <si>
    <t>Financial institutions — health insurance consumer protection</t>
  </si>
  <si>
    <t>SAMA-CLOUD</t>
  </si>
  <si>
    <t>Cloud Computing Policy</t>
  </si>
  <si>
    <t>سياسة الحوسبة السحابية</t>
  </si>
  <si>
    <t>SAMA-regulated entities — health insurance cloud systems</t>
  </si>
  <si>
    <t>Chambers TMT 2026</t>
  </si>
  <si>
    <t>SAMA as government entity + SAMA-regulated entities as CNI</t>
  </si>
  <si>
    <t>SAMA and regulated entities process customer data</t>
  </si>
  <si>
    <t xml:space="preserve">  ── 4. ICT / Digital / Telecom ──</t>
  </si>
  <si>
    <t>CST</t>
  </si>
  <si>
    <t>Communications Space &amp; Technology Commission</t>
  </si>
  <si>
    <t>4. ICT / Digital / Telecom</t>
  </si>
  <si>
    <t>CST-TITA</t>
  </si>
  <si>
    <t>Telecommunications &amp; IT Act</t>
  </si>
  <si>
    <t>نظام الاتصالات وتقنية المعلومات</t>
  </si>
  <si>
    <t>2001</t>
  </si>
  <si>
    <t>Telecom and ICT providers — health IT vendors</t>
  </si>
  <si>
    <t>https://www.cst.gov.sa/en</t>
  </si>
  <si>
    <t>CST official; Wikipedia CST</t>
  </si>
  <si>
    <t>Telecom Law 2001 → renamed CST (from CITC) Dec 2022 → updated 2024</t>
  </si>
  <si>
    <t>Original Telecommunications Act 2001. CITC renamed to Communications, Space and Technology Commission (CST) in Dec 2022 gaining space regulatory mandate. 2022-2024 updates: digital content platform regulations; data center licensing; IoT framework expansion; spectrum management for 5G/6G; number portability; consumer protection strengthened; SLA disclosure requirements for cloud providers. Healthcare relevance: telehealth platform licensing under CST</t>
  </si>
  <si>
    <t>Original: 2001. CST rename: Dec 2022. Updated: 2022-2024</t>
  </si>
  <si>
    <t>Continuous updates; ICT Strategy 2025+ under development</t>
  </si>
  <si>
    <t>CURRENT — continuously updated</t>
  </si>
  <si>
    <t>ICT / Digital / Telecom</t>
  </si>
  <si>
    <t>CST-CSRF</t>
  </si>
  <si>
    <t>Cybersecurity Regulatory Framework for ICT</t>
  </si>
  <si>
    <t>إطار الأمن السيبراني لقطاع الاتصالات</t>
  </si>
  <si>
    <t>Version 1.0 June 2020</t>
  </si>
  <si>
    <t>ICT and postal sector operators — health IT service providers</t>
  </si>
  <si>
    <t>Baker McKenzie KSA 2025</t>
  </si>
  <si>
    <t>CST-CYBER-OPS</t>
  </si>
  <si>
    <t>Cybersecurity Operations Regulations (ICT)</t>
  </si>
  <si>
    <t>لوائح عمليات الأمن السيبراني في الاتصالات</t>
  </si>
  <si>
    <t>1 Aug 2022</t>
  </si>
  <si>
    <t>ICT/telecom operators</t>
  </si>
  <si>
    <t>CST-CCR</t>
  </si>
  <si>
    <t>Cloud Computing Regulatory Framework</t>
  </si>
  <si>
    <t>إطار تنظيم الحوسبة السحابية</t>
  </si>
  <si>
    <t>58</t>
  </si>
  <si>
    <t>Cloud service providers — health cloud platforms, EHR hosting</t>
  </si>
  <si>
    <t>Baker McKenzie 2025; CST official</t>
  </si>
  <si>
    <t>First ~2018 → major update 2023 with Cloud Special Economic Zone</t>
  </si>
  <si>
    <t>2018 (first): basic cloud computing licensing framework. 2020: security requirements aligned with NCA CCC. 2022: data localisation requirements (government data must remain in KSA). 2023 (major update): Cloud Computing Special Economic Zone established (May 2023 by Economic Cities and Special Zones Authority); cloud provider licensing tiers (Class A, B, C); specific requirements for health cloud providers (Class A = highest security); enhanced sovereignty requirements for sensitive data</t>
  </si>
  <si>
    <t>First: ~2018. Major update: 2023</t>
  </si>
  <si>
    <t>Cloud SEZ regulations still evolving; 2025 update expected</t>
  </si>
  <si>
    <t>CURRENT — 2023 version with SEZ provisions</t>
  </si>
  <si>
    <t>ICT / Digital / Telecom; ALL SECTORS (cloud providers)</t>
  </si>
  <si>
    <t>CST-DPS</t>
  </si>
  <si>
    <t>Digital Platform Services Regulations</t>
  </si>
  <si>
    <t>لوائح خدمات المنصات الرقمية</t>
  </si>
  <si>
    <t>Digital platform operators — telemedicine apps, health platforms</t>
  </si>
  <si>
    <t>Issued Oct 2024 (First comprehensive version)</t>
  </si>
  <si>
    <t>Regulations for digital content platform services (streaming, social media, user-generated content). Covers: platform licensing; content moderation obligations; data localisation; user data protection (aligned with PDPL); transparency reporting; algorithmic accountability. Healthcare application: health information platforms, patient community apps, AI health chatbots as digital content services</t>
  </si>
  <si>
    <t>Issued: Oct 2024</t>
  </si>
  <si>
    <t>Review 2026</t>
  </si>
  <si>
    <t>CURRENT — Oct 2024 version</t>
  </si>
  <si>
    <t>ICT / Digital / Telecom; ALL SECTORS (digital platform operators)</t>
  </si>
  <si>
    <t>CST-DCS</t>
  </si>
  <si>
    <t>Data Center Services Regulations</t>
  </si>
  <si>
    <t>لوائح خدمات مراكز البيانات</t>
  </si>
  <si>
    <t>Data center operators — health data hosting</t>
  </si>
  <si>
    <t>Issued 2024 (First dedicated data center regulation)</t>
  </si>
  <si>
    <t>First dedicated data center services licensing regulation in KSA. Requirements: physical security (CCTV, access control, biometric); redundant power (N+2 minimum); connectivity (multiple ISPs); cooling standards; fire suppression; environmental monitoring; geographic distribution requirements; health data centers must meet highest tier requirements. Aligns with Uptime Institute Tier III/IV standards</t>
  </si>
  <si>
    <t>CURRENT — 2024</t>
  </si>
  <si>
    <t>ICT / Digital / Telecom; ALL SECTORS (data center operators)</t>
  </si>
  <si>
    <t>CST-IOT</t>
  </si>
  <si>
    <t>IoT Regulatory Framework</t>
  </si>
  <si>
    <t>الإطار التنظيمي لإنترنت الأشياء</t>
  </si>
  <si>
    <t>IoT device manufacturers/operators — medical IoT devices</t>
  </si>
  <si>
    <t>CMS Law Oct 2025 (IoT RF)</t>
  </si>
  <si>
    <t>IoT Regulatory Framework first ~2019; actively updated</t>
  </si>
  <si>
    <t>IoT-specific licensing and technical standards. Covers: device type approval (spectrum compliance); data handling obligations for IoT device operators; security requirements for IoT device manufacturers (default password prohibition; firmware update mechanism required; vulnerability disclosure); IoT platform operator licensing. Healthcare application: medical IoT devices sold/deployed in KSA must obtain CST type approval in addition to SFDA registration</t>
  </si>
  <si>
    <t>First: ~2019. Active updates</t>
  </si>
  <si>
    <t>Under active development; medical IoT sub-framework expected 2025</t>
  </si>
  <si>
    <t>CURRENT — active updates ongoing</t>
  </si>
  <si>
    <t>Device market withdrawal; import ban; SAR fine under Telecom Law (up to SAR 50M for major violations); CST type approval revocation</t>
  </si>
  <si>
    <t>CST — Technical Regulation Department; Spectrum Management Authority; customs coordination with ZATCA for import inspection</t>
  </si>
  <si>
    <t>Medical Device Manufacturer (connected devices); Health IT Vendor (IoT platforms); Hospital (IoMT deployers); Medical Equipment Importer</t>
  </si>
  <si>
    <t>Both (manufacturers, importers, operators)</t>
  </si>
  <si>
    <t>Pre-market type approval testing (mandatory before sale); operator compliance audit; market surveillance</t>
  </si>
  <si>
    <t>Pre-market: before each device model launch. Post-market: continuous surveillance</t>
  </si>
  <si>
    <t>All N/A controls are IoMT-specific — full framework addresses IoT device security, type approval, network requirements</t>
  </si>
  <si>
    <t>ETSI EN 303 645 (IoT cybersecurity baseline); IEC 62443-4-2; ISO/IEC 30141 (IoT Reference Architecture); ITU-T standards</t>
  </si>
  <si>
    <t>No formal maturity model; pass/fail type approval</t>
  </si>
  <si>
    <t>Vision 2030 IoT Strategy; Digital Economy Policy; Smart City initiatives (NEOM, Riyadh smart city)</t>
  </si>
  <si>
    <t>CST type approval certificate; EMC test report; cybersecurity test report (ETSI EN 303 645); device technical file; operator licence</t>
  </si>
  <si>
    <t>ICT / Digital / Telecom; Healthcare (IoMT); Industry &amp; Trade (industrial IoT); ALL SECTORS (IoT device manufacturers/importers)</t>
  </si>
  <si>
    <t>CST-SPACE</t>
  </si>
  <si>
    <t>Space Regulatory Framework</t>
  </si>
  <si>
    <t>الإطار التنظيمي للفضاء</t>
  </si>
  <si>
    <t>Space sector — satellite connectivity for rural telehealth</t>
  </si>
  <si>
    <t>Wikipedia CST 2025</t>
  </si>
  <si>
    <t>CST-USERIGHTS</t>
  </si>
  <si>
    <t>Protection of Rights of ICT Services Users</t>
  </si>
  <si>
    <t>حقوق مستخدمي خدمات الاتصالات</t>
  </si>
  <si>
    <t>ICT service providers — telehealth user rights</t>
  </si>
  <si>
    <t>CST as government entity</t>
  </si>
  <si>
    <t>DGA</t>
  </si>
  <si>
    <t>Digital Government Authority</t>
  </si>
  <si>
    <t>DGA-CFP</t>
  </si>
  <si>
    <t>Cloud First Policy</t>
  </si>
  <si>
    <t>سياسة السحابة أولاً</t>
  </si>
  <si>
    <t>All government entities — MOH, NHIC, CBAHI cloud adoption</t>
  </si>
  <si>
    <t>https://dga.gov.sa/en</t>
  </si>
  <si>
    <t>DGA official</t>
  </si>
  <si>
    <t>Cloud First Policy first 2019 → updated 2021</t>
  </si>
  <si>
    <t>2019 initial Cloud First Policy from MCIT. 2021 DGA formalised and expanded: all government entities must justify non-cloud deployments; pre-approval process for cloud service adoption; security assessment requirement (NCA CCC compliance verified); Government Cloud (G-Cloud) preferred for classified data; health data must stay within KSA borders unless DGA exemption granted. MOH NABIDH platform on G-Cloud as reference implementation</t>
  </si>
  <si>
    <t>Initial 2019. Formalised: 2021</t>
  </si>
  <si>
    <t>Review 2024-2025 aligned with CCC-2 developments</t>
  </si>
  <si>
    <t>CURRENT — 2021 version</t>
  </si>
  <si>
    <t>ALL SECTORS (government entities) — cloud adoption</t>
  </si>
  <si>
    <t>DGA-DMI</t>
  </si>
  <si>
    <t>Digital Maturity Index Methodology</t>
  </si>
  <si>
    <t>منهجية مؤشر النضج الرقمي</t>
  </si>
  <si>
    <t>42</t>
  </si>
  <si>
    <t>All government entities — annual MOH digital scoring</t>
  </si>
  <si>
    <t>DGA-ODP</t>
  </si>
  <si>
    <t>Open Data Policy</t>
  </si>
  <si>
    <t>سياسة البيانات المفتوحة</t>
  </si>
  <si>
    <t>23</t>
  </si>
  <si>
    <t>Government entities — MOH health statistics publications</t>
  </si>
  <si>
    <t>ALL SECTORS (government entities) — open data</t>
  </si>
  <si>
    <t>DGA-GDS</t>
  </si>
  <si>
    <t>Government Digital Standards</t>
  </si>
  <si>
    <t>معايير الحكومة الرقمية</t>
  </si>
  <si>
    <t>All government entities — MOH health portals (Sehhaty, Mawid)</t>
  </si>
  <si>
    <t>ALL SECTORS (government entities) — digital services</t>
  </si>
  <si>
    <t>DGA-GRFM</t>
  </si>
  <si>
    <t>Government Reference Framework for Enterprise Architecture</t>
  </si>
  <si>
    <t>الإطار المرجعي لهندسة المؤسسة الحكومية</t>
  </si>
  <si>
    <t>Government entities — health IT architecture standards</t>
  </si>
  <si>
    <t>DGA as government entity</t>
  </si>
  <si>
    <t xml:space="preserve">  ── 6. Tax / Customs / Trade ──</t>
  </si>
  <si>
    <t>ZATCA</t>
  </si>
  <si>
    <t>Zakat Tax &amp; Customs Authority</t>
  </si>
  <si>
    <t>6. Tax / Customs / Trade</t>
  </si>
  <si>
    <t>ZATCA-EINV-P1</t>
  </si>
  <si>
    <t>E-Invoicing Phase 1 (Generation)</t>
  </si>
  <si>
    <t>الفوترة الإلكترونية - المرحلة الأولى</t>
  </si>
  <si>
    <t>Dec 2021</t>
  </si>
  <si>
    <t>All VAT-registered organisations — hospitals, pharmacies, device suppliers</t>
  </si>
  <si>
    <t>https://www.zatca.gov.sa/</t>
  </si>
  <si>
    <t>ZATCA official</t>
  </si>
  <si>
    <t>Phase 1 Dec 1, 2021</t>
  </si>
  <si>
    <t>Generation phase: all VAT-registered taxpayers must generate electronic invoices (standard and simplified) in a structured format (XML/PDF/A-3). Invoices must have UUID, QR code, date, supplier/buyer details, VAT amount. Hospital billing systems, pharmacy POS, medical device invoices all require e-invoice generation. Hardware and software certified by ZATCA required</t>
  </si>
  <si>
    <t>Mandatory from: Dec 1, 2021</t>
  </si>
  <si>
    <t>Ongoing; businesses must maintain compliant systems</t>
  </si>
  <si>
    <t>MANDATORY — Dec 2021</t>
  </si>
  <si>
    <t>ALL 17 SECTORS — all VAT-registered entities</t>
  </si>
  <si>
    <t>ZATCA-EINV-P2</t>
  </si>
  <si>
    <t>E-Invoicing Phase 2 (Integration)</t>
  </si>
  <si>
    <t>الفوترة الإلكترونية - المرحلة الثانية</t>
  </si>
  <si>
    <t>2022 phased</t>
  </si>
  <si>
    <t>All VAT-registered organisations — hospital billing integration</t>
  </si>
  <si>
    <t>Phase 2 rolled out in waves from Jan 1, 2023 onwards (by taxpayer size)</t>
  </si>
  <si>
    <t>Integration phase: real-time integration of e-invoicing system with ZATCA Fatoora portal. Requirements: ZATCA API connection; cryptographic stamp (ZATCA-issued certificate); UUID generated by ZATCA; clearance model for standard invoices (real-time); reporting model for simplified invoices (24-hour batch). Phased rollout by revenue: largest taxpayers from Jan 2023, rolling to all by 2025. Hospital systems and pharmacy chains in early waves</t>
  </si>
  <si>
    <t>Phase 2 start: Jan 1, 2023 (wave 1). All taxpayers: 2025</t>
  </si>
  <si>
    <t>Ongoing rollout</t>
  </si>
  <si>
    <t>CURRENT — phased rollout Jan 2023-2025</t>
  </si>
  <si>
    <t>ZATCA-VAT</t>
  </si>
  <si>
    <t>VAT Implementing Regulations</t>
  </si>
  <si>
    <t>اللائحة التنفيذية لضريبة القيمة المضافة</t>
  </si>
  <si>
    <t>76</t>
  </si>
  <si>
    <t>All VAT-registered organisations — medical device VAT</t>
  </si>
  <si>
    <t>ZATCA-ZAK</t>
  </si>
  <si>
    <t>Zakat Assessment Regulations</t>
  </si>
  <si>
    <t>أنظمة تقييم الزكاة</t>
  </si>
  <si>
    <t>Updated</t>
  </si>
  <si>
    <t>1951</t>
  </si>
  <si>
    <t>Saudi-owned businesses — healthcare companies Zakat obligations</t>
  </si>
  <si>
    <t>ALL 17 SECTORS (Saudi-owned entities)</t>
  </si>
  <si>
    <t>ZATCA-CUST</t>
  </si>
  <si>
    <t>Customs Regulations</t>
  </si>
  <si>
    <t>الأنظمة الجمركية</t>
  </si>
  <si>
    <t>2003</t>
  </si>
  <si>
    <t>All importers — medical device and pharmaceutical imports</t>
  </si>
  <si>
    <t>ZATCA as government entity managing financial CNI</t>
  </si>
  <si>
    <t xml:space="preserve">  ── 7. Standards &amp; Quality ──</t>
  </si>
  <si>
    <t>SASO</t>
  </si>
  <si>
    <t>Saudi Standards Metrology &amp; Quality Org.</t>
  </si>
  <si>
    <t>7. Standards &amp; Quality</t>
  </si>
  <si>
    <t>SASO-PS</t>
  </si>
  <si>
    <t>Product Safety &amp; Technical Regulations</t>
  </si>
  <si>
    <t>اللوائح الفنية لسلامة المنتجات</t>
  </si>
  <si>
    <t>Updated 2024-2025</t>
  </si>
  <si>
    <t>1972</t>
  </si>
  <si>
    <t>467</t>
  </si>
  <si>
    <t>Manufacturers/importers — medical devices, IoT devices, electrical equipment</t>
  </si>
  <si>
    <t>https://www.saso.gov.sa/en</t>
  </si>
  <si>
    <t>SASO official; UL Solutions 2023; ICBS Jan 2026</t>
  </si>
  <si>
    <t>SASO established 1972 → SABER platform 2019 → ongoing Technical Regulation updates</t>
  </si>
  <si>
    <t>Technical regulations cover 467+ product categories. Medical devices: must comply with SFDA-MDR AND SASO safety standards for electrical safety (IEC 60601 series). IoT devices for healthcare: SASO requires safety and EMC testing. SABER platform (2019): mandatory pre-clearance for regulated product imports. Ongoing updates align with GCC Standardization Organization (GSO) and international standards (IEC, ISO)</t>
  </si>
  <si>
    <t>Established: 1972. SABER: 2019. Ongoing technical regulation updates</t>
  </si>
  <si>
    <t>Continuous; aligned with GCC GSO updates</t>
  </si>
  <si>
    <t>CURRENT — ongoing updates</t>
  </si>
  <si>
    <t>Product recall; import detention; SAR fine; SABER system blacklisting; facility licence suspension</t>
  </si>
  <si>
    <t>SASO — Technical Regulations Department; SABER platform automated enforcement; customs coordination (ZATCA port inspection)</t>
  </si>
  <si>
    <t>Medical Device Manufacturer (electrical safety — IEC 60601); Health IT Vendor (IoT hardware); Medical Equipment Importer</t>
  </si>
  <si>
    <t>Pre-market: SABER conformity certification (mandatory before import); market surveillance audits; consumer complaint investigation</t>
  </si>
  <si>
    <t>Pre-market: each product/model. Market surveillance: continuous</t>
  </si>
  <si>
    <t>12 (IoT/IoMT device safety: electrical safety IEC 60601 series for medical electrical equipment; EMC testing; wireless safety; labelling requirements for connected devices; mandatory firmware update disclosure)</t>
  </si>
  <si>
    <t>IEC 60601 series (medical electrical equipment); IEC 60068 (environmental testing); ETSI EN 303 645 (IoT security); GCC/GSO harmonised standards</t>
  </si>
  <si>
    <t>Arabic + English (SABER platform bilingual)</t>
  </si>
  <si>
    <t>No maturity model; pass/fail conformity assessment</t>
  </si>
  <si>
    <t>Quality products for Vision 2030; National Quality Infrastructure Programme; local manufacturing initiative</t>
  </si>
  <si>
    <t>SABER conformity certificate; test report (IEC 60601/ETSI EN 303 645); importer registration; product technical file; shipment clearance records</t>
  </si>
  <si>
    <t>ALL SECTORS manufacturing/importing regulated products</t>
  </si>
  <si>
    <t>SASO-SABER</t>
  </si>
  <si>
    <t>SABER Product Conformity Platform</t>
  </si>
  <si>
    <t>منصة سابر</t>
  </si>
  <si>
    <t>Operational 2019</t>
  </si>
  <si>
    <t>All importers — medical device importers must register on SABER</t>
  </si>
  <si>
    <t>https://saber.org.sa/</t>
  </si>
  <si>
    <t>SASO official; ICBS Jan 2026</t>
  </si>
  <si>
    <t>ALL SECTORS (importers of regulated products)</t>
  </si>
  <si>
    <t>SASO-METRO</t>
  </si>
  <si>
    <t>Metrology Regulations</t>
  </si>
  <si>
    <t>أنظمة المقاييس والمعايرة</t>
  </si>
  <si>
    <t>Measurement device manufacturers — medical weighing and monitoring</t>
  </si>
  <si>
    <t>SASO official</t>
  </si>
  <si>
    <t>ALL SECTORS (measurement devices)</t>
  </si>
  <si>
    <t>SASO-HALAL</t>
  </si>
  <si>
    <t>Halal Standards (in coordination with SFDA)</t>
  </si>
  <si>
    <t>معايير الحلال</t>
  </si>
  <si>
    <t>Food and pharmaceutical manufacturers — halal pharma products</t>
  </si>
  <si>
    <t>SASO official; SFDA coordination</t>
  </si>
  <si>
    <t>SASO as government entity</t>
  </si>
  <si>
    <t xml:space="preserve">  ── 1. Ministries ──</t>
  </si>
  <si>
    <t>MHRSD</t>
  </si>
  <si>
    <t>Ministry Human Resources &amp; Social Dev.</t>
  </si>
  <si>
    <t>1. Ministries</t>
  </si>
  <si>
    <t>MHRSD-LL</t>
  </si>
  <si>
    <t>Labour Law &amp; Implementing Regulations</t>
  </si>
  <si>
    <t>نظام العمل</t>
  </si>
  <si>
    <t>245</t>
  </si>
  <si>
    <t>All employers — hospitals, clinics, health IT companies</t>
  </si>
  <si>
    <t>https://www.hrsd.gov.sa/en</t>
  </si>
  <si>
    <t>MHRSD official</t>
  </si>
  <si>
    <t>Royal Decree M/51 2005 → updates 2021 → 2024</t>
  </si>
  <si>
    <t>2005 (original): basic employment law. 2021 major update: remote work provisions added; flexible work contracts; parental leave expanded. 2024 update: enhanced parental leave (including paternity); anti-harassment provisions; Saudisation penalties strengthened; healthcare sector-specific provisions for 24/7 shift workers; clarified overtime for healthcare workers during emergencies</t>
  </si>
  <si>
    <t>Original: 2005 (RD M/51). Updated: 2021, 2024</t>
  </si>
  <si>
    <t>Biennial review; sector-specific guidance periodic</t>
  </si>
  <si>
    <t>ALL 17 SECTORS — all employers</t>
  </si>
  <si>
    <t>MHRSD-NITAQAT</t>
  </si>
  <si>
    <t>Saudisation / Nitaqat System</t>
  </si>
  <si>
    <t>نطاقات</t>
  </si>
  <si>
    <t>2011</t>
  </si>
  <si>
    <t>All private sector employers — cyber roles must be Saudi (NCA ECC-2)</t>
  </si>
  <si>
    <t>MHRSD official; Clyde &amp; Co Jan 2025</t>
  </si>
  <si>
    <t>Launched 2011 → multiple updates; ECC-2 cybersecurity Saudisation 2024</t>
  </si>
  <si>
    <t>Nitaqat (Saudisation): quota system by company size and sector. Healthcare sector: tiered quotas for physicians, nurses, pharmacists, admin staff. 2024 critical update — NCA ECC-2 mandates ALL cybersecurity positions in ECC-scope entities (including hospitals) must be filled by Saudi nationals. Colours: Platinum (&gt;&gt;=quota) / Green (meets) / Yellow (below) / Red (significantly below). Non-compliant companies face: work visa bans, government service restrictions</t>
  </si>
  <si>
    <t>Launched: 2011. Annual sector-specific updates. ECC-2 cyber Saudisation: Oct 2024</t>
  </si>
  <si>
    <t>Annual quota updates; cybersecurity Saudisation deadline: Oct 2025</t>
  </si>
  <si>
    <t>CURRENT — 2024 version with cyber Saudisation mandate</t>
  </si>
  <si>
    <t>Red zone: work visa ban; government services suspension; business licence at risk; SAR fines per violation; forced nationalisation order</t>
  </si>
  <si>
    <t>MHRSD — Labour Inspection Department; Qiwa platform automated monitoring; NCA enforces cyber Saudisation via NCA-REG-2024</t>
  </si>
  <si>
    <t>Hospital; Clinic; Health IT Vendor; Medical Device Manufacturer; Health Insurer; Pharmacy (private sector employers)</t>
  </si>
  <si>
    <t>Private sector only (Saudisation does not formally apply to government)</t>
  </si>
  <si>
    <t>Qiwa platform continuous monitoring; MHRSD labour inspection; NCA cyber workforce compliance audit</t>
  </si>
  <si>
    <t>Continuous (Qiwa real-time); quarterly colour rating update</t>
  </si>
  <si>
    <t>3 (cybersecurity roles for IoMT system administrators; biomedical engineer Saudisation; clinical informatics staff)</t>
  </si>
  <si>
    <t>ILO standards (employment); regional Saudisation comparators (Emiratisation UAE, Omanisation)</t>
  </si>
  <si>
    <t>Arabic (primary); English guidance on Qiwa portal</t>
  </si>
  <si>
    <t>Colour-coded zone system: Platinum / Green / Yellow / Red — updated quarterly</t>
  </si>
  <si>
    <t>Vision 2030 Saudisation targets; National Labour Market Strategy; NCA SCyWF cybersecurity workforce development</t>
  </si>
  <si>
    <t>GOSI registration records; Qiwa Nitaqat colour certificate; Saudi employee contracts; NCA ECC-2 cybersecurity role audit; SCFHS licence for Saudi clinical professionals</t>
  </si>
  <si>
    <t>G + C (workforce governance + regulatory compliance)</t>
  </si>
  <si>
    <t>CEO: organisation's Nitaqat colour rating — executive accountability. HR Director: Saudisation strategy and execution. CISO: ensure cybersecurity roles are Saudi nationals per NCA ECC-2. Department Heads: headcount planning within Saudisation quotas</t>
  </si>
  <si>
    <t>Regulatory Risk; Operational Risk (recruitment constraints); Strategic Risk (Saudisation in skilled roles); Reputational Risk (Red zone = public knowledge)</t>
  </si>
  <si>
    <t>LEGAL — Labour Law (RD M/51 2005 as amended). Enforced via Qiwa platform automated monitoring. Red zone: visa ban = operational inability to hire expats</t>
  </si>
  <si>
    <t>Administrative (A): workforce planning; GOSI registration; Qiwa compliance; training programmes. Operational (O): recruitment pipeline for Saudi nationals; transfer of knowledge programmes</t>
  </si>
  <si>
    <t>1. Nitaqat colour rating (target: Green or Platinum). 2. Saudisation percentage vs sector quota. 3. % cybersecurity roles filled by Saudi nationals (target 100% per NCA ECC-2). 4. Saudi employee retention rate (target &gt;85%). 5. Time-to-fill Saudi national vacancies (target &lt;60 days)</t>
  </si>
  <si>
    <t>Qiwa platform continuous automated monitoring; GOSI contribution verification; MHRSD labour inspection (random); NCA audit (cybersecurity role Saudisation)</t>
  </si>
  <si>
    <t>Qiwa portal (mandatory — MHRSD); GOSI self-service portal; SAP SuccessFactors (Saudisation tracking module); Oracle HCM; Workday HR (Saudisation reporting); HRDF Hadaf portal</t>
  </si>
  <si>
    <t>Contractors: must meet Saudisation requirements independently; staffing agencies: Green zone minimum required; cybersecurity service providers: must employ Saudi nationals in roles working for client (NCA ECC-2 mandate)</t>
  </si>
  <si>
    <t>Red zone: work visa ban (cannot hire expats) = operational impact on healthcare services heavily reliant on expat clinical staff; government service suspension; reputational damage (MHRSD public Nitaqat ratings); CCHI contract implications for private insurers</t>
  </si>
  <si>
    <t>ALL 17 SECTORS (private sector) — all private employers</t>
  </si>
  <si>
    <t>OSH-REGS</t>
  </si>
  <si>
    <t>Occupational Safety &amp; Health Regulations</t>
  </si>
  <si>
    <t>لوائح السلامة والصحة المهنية</t>
  </si>
  <si>
    <t>All employers — hospital OSH committees; clinical staff safety</t>
  </si>
  <si>
    <t>First ~2005 → comprehensive update 2020; sector-specific guides issued</t>
  </si>
  <si>
    <t>2005 (first): basic occupational hazard controls. 2020 comprehensive update: aligned with ILO-OSH 2001 and ISO 45001:2018; risk assessment mandatory; OSH committee required (&gt;100 employees); incident reporting system (GOSI coordination); sector-specific guides for healthcare (sharps injury prevention, radiation safety, MRI safety, laser safety). Healthcare OSH committee must include infection control officer and clinical engineer</t>
  </si>
  <si>
    <t>First: ~2005. Major update: 2020</t>
  </si>
  <si>
    <t>Next major review 2024-2025</t>
  </si>
  <si>
    <t>CURRENT — 2020 comprehensive version</t>
  </si>
  <si>
    <t>ALL 17 SECTORS — all employers (&gt;100 employees: OSH committee)</t>
  </si>
  <si>
    <t>MHRSD-WEL</t>
  </si>
  <si>
    <t>Welfare &amp; Social Protection Regulations</t>
  </si>
  <si>
    <t>لوائح الرعاية الاجتماعية</t>
  </si>
  <si>
    <t>Social welfare recipients — disability access in health facilities</t>
  </si>
  <si>
    <t>MHRSD as government entity</t>
  </si>
  <si>
    <t>MOI</t>
  </si>
  <si>
    <t>Ministry of Interior</t>
  </si>
  <si>
    <t>MOI-ACTL</t>
  </si>
  <si>
    <t>Anti-Cybercrime Law</t>
  </si>
  <si>
    <t>نظام مكافحة الجرائم المعلوماتية</t>
  </si>
  <si>
    <t>RD M/17 2007 (revised 2015)</t>
  </si>
  <si>
    <t>2007</t>
  </si>
  <si>
    <t>ENFORCES</t>
  </si>
  <si>
    <t>All persons and entities in KSA — data breach criminal penalties</t>
  </si>
  <si>
    <t>https://www.moi.gov.sa/</t>
  </si>
  <si>
    <t>Library of Congress Feb 2024; AlGhazzawi &amp; Partners 2025</t>
  </si>
  <si>
    <t>ALL 17 SECTORS — criminal law</t>
  </si>
  <si>
    <t>MOI-NID</t>
  </si>
  <si>
    <t>National ID / Absher Platform Standards</t>
  </si>
  <si>
    <t>معايير الهوية الوطنية</t>
  </si>
  <si>
    <t>Continuously updated</t>
  </si>
  <si>
    <t>2014</t>
  </si>
  <si>
    <t>All government services — patient ID verification in health systems</t>
  </si>
  <si>
    <t>MOI official; my.gov.sa</t>
  </si>
  <si>
    <t>ALL 17 SECTORS — identity verification</t>
  </si>
  <si>
    <t>MOI-ATL</t>
  </si>
  <si>
    <t>Anti-Terrorism Law</t>
  </si>
  <si>
    <t>نظام مكافحة الإرهاب</t>
  </si>
  <si>
    <t>Updated 2017</t>
  </si>
  <si>
    <t>All persons — background check for healthcare professional registration</t>
  </si>
  <si>
    <t>MOI official; Library of Congress</t>
  </si>
  <si>
    <t>MOI as government entity — highest security classification</t>
  </si>
  <si>
    <t>MCIT</t>
  </si>
  <si>
    <t>Ministry of Communications &amp; IT</t>
  </si>
  <si>
    <t>MCIT-DEP</t>
  </si>
  <si>
    <t>Digital Economy Policy</t>
  </si>
  <si>
    <t>سياسة الاقتصاد الرقمي</t>
  </si>
  <si>
    <t>CoM Resolution 267/2021</t>
  </si>
  <si>
    <t>All government and private sector — digital health economy</t>
  </si>
  <si>
    <t>https://www.mcit.gov.sa/en/acts-and-regulations</t>
  </si>
  <si>
    <t>MCIT official; Saudipedia</t>
  </si>
  <si>
    <t>ICT / Digital / Telecom; ALL SECTORS</t>
  </si>
  <si>
    <t>MCIT-ICT23</t>
  </si>
  <si>
    <t>ICT Strategy 2023</t>
  </si>
  <si>
    <t>استراتيجية تقنية المعلومات والاتصالات</t>
  </si>
  <si>
    <t>2019-2023 updated</t>
  </si>
  <si>
    <t>ICT sector — health IT sector development</t>
  </si>
  <si>
    <t>https://www.mcit.gov.sa/en/strategy-ministry-communications-and-information-technology</t>
  </si>
  <si>
    <t>MCIT official</t>
  </si>
  <si>
    <t>MCIT-ETL</t>
  </si>
  <si>
    <t>Electronic Transactions Law</t>
  </si>
  <si>
    <t>نظام المعاملات الإلكترونية</t>
  </si>
  <si>
    <t>All organisations — health e-commerce, telemedicine digital contracts</t>
  </si>
  <si>
    <t>ALL SECTORS with digital transactions</t>
  </si>
  <si>
    <t>MCIT as government entity</t>
  </si>
  <si>
    <t>CMA</t>
  </si>
  <si>
    <t>Capital Market Authority</t>
  </si>
  <si>
    <t>CMA-CML</t>
  </si>
  <si>
    <t>Capital Market Law</t>
  </si>
  <si>
    <t>نظام السوق المالية</t>
  </si>
  <si>
    <t>Listed companies — private hospitals and pharma companies</t>
  </si>
  <si>
    <t>https://cma.gov.sa/en</t>
  </si>
  <si>
    <t>CMA official</t>
  </si>
  <si>
    <t>Financial Regulators; ALL SECTORS with listed companies</t>
  </si>
  <si>
    <t>CMA-CGR</t>
  </si>
  <si>
    <t>Corporate Governance Regulations</t>
  </si>
  <si>
    <t>لائحة حوكمة الشركات</t>
  </si>
  <si>
    <t>2006</t>
  </si>
  <si>
    <t>94</t>
  </si>
  <si>
    <t>Listed companies — listed private hospital governance</t>
  </si>
  <si>
    <t>First 2006 → revised 2017 → updated 2023</t>
  </si>
  <si>
    <t>2006 (first). 2017 (revised): board independence requirements; audit committee mandatory; related party transaction rules. 2023 update: ESG reporting requirements; cybersecurity risk disclosure required in annual report; AI governance disclosure for listed tech companies; health sector: hospital holding companies must disclose cyber incidents material to operations; board-level cybersecurity oversight required</t>
  </si>
  <si>
    <t>First: 2006. Revised: 2017. Updated: 2023</t>
  </si>
  <si>
    <t>CMA-LR</t>
  </si>
  <si>
    <t>Listing Rules</t>
  </si>
  <si>
    <t>قواعد الإدراج</t>
  </si>
  <si>
    <t>128</t>
  </si>
  <si>
    <t>IPO applicants — private hospital IPOs</t>
  </si>
  <si>
    <t>CMA-IFR</t>
  </si>
  <si>
    <t>Investment Fund Regulations</t>
  </si>
  <si>
    <t>لوائح صناديق الاستثمار</t>
  </si>
  <si>
    <t>85</t>
  </si>
  <si>
    <t>Investment fund managers — healthcare funds</t>
  </si>
  <si>
    <t>CMA official; ICBS Jan 2026</t>
  </si>
  <si>
    <t>CMA as government entity</t>
  </si>
  <si>
    <t>IAIC</t>
  </si>
  <si>
    <t>Insurance Authority</t>
  </si>
  <si>
    <t>IAIC-COILAW</t>
  </si>
  <si>
    <t>Cooperative Insurance Companies Control Law</t>
  </si>
  <si>
    <t>نظام الرقابة على شركات التأمين التعاوني</t>
  </si>
  <si>
    <t>All insurance companies including health insurers</t>
  </si>
  <si>
    <t>https://ia.gov.sa/</t>
  </si>
  <si>
    <t>Insurance Authority official</t>
  </si>
  <si>
    <t>IAIC-CSF</t>
  </si>
  <si>
    <t>Insurance Cybersecurity Framework</t>
  </si>
  <si>
    <t>إطار الأمن السيبراني لقطاع التأمين</t>
  </si>
  <si>
    <t>Active (aligned SAMA CSF)</t>
  </si>
  <si>
    <t>Insurance companies including health insurers</t>
  </si>
  <si>
    <t>Insurance companies as SAMA/IAIC-regulated</t>
  </si>
  <si>
    <t>SAMA; IAIC coordination</t>
  </si>
  <si>
    <t>IAIC as government entity</t>
  </si>
  <si>
    <t>Insurers process policyholder health data</t>
  </si>
  <si>
    <t>SDAIA; Chambers TMT 2026</t>
  </si>
  <si>
    <t>GOSI</t>
  </si>
  <si>
    <t>General Organisation for Social Insurance</t>
  </si>
  <si>
    <t>GOSI-OIL</t>
  </si>
  <si>
    <t>Occupational Injury Law &amp; Benefits</t>
  </si>
  <si>
    <t>نظام التأمين ضد العجز والوفاة</t>
  </si>
  <si>
    <t>1969</t>
  </si>
  <si>
    <t>All employers — healthcare worker injury reporting</t>
  </si>
  <si>
    <t>https://www.gosi.gov.sa/</t>
  </si>
  <si>
    <t>GOSI official</t>
  </si>
  <si>
    <t>Royal Decree M/33 1969 → updated 2021</t>
  </si>
  <si>
    <t>1969 (establishment). 2021 update: expanded occupational injury categories to include: mental health injuries caused by workplace; COVID-19 as occupational disease for healthcare workers; cyber-stress injuries (new concept). Healthcare worker injuries (needle sticks, patient handling, radiation exposure) — GOSI covers healthcare workers comprehensively. Employers must report injuries within 30 days; GOSI manages rehabilitation</t>
  </si>
  <si>
    <t>Established: 1969 (RD M/33). Updated: 2021</t>
  </si>
  <si>
    <t>Periodic updates</t>
  </si>
  <si>
    <t>GOSI-SIN</t>
  </si>
  <si>
    <t>Social Insurance Regulations</t>
  </si>
  <si>
    <t>نظام الضمان الاجتماعي</t>
  </si>
  <si>
    <t>All employers — mandatory contribution for all employees</t>
  </si>
  <si>
    <t>GOSI as government entity</t>
  </si>
  <si>
    <t>GOSI processes employee personal data</t>
  </si>
  <si>
    <t>MOFA</t>
  </si>
  <si>
    <t>Ministry of Foreign Affairs</t>
  </si>
  <si>
    <t>MOFA-LAW</t>
  </si>
  <si>
    <t>Diplomatic Law &amp; International Agreements</t>
  </si>
  <si>
    <t>قانون/نظام اللوائح الرئيسية</t>
  </si>
  <si>
    <t>Active/Updated</t>
  </si>
  <si>
    <t>1930</t>
  </si>
  <si>
    <t>Entities regulated by this ministry</t>
  </si>
  <si>
    <t>https://mofa.gov.sa or via www.moi.gov.sa</t>
  </si>
  <si>
    <t>Ministry official; BOE regulations archive</t>
  </si>
  <si>
    <t>Ministry of Foreign Affairs as government entity</t>
  </si>
  <si>
    <t>Ministry of Foreign Affairs processes personal data of employees and regulated parties</t>
  </si>
  <si>
    <t>MOF</t>
  </si>
  <si>
    <t>Ministry of Finance</t>
  </si>
  <si>
    <t>MOF-LAW</t>
  </si>
  <si>
    <t>Public Finance Law</t>
  </si>
  <si>
    <t>1954</t>
  </si>
  <si>
    <t>https://mof.gov.sa or via www.moi.gov.sa</t>
  </si>
  <si>
    <t>Ministry of Finance as government entity</t>
  </si>
  <si>
    <t>Ministry of Finance processes personal data of employees and regulated parties</t>
  </si>
  <si>
    <t>MOD</t>
  </si>
  <si>
    <t>Ministry of Defense</t>
  </si>
  <si>
    <t>MOD-LAW</t>
  </si>
  <si>
    <t>Military Health Law &amp; Standards</t>
  </si>
  <si>
    <t>1943</t>
  </si>
  <si>
    <t>https://mod.gov.sa or via www.moi.gov.sa</t>
  </si>
  <si>
    <t>Ministry of Defense as government entity</t>
  </si>
  <si>
    <t>Ministry of Defense processes personal data of employees and regulated parties</t>
  </si>
  <si>
    <t>MOHAJ</t>
  </si>
  <si>
    <t>Ministry of Hajj &amp; Umrah</t>
  </si>
  <si>
    <t>MOHAJ-LAW</t>
  </si>
  <si>
    <t>Hajj &amp; Umrah Regulations</t>
  </si>
  <si>
    <t>https://mohaj.gov.sa or via www.moi.gov.sa</t>
  </si>
  <si>
    <t>Ministry of Hajj &amp; Umrah as government entity</t>
  </si>
  <si>
    <t>Ministry of Hajj &amp; Umrah processes personal data of employees and regulated parties</t>
  </si>
  <si>
    <t>MONG</t>
  </si>
  <si>
    <t>Ministry of National Guard</t>
  </si>
  <si>
    <t>MONG-LAW</t>
  </si>
  <si>
    <t>NGHA Hospital Network Standards</t>
  </si>
  <si>
    <t>1983</t>
  </si>
  <si>
    <t>https://mong.gov.sa or via www.moi.gov.sa</t>
  </si>
  <si>
    <t>Ministry of National Guard as government entity</t>
  </si>
  <si>
    <t>Ministry of National Guard processes personal data of employees and regulated parties</t>
  </si>
  <si>
    <t>MEWA</t>
  </si>
  <si>
    <t>Ministry of Environment Water &amp; Agriculture</t>
  </si>
  <si>
    <t>MEWA-LAW</t>
  </si>
  <si>
    <t>Environment &amp; Water Law</t>
  </si>
  <si>
    <t>1995</t>
  </si>
  <si>
    <t>https://mewa.gov.sa or via www.moi.gov.sa</t>
  </si>
  <si>
    <t>Ministry of Environment Water &amp; Agriculture as government entity</t>
  </si>
  <si>
    <t>Ministry of Environment Water &amp; Agriculture processes personal data of employees and regulated parties</t>
  </si>
  <si>
    <t>MOT</t>
  </si>
  <si>
    <t>Ministry of Transport &amp; Logistic Services</t>
  </si>
  <si>
    <t>MOT-LAW</t>
  </si>
  <si>
    <t>Transport Law</t>
  </si>
  <si>
    <t>1953</t>
  </si>
  <si>
    <t>https://mot.gov.sa or via www.moi.gov.sa</t>
  </si>
  <si>
    <t>Ministry of Transport &amp; Logistic Services as government entity</t>
  </si>
  <si>
    <t>Ministry of Transport &amp; Logistic Services processes personal data of employees and regulated parties</t>
  </si>
  <si>
    <t>MOE</t>
  </si>
  <si>
    <t>Ministry of Education</t>
  </si>
  <si>
    <t>MOE-LAW</t>
  </si>
  <si>
    <t>Education Law</t>
  </si>
  <si>
    <t>https://moe.gov.sa or via www.moi.gov.sa</t>
  </si>
  <si>
    <t>Ministry of Education as government entity</t>
  </si>
  <si>
    <t>Ministry of Education processes personal data of employees and regulated parties</t>
  </si>
  <si>
    <t>MOCI</t>
  </si>
  <si>
    <t>Ministry of Commerce</t>
  </si>
  <si>
    <t>MOCI-LAW</t>
  </si>
  <si>
    <t>Companies &amp; Consumer Protection Laws</t>
  </si>
  <si>
    <t>https://moci.gov.sa or via www.moi.gov.sa</t>
  </si>
  <si>
    <t>Ministry of Commerce as government entity</t>
  </si>
  <si>
    <t>Ministry of Commerce processes personal data of employees and regulated parties</t>
  </si>
  <si>
    <t>MOENER</t>
  </si>
  <si>
    <t>Ministry of Energy</t>
  </si>
  <si>
    <t>MOENER-LAW</t>
  </si>
  <si>
    <t>Energy &amp; Petroleum Regulations</t>
  </si>
  <si>
    <t>1960</t>
  </si>
  <si>
    <t>https://moener.gov.sa or via www.moi.gov.sa</t>
  </si>
  <si>
    <t>Ministry of Energy as government entity</t>
  </si>
  <si>
    <t>Ministry of Energy processes personal data of employees and regulated parties</t>
  </si>
  <si>
    <t>MEP</t>
  </si>
  <si>
    <t>Ministry of Economy &amp; Planning</t>
  </si>
  <si>
    <t>MEP-LAW</t>
  </si>
  <si>
    <t>Vision 2030 Framework</t>
  </si>
  <si>
    <t>https://mep.gov.sa or via www.moi.gov.sa</t>
  </si>
  <si>
    <t>Ministry of Economy &amp; Planning as government entity</t>
  </si>
  <si>
    <t>Ministry of Economy &amp; Planning processes personal data of employees and regulated parties</t>
  </si>
  <si>
    <t>MOMAH</t>
  </si>
  <si>
    <t>Ministry of Municipalities &amp; Housing</t>
  </si>
  <si>
    <t>MOMAH-LAW</t>
  </si>
  <si>
    <t>Building Regulations</t>
  </si>
  <si>
    <t>1975</t>
  </si>
  <si>
    <t>https://momah.gov.sa or via www.moi.gov.sa</t>
  </si>
  <si>
    <t>Ministry of Municipalities &amp; Housing as government entity</t>
  </si>
  <si>
    <t>Ministry of Municipalities &amp; Housing processes personal data of employees and regulated parties</t>
  </si>
  <si>
    <t>MOIA</t>
  </si>
  <si>
    <t>Ministry of Islamic Affairs</t>
  </si>
  <si>
    <t>MOIA-LAW</t>
  </si>
  <si>
    <t>Halal Coordination Mandate</t>
  </si>
  <si>
    <t>https://moia.gov.sa or via www.moi.gov.sa</t>
  </si>
  <si>
    <t>Ministry of Islamic Affairs as government entity</t>
  </si>
  <si>
    <t>Ministry of Islamic Affairs processes personal data of employees and regulated parties</t>
  </si>
  <si>
    <t>MOCult</t>
  </si>
  <si>
    <t>Ministry of Culture</t>
  </si>
  <si>
    <t>MOCult-LAW</t>
  </si>
  <si>
    <t>Culture Law</t>
  </si>
  <si>
    <t>https://mocult.gov.sa or via www.moi.gov.sa</t>
  </si>
  <si>
    <t>Ministry of Culture as government entity</t>
  </si>
  <si>
    <t>Ministry of Culture processes personal data of employees and regulated parties</t>
  </si>
  <si>
    <t>MOMedia</t>
  </si>
  <si>
    <t>Ministry of Media</t>
  </si>
  <si>
    <t>MOMedia-LAW</t>
  </si>
  <si>
    <t>Audiovisual Media Law</t>
  </si>
  <si>
    <t>https://momedia.gov.sa or via www.moi.gov.sa</t>
  </si>
  <si>
    <t>Ministry of Media as government entity</t>
  </si>
  <si>
    <t>Ministry of Media processes personal data of employees and regulated parties</t>
  </si>
  <si>
    <t>MIM</t>
  </si>
  <si>
    <t>Ministry of Industry &amp; Mineral Resources</t>
  </si>
  <si>
    <t>MIM-LAW</t>
  </si>
  <si>
    <t>Industry &amp; Mining Law</t>
  </si>
  <si>
    <t>1967</t>
  </si>
  <si>
    <t>https://mim.gov.sa or via www.moi.gov.sa</t>
  </si>
  <si>
    <t>Ministry of Industry &amp; Mineral Resources as government entity</t>
  </si>
  <si>
    <t>Ministry of Industry &amp; Mineral Resources processes personal data of employees and regulated parties</t>
  </si>
  <si>
    <t>MISA</t>
  </si>
  <si>
    <t>Ministry of Investment</t>
  </si>
  <si>
    <t>MISA-LAW</t>
  </si>
  <si>
    <t>Investment Law</t>
  </si>
  <si>
    <t>https://misa.gov.sa or via www.moi.gov.sa</t>
  </si>
  <si>
    <t>Ministry of Investment as government entity</t>
  </si>
  <si>
    <t>Ministry of Investment processes personal data of employees and regulated parties</t>
  </si>
  <si>
    <t>MOSPORT</t>
  </si>
  <si>
    <t>Ministry of Sport</t>
  </si>
  <si>
    <t>MOSPORT-LAW</t>
  </si>
  <si>
    <t>Sport Law</t>
  </si>
  <si>
    <t>https://mosport.gov.sa or via www.moi.gov.sa</t>
  </si>
  <si>
    <t>Ministry of Sport as government entity</t>
  </si>
  <si>
    <t>Ministry of Sport processes personal data of employees and regulated parties</t>
  </si>
  <si>
    <t>MOTour</t>
  </si>
  <si>
    <t>Ministry of Tourism</t>
  </si>
  <si>
    <t>MOTour-LAW</t>
  </si>
  <si>
    <t>Tourism Law</t>
  </si>
  <si>
    <t>https://motour.gov.sa or via www.moi.gov.sa</t>
  </si>
  <si>
    <t>Ministry of Tourism as government entity</t>
  </si>
  <si>
    <t>Ministry of Tourism processes personal data of employees and regulated parties</t>
  </si>
  <si>
    <t>MOJ</t>
  </si>
  <si>
    <t>Ministry of Justice</t>
  </si>
  <si>
    <t>MOJ-LAW</t>
  </si>
  <si>
    <t>Judicial Procedure Law</t>
  </si>
  <si>
    <t>https://moj.gov.sa or via www.moi.gov.sa</t>
  </si>
  <si>
    <t>Ministry of Justice as government entity</t>
  </si>
  <si>
    <t>Ministry of Justice processes personal data of employees and regulated parties</t>
  </si>
  <si>
    <t>PPA</t>
  </si>
  <si>
    <t>Public Pension Agency</t>
  </si>
  <si>
    <t>PPA-FW</t>
  </si>
  <si>
    <t>Pension Regulations for Government Employees</t>
  </si>
  <si>
    <t>الإطار التنظيمي الرئيسي</t>
  </si>
  <si>
    <t>1974</t>
  </si>
  <si>
    <t>Entities regulated by this authority</t>
  </si>
  <si>
    <t>https://www.gov.sa/</t>
  </si>
  <si>
    <t>Ministry/Authority official site</t>
  </si>
  <si>
    <t>Public Pension Agency as government entity</t>
  </si>
  <si>
    <t>PIF</t>
  </si>
  <si>
    <t>Public Investment Fund</t>
  </si>
  <si>
    <t>PIF-FW</t>
  </si>
  <si>
    <t>Investment Framework &amp; Portfolio Standards</t>
  </si>
  <si>
    <t>Public Investment Fund as government entity</t>
  </si>
  <si>
    <t>SIDF</t>
  </si>
  <si>
    <t>Saudi Industrial Development Fund</t>
  </si>
  <si>
    <t>SIDF-FW</t>
  </si>
  <si>
    <t>Industrial Lending Regulations</t>
  </si>
  <si>
    <t>Saudi Industrial Development Fund as government entity</t>
  </si>
  <si>
    <t>SFD</t>
  </si>
  <si>
    <t>Saudi Fund for Development</t>
  </si>
  <si>
    <t>SFD-FW</t>
  </si>
  <si>
    <t>Development Finance Regulations</t>
  </si>
  <si>
    <t>Saudi Fund for Development as government entity</t>
  </si>
  <si>
    <t>REDF</t>
  </si>
  <si>
    <t>Real Estate Development Fund</t>
  </si>
  <si>
    <t>REDF-FW</t>
  </si>
  <si>
    <t>Real Estate Lending Regulations</t>
  </si>
  <si>
    <t>Real Estate Development Fund as government entity</t>
  </si>
  <si>
    <t>SME</t>
  </si>
  <si>
    <t>Monshaat (SME General Authority)</t>
  </si>
  <si>
    <t>SME-FW</t>
  </si>
  <si>
    <t>SME Development Regulations</t>
  </si>
  <si>
    <t>Monshaat (SME General Authority) as government entity</t>
  </si>
  <si>
    <t>HRDF</t>
  </si>
  <si>
    <t>Human Resources Development Fund</t>
  </si>
  <si>
    <t>HRDF-FW</t>
  </si>
  <si>
    <t>Workforce Training Programme Standards</t>
  </si>
  <si>
    <t>Human Resources Development Fund as government entity</t>
  </si>
  <si>
    <t>Tadawul</t>
  </si>
  <si>
    <t>Saudi Exchange (Tadawul)</t>
  </si>
  <si>
    <t>Tadawul-FW</t>
  </si>
  <si>
    <t>Market Disclosure &amp; Listing Rules</t>
  </si>
  <si>
    <t>Saudi Exchange (Tadawul) as government entity</t>
  </si>
  <si>
    <t>GAFT</t>
  </si>
  <si>
    <t>General Authority for Foreign Trade</t>
  </si>
  <si>
    <t>GAFT-FW</t>
  </si>
  <si>
    <t>Foreign Trade Law</t>
  </si>
  <si>
    <t>General Authority for Foreign Trade as government entity</t>
  </si>
  <si>
    <t>SAAC</t>
  </si>
  <si>
    <t>Saudi Accreditation Centre</t>
  </si>
  <si>
    <t>SAAC-FW</t>
  </si>
  <si>
    <t>Lab &amp; Inspection Body Accreditation (ISO 17025)</t>
  </si>
  <si>
    <t>Saudi Accreditation Centre as government entity</t>
  </si>
  <si>
    <t>GASTAT</t>
  </si>
  <si>
    <t>General Authority for Statistics</t>
  </si>
  <si>
    <t>GASTAT-FW</t>
  </si>
  <si>
    <t>National Statistics &amp; Health Reporting Standards</t>
  </si>
  <si>
    <t>General Authority for Statistics as government entity</t>
  </si>
  <si>
    <t>SAFCSP</t>
  </si>
  <si>
    <t>Saudi Org. for Certified Public Accountants</t>
  </si>
  <si>
    <t>SAFCSP-FW</t>
  </si>
  <si>
    <t>IFRS &amp; Auditing Standards</t>
  </si>
  <si>
    <t>Saudi Org. for Certified Public Accountants as government entity</t>
  </si>
  <si>
    <t xml:space="preserve">  ── 8. Energy &amp; Utilities ──</t>
  </si>
  <si>
    <t>ECRA</t>
  </si>
  <si>
    <t>Electricity &amp; Cogeneration Regulatory Authority</t>
  </si>
  <si>
    <t>8. Energy &amp; Utilities</t>
  </si>
  <si>
    <t>ECRA-FW</t>
  </si>
  <si>
    <t>Electricity Law</t>
  </si>
  <si>
    <t>Electricity &amp; Cogeneration Regulatory Authority as government entity</t>
  </si>
  <si>
    <t>KACARE</t>
  </si>
  <si>
    <t>King Abdullah City Atomic &amp; Renewable</t>
  </si>
  <si>
    <t>KACARE-FW</t>
  </si>
  <si>
    <t>Nuclear &amp; Radiation Regulations (IAEA-aligned)</t>
  </si>
  <si>
    <t>King Abdullah City Atomic &amp; Renewable as government entity</t>
  </si>
  <si>
    <t>SWCC</t>
  </si>
  <si>
    <t>Saline Water Conversion Corporation</t>
  </si>
  <si>
    <t>SWCC-FW</t>
  </si>
  <si>
    <t>Water Supply Standards</t>
  </si>
  <si>
    <t>Saline Water Conversion Corporation as government entity</t>
  </si>
  <si>
    <t>NWC</t>
  </si>
  <si>
    <t>National Water Company</t>
  </si>
  <si>
    <t>NWC-FW</t>
  </si>
  <si>
    <t>Water Quality &amp; Distribution Standards</t>
  </si>
  <si>
    <t>National Water Company as government entity</t>
  </si>
  <si>
    <t xml:space="preserve">  ── 9. Environment ──</t>
  </si>
  <si>
    <t>NCEC</t>
  </si>
  <si>
    <t>Nat. Centre for Environmental Compliance</t>
  </si>
  <si>
    <t>9. Environment</t>
  </si>
  <si>
    <t>NCEC-FW</t>
  </si>
  <si>
    <t>General Environmental Regulation</t>
  </si>
  <si>
    <t>Nat. Centre for Environmental Compliance as government entity</t>
  </si>
  <si>
    <t xml:space="preserve">  ── 10. Transport &amp; Logistics ──</t>
  </si>
  <si>
    <t>GACA</t>
  </si>
  <si>
    <t>General Authority of Civil Aviation</t>
  </si>
  <si>
    <t>10. Transport &amp; Logistics</t>
  </si>
  <si>
    <t>GACA-FW</t>
  </si>
  <si>
    <t>Civil Aviation Law</t>
  </si>
  <si>
    <t>2002</t>
  </si>
  <si>
    <t>General Authority of Civil Aviation as government entity</t>
  </si>
  <si>
    <t>MAWANI</t>
  </si>
  <si>
    <t>Saudi Ports Authority (Mawani)</t>
  </si>
  <si>
    <t>MAWANI-FW</t>
  </si>
  <si>
    <t>Ports Regulations &amp; Cold Chain Standards</t>
  </si>
  <si>
    <t>1976</t>
  </si>
  <si>
    <t>Saudi Ports Authority (Mawani) as government entity</t>
  </si>
  <si>
    <t xml:space="preserve">  ── 11. Industry &amp; Trade ──</t>
  </si>
  <si>
    <t>MODON</t>
  </si>
  <si>
    <t>Saudi Industrial Property Authority</t>
  </si>
  <si>
    <t>11. Industry &amp; Trade</t>
  </si>
  <si>
    <t>MODON-FW</t>
  </si>
  <si>
    <t>Industrial Zones Licensing</t>
  </si>
  <si>
    <t>1971</t>
  </si>
  <si>
    <t>Saudi Industrial Property Authority as government entity</t>
  </si>
  <si>
    <t>RCJY</t>
  </si>
  <si>
    <t>Royal Commission for Jubail &amp; Yanbu</t>
  </si>
  <si>
    <t>RCJY-FW</t>
  </si>
  <si>
    <t>Industrial City Standards</t>
  </si>
  <si>
    <t>Royal Commission for Jubail &amp; Yanbu as government entity</t>
  </si>
  <si>
    <t>STA</t>
  </si>
  <si>
    <t>Saudi Tourism Authority</t>
  </si>
  <si>
    <t>STA-FW</t>
  </si>
  <si>
    <t>Tourism Standards</t>
  </si>
  <si>
    <t>Saudi Tourism Authority as government entity</t>
  </si>
  <si>
    <t>SAIP</t>
  </si>
  <si>
    <t>Saudi Authority for Intellectual Property</t>
  </si>
  <si>
    <t>SAIP-FW</t>
  </si>
  <si>
    <t>IP &amp; Patent Law</t>
  </si>
  <si>
    <t>Saudi Authority for Intellectual Property as government entity</t>
  </si>
  <si>
    <t xml:space="preserve">  ── 12. Education &amp; Research ──</t>
  </si>
  <si>
    <t>ETEC</t>
  </si>
  <si>
    <t>Education Eval &amp; Training Accreditation</t>
  </si>
  <si>
    <t>12. Education &amp; Research</t>
  </si>
  <si>
    <t>ETEC-FW</t>
  </si>
  <si>
    <t>Academic Accreditation Standards</t>
  </si>
  <si>
    <t>Education Eval &amp; Training Accreditation as government entity</t>
  </si>
  <si>
    <t>TVTC</t>
  </si>
  <si>
    <t>Technical &amp; Vocational Training Corp.</t>
  </si>
  <si>
    <t>TVTC-FW</t>
  </si>
  <si>
    <t>Vocational Training Standards</t>
  </si>
  <si>
    <t>1980</t>
  </si>
  <si>
    <t>Technical &amp; Vocational Training Corp. as government entity</t>
  </si>
  <si>
    <t>KAUST</t>
  </si>
  <si>
    <t>King Abdullah Univ. Science &amp; Technology</t>
  </si>
  <si>
    <t>KAUST-FW</t>
  </si>
  <si>
    <t>Research Ethics &amp; Governance Policy</t>
  </si>
  <si>
    <t>2009</t>
  </si>
  <si>
    <t>King Abdullah Univ. Science &amp; Technology as government entity</t>
  </si>
  <si>
    <t>KSU</t>
  </si>
  <si>
    <t>King Saud University (Univ. Hospital)</t>
  </si>
  <si>
    <t>KSU-FW</t>
  </si>
  <si>
    <t>Clinical Policy &amp; Hospital Governance</t>
  </si>
  <si>
    <t>1957</t>
  </si>
  <si>
    <t>King Saud University (Univ. Hospital) as government entity</t>
  </si>
  <si>
    <t>KAU</t>
  </si>
  <si>
    <t>King Abdulaziz University (Univ. Hospital)</t>
  </si>
  <si>
    <t>KAU-FW</t>
  </si>
  <si>
    <t>King Abdulaziz University (Univ. Hospital) as government entity</t>
  </si>
  <si>
    <t>KFUPM</t>
  </si>
  <si>
    <t>King Fahd Univ. Petroleum &amp; Minerals</t>
  </si>
  <si>
    <t>KFUPM-FW</t>
  </si>
  <si>
    <t>Research Policy &amp; Engineering Standards</t>
  </si>
  <si>
    <t>1963</t>
  </si>
  <si>
    <t>King Fahd Univ. Petroleum &amp; Minerals as government entity</t>
  </si>
  <si>
    <t xml:space="preserve">  ── 13. Legal &amp; Judicial ──</t>
  </si>
  <si>
    <t>BOE</t>
  </si>
  <si>
    <t>Bureau of Experts at Council of Ministers</t>
  </si>
  <si>
    <t>13. Legal &amp; Judicial</t>
  </si>
  <si>
    <t>BOE-FW</t>
  </si>
  <si>
    <t>Legal Drafting Regulations</t>
  </si>
  <si>
    <t>1977</t>
  </si>
  <si>
    <t>Bureau of Experts at Council of Ministers as government entity</t>
  </si>
  <si>
    <t>NAZAHA</t>
  </si>
  <si>
    <t>Anti-Corruption Commission (Nazaha)</t>
  </si>
  <si>
    <t>NAZAHA-FW</t>
  </si>
  <si>
    <t>Anti-Corruption Law &amp; Asset Disclosure</t>
  </si>
  <si>
    <t>Anti-Corruption Commission (Nazaha) as government entity</t>
  </si>
  <si>
    <t xml:space="preserve">  ── 14. Labour &amp; Occ. Health ──</t>
  </si>
  <si>
    <t>OSH</t>
  </si>
  <si>
    <t>Occupational Safety &amp; Health Dept (MHRSD)</t>
  </si>
  <si>
    <t>14. Labour &amp; Occ. Health</t>
  </si>
  <si>
    <t>OSH-FW</t>
  </si>
  <si>
    <t>Occupational Safety &amp; Health Dept (MHRSD) as government entity</t>
  </si>
  <si>
    <t>RDIA</t>
  </si>
  <si>
    <t>Research Development &amp; Innovation Authority</t>
  </si>
  <si>
    <t>RDIA-FW</t>
  </si>
  <si>
    <t>R&amp;D Framework</t>
  </si>
  <si>
    <t>Research Development &amp; Innovation Authority as government entity</t>
  </si>
  <si>
    <t>NCSA</t>
  </si>
  <si>
    <t>National Competitiveness Centre (Taqadum)</t>
  </si>
  <si>
    <t>NCSA-FW</t>
  </si>
  <si>
    <t>Competitiveness Index Methodology</t>
  </si>
  <si>
    <t>National Competitiveness Centre (Taqadum) as government entity</t>
  </si>
  <si>
    <t>SSA</t>
  </si>
  <si>
    <t>Saudi Space Agency</t>
  </si>
  <si>
    <t>SSA-FW</t>
  </si>
  <si>
    <t>Space Regulations &amp; Licensing</t>
  </si>
  <si>
    <t>Saudi Space Agency as government entity</t>
  </si>
  <si>
    <t xml:space="preserve">  ── 15. Special Zones &amp; Giga ──</t>
  </si>
  <si>
    <t>NEOM</t>
  </si>
  <si>
    <t>NEOM Company (Giga Project)</t>
  </si>
  <si>
    <t>15. Special Zones &amp; Giga</t>
  </si>
  <si>
    <t>NEOM-FW</t>
  </si>
  <si>
    <t>NEOM Health &amp; IoT Governance Framework</t>
  </si>
  <si>
    <t>NEOM Company (Giga Project) as government entity</t>
  </si>
  <si>
    <t>RDA</t>
  </si>
  <si>
    <t>Royal Development Authority (Riyadh)</t>
  </si>
  <si>
    <t>RDA-FW</t>
  </si>
  <si>
    <t>Urban Development Standards</t>
  </si>
  <si>
    <t>Royal Development Authority (Riyadh) as government entity</t>
  </si>
  <si>
    <t>DGDA</t>
  </si>
  <si>
    <t>Diriyah Gate Development Authority</t>
  </si>
  <si>
    <t>DGDA-FW</t>
  </si>
  <si>
    <t>Diriyah Development Standards</t>
  </si>
  <si>
    <t>Diriyah Gate Development Authority as government entity</t>
  </si>
  <si>
    <t>RCU</t>
  </si>
  <si>
    <t>Royal Commission for AlUla</t>
  </si>
  <si>
    <t>RCU-FW</t>
  </si>
  <si>
    <t>Tourism &amp; Heritage Standards</t>
  </si>
  <si>
    <t>Royal Commission for AlUla as government entity</t>
  </si>
  <si>
    <t>AMAALA</t>
  </si>
  <si>
    <t>Amaala Giga Project</t>
  </si>
  <si>
    <t>AMAALA-FW</t>
  </si>
  <si>
    <t>Wellness &amp; Health Tourism Standards</t>
  </si>
  <si>
    <t>Amaala Giga Project as government entity</t>
  </si>
  <si>
    <t>NUPCO</t>
  </si>
  <si>
    <t>National Unified Procurement Company</t>
  </si>
  <si>
    <t>NUPCO-FW</t>
  </si>
  <si>
    <t>Procurement &amp; Quality Standards for Suppliers</t>
  </si>
  <si>
    <t>National Unified Procurement Company as government entity</t>
  </si>
  <si>
    <t>KAIMRC</t>
  </si>
  <si>
    <t>King Abdullah Intl Medical Research Centre</t>
  </si>
  <si>
    <t>KAIMRC-FW</t>
  </si>
  <si>
    <t>Research Ethics &amp; GCP Standards (ICH E6)</t>
  </si>
  <si>
    <t>King Abdullah Intl Medical Research Centre as government entity</t>
  </si>
  <si>
    <t>NGHA</t>
  </si>
  <si>
    <t>National Guard Health Affairs</t>
  </si>
  <si>
    <t>NGHA-FW</t>
  </si>
  <si>
    <t>NGHA Hospital Network Operations Standards</t>
  </si>
  <si>
    <t>National Guard Health Affairs as government entity</t>
  </si>
  <si>
    <t>KACST-H</t>
  </si>
  <si>
    <t>KACST Health Research Programme</t>
  </si>
  <si>
    <t>KACST-H-FW</t>
  </si>
  <si>
    <t>Research Ethics &amp; Governance</t>
  </si>
  <si>
    <t>KACST Health Research Programme as government entity</t>
  </si>
  <si>
    <t>KFSHRC</t>
  </si>
  <si>
    <t>King Faisal Specialist Hospital &amp; Research</t>
  </si>
  <si>
    <t>KFSHRC-FW</t>
  </si>
  <si>
    <t>Clinical Policy &amp; JCI/CBAHI Quality Management</t>
  </si>
  <si>
    <t>King Faisal Specialist Hospital &amp; Research as government entity</t>
  </si>
  <si>
    <t>SEHA</t>
  </si>
  <si>
    <t>Seha Virtual Hospital</t>
  </si>
  <si>
    <t>SEHA-FW</t>
  </si>
  <si>
    <t>Seha Telemedicine &amp; Remote IoMT Standards</t>
  </si>
  <si>
    <t>Seha Virtual Hospital as government entity</t>
  </si>
  <si>
    <t>SCEBA</t>
  </si>
  <si>
    <t>Saudi Centre for Evidence-Based Healthcare</t>
  </si>
  <si>
    <t>SCEBA-FW</t>
  </si>
  <si>
    <t>Clinical Practice Guidelines &amp; HTA Regulations</t>
  </si>
  <si>
    <t>Saudi Centre for Evidence-Based Healthcare as government entity</t>
  </si>
  <si>
    <t>KSMC</t>
  </si>
  <si>
    <t>King Salman Medical City</t>
  </si>
  <si>
    <t>KSMC-FW</t>
  </si>
  <si>
    <t>Clinical Operations Policy</t>
  </si>
  <si>
    <t>King Salman Medical City as government entity</t>
  </si>
  <si>
    <t>MNGHA</t>
  </si>
  <si>
    <t>Ministry National Guard HA Hospitals</t>
  </si>
  <si>
    <t>MNGHA-FW</t>
  </si>
  <si>
    <t>NGHA Facilities Operations Standards</t>
  </si>
  <si>
    <t>Ministry National Guard HA Hospitals as government entity</t>
  </si>
  <si>
    <t xml:space="preserve">  ── 16. Councils &amp; Supreme Committees ──</t>
  </si>
  <si>
    <t>COM</t>
  </si>
  <si>
    <t>Council of Ministers</t>
  </si>
  <si>
    <t>16. Councils &amp; Supreme Committees</t>
  </si>
  <si>
    <t>COM-FW</t>
  </si>
  <si>
    <t>Royal Decrees &amp; CoM Resolutions</t>
  </si>
  <si>
    <t>Council of Ministers as government entity</t>
  </si>
  <si>
    <t>SHURA</t>
  </si>
  <si>
    <t>Majlis Al-Shura (Consultative Assembly)</t>
  </si>
  <si>
    <t>SHURA-FW</t>
  </si>
  <si>
    <t>Legislative Review Process</t>
  </si>
  <si>
    <t>Majlis Al-Shura (Consultative Assembly) as government entity</t>
  </si>
  <si>
    <t>V2030</t>
  </si>
  <si>
    <t>Vision 2030 Programme Office</t>
  </si>
  <si>
    <t>V2030-FW</t>
  </si>
  <si>
    <t>Vision 2030 Framework &amp; Programmes</t>
  </si>
  <si>
    <t>Vision 2030 Programme Office as government entity</t>
  </si>
  <si>
    <t>SBC</t>
  </si>
  <si>
    <t>Saudi Business Centre</t>
  </si>
  <si>
    <t>SBC-FW</t>
  </si>
  <si>
    <t>Business Registration &amp; Licensing Standards</t>
  </si>
  <si>
    <t>Saudi Business Centre as government entity</t>
  </si>
  <si>
    <t xml:space="preserve">  ── 17. Regional Health Clusters ──</t>
  </si>
  <si>
    <t>RHC1</t>
  </si>
  <si>
    <t>Riyadh Health Cluster 1</t>
  </si>
  <si>
    <t>17. Regional Health Clusters</t>
  </si>
  <si>
    <t>Riyadh Health Cluster 1 hospitals — mandatory HIS compliance</t>
  </si>
  <si>
    <t>EMR Standards / NABIDH</t>
  </si>
  <si>
    <t>معايير السجل الصحي الإلكتروني / نبض</t>
  </si>
  <si>
    <t>Riyadh Health Cluster 1 — mandatory NABIDH connectivity 2024</t>
  </si>
  <si>
    <t>MOH/NHIC</t>
  </si>
  <si>
    <t>Riyadh Health Cluster 1 — patient safety compliance</t>
  </si>
  <si>
    <t>Riyadh Health Cluster 1 facilities</t>
  </si>
  <si>
    <t>Hospital Accreditation Standards</t>
  </si>
  <si>
    <t>5th Ed. 2021</t>
  </si>
  <si>
    <t>Riyadh Health Cluster 1 hospitals pursuing CBAHI accreditation</t>
  </si>
  <si>
    <t>Riyadh Health Cluster 1 as government entity — hospital networks</t>
  </si>
  <si>
    <t>Riyadh Health Cluster 1 processes patient personal data</t>
  </si>
  <si>
    <t>Riyadh Health Cluster 1 offering telemedicine services</t>
  </si>
  <si>
    <t>NABIDH EHR Platform Standard</t>
  </si>
  <si>
    <t>معيار منصة نبض</t>
  </si>
  <si>
    <t>Riyadh Health Cluster 1 hospitals — NABIDH interoperability</t>
  </si>
  <si>
    <t>Riyadh Health Cluster 1 medical device OT networks — CNI designation</t>
  </si>
  <si>
    <t>NCA OTCC</t>
  </si>
  <si>
    <t>RHC2</t>
  </si>
  <si>
    <t>Riyadh Health Cluster 2</t>
  </si>
  <si>
    <t>Riyadh Health Cluster 2 hospitals — mandatory HIS compliance</t>
  </si>
  <si>
    <t>Riyadh Health Cluster 2 — mandatory NABIDH connectivity 2024</t>
  </si>
  <si>
    <t>Riyadh Health Cluster 2 — patient safety compliance</t>
  </si>
  <si>
    <t>Riyadh Health Cluster 2 facilities</t>
  </si>
  <si>
    <t>Riyadh Health Cluster 2 hospitals pursuing CBAHI accreditation</t>
  </si>
  <si>
    <t>Riyadh Health Cluster 2 as government entity — hospital networks</t>
  </si>
  <si>
    <t>Riyadh Health Cluster 2 processes patient personal data</t>
  </si>
  <si>
    <t>Riyadh Health Cluster 2 offering telemedicine services</t>
  </si>
  <si>
    <t>Riyadh Health Cluster 2 hospitals — NABIDH interoperability</t>
  </si>
  <si>
    <t>Riyadh Health Cluster 2 medical device OT networks — CNI designation</t>
  </si>
  <si>
    <t>JDHC</t>
  </si>
  <si>
    <t>Jeddah Health Cluster</t>
  </si>
  <si>
    <t>Jeddah Health Cluster hospitals — mandatory HIS compliance</t>
  </si>
  <si>
    <t>Jeddah Health Cluster — mandatory NABIDH connectivity 2024</t>
  </si>
  <si>
    <t>Jeddah Health Cluster — patient safety compliance</t>
  </si>
  <si>
    <t>Jeddah Health Cluster facilities</t>
  </si>
  <si>
    <t>Jeddah Health Cluster hospitals pursuing CBAHI accreditation</t>
  </si>
  <si>
    <t>Jeddah Health Cluster as government entity — hospital networks</t>
  </si>
  <si>
    <t>Jeddah Health Cluster processes patient personal data</t>
  </si>
  <si>
    <t>Jeddah Health Cluster offering telemedicine services</t>
  </si>
  <si>
    <t>Jeddah Health Cluster hospitals — NABIDH interoperability</t>
  </si>
  <si>
    <t>Jeddah Health Cluster medical device OT networks — CNI designation</t>
  </si>
  <si>
    <t>MKHC</t>
  </si>
  <si>
    <t>Makkah Health Cluster</t>
  </si>
  <si>
    <t>Makkah Health Cluster hospitals — mandatory HIS compliance</t>
  </si>
  <si>
    <t>Makkah Health Cluster — mandatory NABIDH connectivity 2024</t>
  </si>
  <si>
    <t>Makkah Health Cluster — patient safety compliance</t>
  </si>
  <si>
    <t>Makkah Health Cluster facilities</t>
  </si>
  <si>
    <t>Makkah Health Cluster hospitals pursuing CBAHI accreditation</t>
  </si>
  <si>
    <t>Makkah Health Cluster as government entity — hospital networks</t>
  </si>
  <si>
    <t>Makkah Health Cluster processes patient personal data</t>
  </si>
  <si>
    <t>Makkah Health Cluster offering telemedicine services</t>
  </si>
  <si>
    <t>Makkah Health Cluster hospitals — NABIDH interoperability</t>
  </si>
  <si>
    <t>Makkah Health Cluster medical device OT networks — CNI designation</t>
  </si>
  <si>
    <t>MDHC</t>
  </si>
  <si>
    <t>Madinah Health Cluster</t>
  </si>
  <si>
    <t>Madinah Health Cluster hospitals — mandatory HIS compliance</t>
  </si>
  <si>
    <t>Madinah Health Cluster — mandatory NABIDH connectivity 2024</t>
  </si>
  <si>
    <t>Madinah Health Cluster — patient safety compliance</t>
  </si>
  <si>
    <t>Madinah Health Cluster facilities</t>
  </si>
  <si>
    <t>Madinah Health Cluster hospitals pursuing CBAHI accreditation</t>
  </si>
  <si>
    <t>Madinah Health Cluster as government entity — hospital networks</t>
  </si>
  <si>
    <t>Madinah Health Cluster processes patient personal data</t>
  </si>
  <si>
    <t>Madinah Health Cluster offering telemedicine services</t>
  </si>
  <si>
    <t>Madinah Health Cluster hospitals — NABIDH interoperability</t>
  </si>
  <si>
    <t>Madinah Health Cluster medical device OT networks — CNI designation</t>
  </si>
  <si>
    <t>EKHC</t>
  </si>
  <si>
    <t>Eastern Region Health Cluster</t>
  </si>
  <si>
    <t>Eastern Region Health Cluster hospitals — mandatory HIS compliance</t>
  </si>
  <si>
    <t>Eastern Region Health Cluster — mandatory NABIDH connectivity 2024</t>
  </si>
  <si>
    <t>Eastern Region Health Cluster — patient safety compliance</t>
  </si>
  <si>
    <t>Eastern Region Health Cluster facilities</t>
  </si>
  <si>
    <t>Eastern Region Health Cluster hospitals pursuing CBAHI accreditation</t>
  </si>
  <si>
    <t>Eastern Region Health Cluster as government entity — hospital networks</t>
  </si>
  <si>
    <t>Eastern Region Health Cluster processes patient personal data</t>
  </si>
  <si>
    <t>Eastern Region Health Cluster offering telemedicine services</t>
  </si>
  <si>
    <t>Eastern Region Health Cluster hospitals — NABIDH interoperability</t>
  </si>
  <si>
    <t>Eastern Region Health Cluster medical device OT networks — CNI designation</t>
  </si>
  <si>
    <t>AZHC</t>
  </si>
  <si>
    <t>Aseer Health Cluster</t>
  </si>
  <si>
    <t>Aseer Health Cluster hospitals — mandatory HIS compliance</t>
  </si>
  <si>
    <t>Aseer Health Cluster — mandatory NABIDH connectivity 2024</t>
  </si>
  <si>
    <t>Aseer Health Cluster — patient safety compliance</t>
  </si>
  <si>
    <t>Aseer Health Cluster facilities</t>
  </si>
  <si>
    <t>Aseer Health Cluster hospitals pursuing CBAHI accreditation</t>
  </si>
  <si>
    <t>Aseer Health Cluster as government entity — hospital networks</t>
  </si>
  <si>
    <t>Aseer Health Cluster processes patient personal data</t>
  </si>
  <si>
    <t>Aseer Health Cluster offering telemedicine services</t>
  </si>
  <si>
    <t>Aseer Health Cluster hospitals — NABIDH interoperability</t>
  </si>
  <si>
    <t>Aseer Health Cluster medical device OT networks — CNI designation</t>
  </si>
  <si>
    <t>JZHC</t>
  </si>
  <si>
    <t>Jazan Health Cluster</t>
  </si>
  <si>
    <t>Jazan Health Cluster hospitals — mandatory HIS compliance</t>
  </si>
  <si>
    <t>Jazan Health Cluster — mandatory NABIDH connectivity 2024</t>
  </si>
  <si>
    <t>Jazan Health Cluster — patient safety compliance</t>
  </si>
  <si>
    <t>Jazan Health Cluster facilities</t>
  </si>
  <si>
    <t>Jazan Health Cluster hospitals pursuing CBAHI accreditation</t>
  </si>
  <si>
    <t>Jazan Health Cluster as government entity — hospital networks</t>
  </si>
  <si>
    <t>Jazan Health Cluster processes patient personal data</t>
  </si>
  <si>
    <t>Jazan Health Cluster offering telemedicine services</t>
  </si>
  <si>
    <t>Jazan Health Cluster hospitals — NABIDH interoperability</t>
  </si>
  <si>
    <t>Jazan Health Cluster medical device OT networks — CNI designation</t>
  </si>
  <si>
    <t>TBHC</t>
  </si>
  <si>
    <t>Tabuk Health Cluster</t>
  </si>
  <si>
    <t>Tabuk Health Cluster hospitals — mandatory HIS compliance</t>
  </si>
  <si>
    <t>Tabuk Health Cluster — mandatory NABIDH connectivity 2024</t>
  </si>
  <si>
    <t>Tabuk Health Cluster — patient safety compliance</t>
  </si>
  <si>
    <t>Tabuk Health Cluster facilities</t>
  </si>
  <si>
    <t>Tabuk Health Cluster hospitals pursuing CBAHI accreditation</t>
  </si>
  <si>
    <t>Tabuk Health Cluster as government entity — hospital networks</t>
  </si>
  <si>
    <t>Tabuk Health Cluster processes patient personal data</t>
  </si>
  <si>
    <t>Tabuk Health Cluster offering telemedicine services</t>
  </si>
  <si>
    <t>Tabuk Health Cluster hospitals — NABIDH interoperability</t>
  </si>
  <si>
    <t>Tabuk Health Cluster medical device OT networks — CNI designation</t>
  </si>
  <si>
    <t>NMHC</t>
  </si>
  <si>
    <t>Najran Health Cluster</t>
  </si>
  <si>
    <t>Najran Health Cluster hospitals — mandatory HIS compliance</t>
  </si>
  <si>
    <t>Najran Health Cluster — mandatory NABIDH connectivity 2024</t>
  </si>
  <si>
    <t>Najran Health Cluster — patient safety compliance</t>
  </si>
  <si>
    <t>Najran Health Cluster facilities</t>
  </si>
  <si>
    <t>Najran Health Cluster hospitals pursuing CBAHI accreditation</t>
  </si>
  <si>
    <t>Najran Health Cluster as government entity — hospital networks</t>
  </si>
  <si>
    <t>Najran Health Cluster processes patient personal data</t>
  </si>
  <si>
    <t>Najran Health Cluster offering telemedicine services</t>
  </si>
  <si>
    <t>Najran Health Cluster hospitals — NABIDH interoperability</t>
  </si>
  <si>
    <t>Najran Health Cluster medical device OT networks — CNI designation</t>
  </si>
  <si>
    <t>QLHC</t>
  </si>
  <si>
    <t>Qassim Health Cluster</t>
  </si>
  <si>
    <t>Qassim Health Cluster hospitals — mandatory HIS compliance</t>
  </si>
  <si>
    <t>Qassim Health Cluster — mandatory NABIDH connectivity 2024</t>
  </si>
  <si>
    <t>Qassim Health Cluster — patient safety compliance</t>
  </si>
  <si>
    <t>Qassim Health Cluster facilities</t>
  </si>
  <si>
    <t>Qassim Health Cluster hospitals pursuing CBAHI accreditation</t>
  </si>
  <si>
    <t>Qassim Health Cluster as government entity — hospital networks</t>
  </si>
  <si>
    <t>Qassim Health Cluster processes patient personal data</t>
  </si>
  <si>
    <t>Qassim Health Cluster offering telemedicine services</t>
  </si>
  <si>
    <t>Qassim Health Cluster hospitals — NABIDH interoperability</t>
  </si>
  <si>
    <t>Qassim Health Cluster medical device OT networks — CNI designation</t>
  </si>
  <si>
    <t>HALHC</t>
  </si>
  <si>
    <t>Hail Health Cluster</t>
  </si>
  <si>
    <t>Hail Health Cluster hospitals — mandatory HIS compliance</t>
  </si>
  <si>
    <t>Hail Health Cluster — mandatory NABIDH connectivity 2024</t>
  </si>
  <si>
    <t>Hail Health Cluster — patient safety compliance</t>
  </si>
  <si>
    <t>Hail Health Cluster facilities</t>
  </si>
  <si>
    <t>Hail Health Cluster hospitals pursuing CBAHI accreditation</t>
  </si>
  <si>
    <t>Hail Health Cluster as government entity — hospital networks</t>
  </si>
  <si>
    <t>Hail Health Cluster processes patient personal data</t>
  </si>
  <si>
    <t>Hail Health Cluster offering telemedicine services</t>
  </si>
  <si>
    <t>Hail Health Cluster hospitals — NABIDH interoperability</t>
  </si>
  <si>
    <t>Hail Health Cluster medical device OT networks — CNI designation</t>
  </si>
  <si>
    <t>NRHC</t>
  </si>
  <si>
    <t>Northern Borders Health Cluster</t>
  </si>
  <si>
    <t>Northern Borders Health Cluster hospitals — mandatory HIS compliance</t>
  </si>
  <si>
    <t>Northern Borders Health Cluster — mandatory NABIDH connectivity 2024</t>
  </si>
  <si>
    <t>Northern Borders Health Cluster — patient safety compliance</t>
  </si>
  <si>
    <t>Northern Borders Health Cluster facilities</t>
  </si>
  <si>
    <t>Northern Borders Health Cluster hospitals pursuing CBAHI accreditation</t>
  </si>
  <si>
    <t>Northern Borders Health Cluster as government entity — hospital networks</t>
  </si>
  <si>
    <t>Northern Borders Health Cluster processes patient personal data</t>
  </si>
  <si>
    <t>Northern Borders Health Cluster offering telemedicine services</t>
  </si>
  <si>
    <t>Northern Borders Health Cluster hospitals — NABIDH interoperability</t>
  </si>
  <si>
    <t>Northern Borders Health Cluster medical device OT networks — CNI designation</t>
  </si>
  <si>
    <t>BHHC</t>
  </si>
  <si>
    <t>Baha Health Cluster</t>
  </si>
  <si>
    <t>Baha Health Cluster hospitals — mandatory HIS compliance</t>
  </si>
  <si>
    <t>Baha Health Cluster — mandatory NABIDH connectivity 2024</t>
  </si>
  <si>
    <t>Baha Health Cluster — patient safety compliance</t>
  </si>
  <si>
    <t>Baha Health Cluster facilities</t>
  </si>
  <si>
    <t>Baha Health Cluster hospitals pursuing CBAHI accreditation</t>
  </si>
  <si>
    <t>Baha Health Cluster as government entity — hospital networks</t>
  </si>
  <si>
    <t>Baha Health Cluster processes patient personal data</t>
  </si>
  <si>
    <t>Baha Health Cluster offering telemedicine services</t>
  </si>
  <si>
    <t>Baha Health Cluster hospitals — NABIDH interoperability</t>
  </si>
  <si>
    <t>Baha Health Cluster medical device OT networks — CNI designation</t>
  </si>
  <si>
    <t>Code</t>
  </si>
  <si>
    <t>Own Frameworks Issued</t>
  </si>
  <si>
    <t>Must Comply With</t>
  </si>
  <si>
    <t>Total Entries</t>
  </si>
  <si>
    <t>HC HIGHEST</t>
  </si>
  <si>
    <t>All Framework Codes</t>
  </si>
  <si>
    <t>Primary Source URL</t>
  </si>
  <si>
    <t>ECC-2:2024; OTCC-1:2022; CCC-1:2020; DCC-1:2022; CSCC-1:2019; TCC-1:2021; OSMACC-1:2021; NCS-1:2020; SCyWF; SCyber-Edu; NCA-REG-2024; NCA-MCSOC; NCA-CGEC</t>
  </si>
  <si>
    <t>PDPL-2021; PDPL-IR-2023; PDPL-DTR-2024; NDMO-DGF; NDMO-DCP; NDMO-NDGIR; SDAIA-AI-ETH; SDAIA-AI-ADO; SDAIA-GENAI; SDAIA-NSDAI; NDMO-RULEBOOK; NCA-ECC-2:2024</t>
  </si>
  <si>
    <t>MOH-HL; MOH-HIS; MOH-EMR-NABIDH; MOH-PS; MOH-PR; MOH-TELE; MOH-PHILAW; MOH-NHIS; MOH-HAJHLT; NCA-ECC-2:2024; PDPL-2021; NCA-DCC; NCA-OTCC</t>
  </si>
  <si>
    <t>SFDA-MDR; SFDA-PHARMA; SFDA-AI-MDS-G010; SFDA-GMP; SFDA-PMS; SFDA-COSM; SFDA-FOOD; SFDA-CT; SFDA-PEST; NCA-ECC-2:2024; PDPL-2021</t>
  </si>
  <si>
    <t>CBAHI-HAS-H; CBAHI-HAS-PHC; CBAHI-HAS-LAB; CBAHI-HAS-LTC; CBAHI-HAS-AMB; NCA-ECC-2:2024; MOH-HIS</t>
  </si>
  <si>
    <t>SCFHS-PLF; SCFHS-CPD; SCFHS-SBOARD; SCFHS-SCRUT; SCFHS-INTL; NCA-ECC-2:2024; PDPL-2021</t>
  </si>
  <si>
    <t>CCHI-HIR; CCHI-UBP; CCHI-DCS; CCHI-INSLIC; CCHI-PROVNET; NCA-ECC-2:2024; PDPL-2021; SAMA-CSF</t>
  </si>
  <si>
    <t>SHC-HSTP; SHC-NHAP; SHC-QF; SHC-PRIV; NCA-ECC-2:2024</t>
  </si>
  <si>
    <t>NHIC-NABIDH; NHIC-HDS; NHIC-INTEROP; NHIC-CODES; NCA-ECC-2:2024; PDPL-2021</t>
  </si>
  <si>
    <t>SAMA-CSF; SAMA-AML; SAMA-OBF; SAMA-PSR; SAMA-ITGF; SAMA-BCM; SAMA-CCP; SAMA-CLOUD; NCA-ECC-2:2024; PDPL-2021</t>
  </si>
  <si>
    <t>CST-TITA; CST-CSRF; CST-CYBER-OPS; CST-CCR; CST-DPS; CST-DCS; CST-IOT; CST-SPACE; CST-USERIGHTS; NCA-ECC-2:2024</t>
  </si>
  <si>
    <t>DGA-CFP; DGA-DMI; DGA-ODP; DGA-GDS; DGA-GRFM; NCA-ECC-2:2024</t>
  </si>
  <si>
    <t>ZATCA-EINV-P1; ZATCA-EINV-P2; ZATCA-VAT; ZATCA-ZAK; ZATCA-CUST; NCA-ECC-2:2024</t>
  </si>
  <si>
    <t>SASO-PS; SASO-SABER; SASO-METRO; SASO-HALAL; NCA-ECC-2:2024</t>
  </si>
  <si>
    <t>MHRSD-LL; MHRSD-NITAQAT; OSH-REGS; MHRSD-WEL; NCA-ECC-2:2024</t>
  </si>
  <si>
    <t>MOI-ACTL; MOI-NID; MOI-ATL; NCA-ECC-2:2024</t>
  </si>
  <si>
    <t>MCIT-DEP; MCIT-ICT23; MCIT-ETL; NCA-ECC-2:2024</t>
  </si>
  <si>
    <t>CMA-CML; CMA-CGR; CMA-LR; CMA-IFR; NCA-ECC-2:2024</t>
  </si>
  <si>
    <t>IAIC-COILAW; IAIC-CSF; SAMA-CSF; NCA-ECC-2:2024; PDPL-2021</t>
  </si>
  <si>
    <t>GOSI-OIL; GOSI-SIN; NCA-ECC-2:2024; PDPL-2021</t>
  </si>
  <si>
    <t>MOFA-LAW; NCA-ECC-2:2024; PDPL-2021</t>
  </si>
  <si>
    <t>MOF-LAW; NCA-ECC-2:2024; PDPL-2021</t>
  </si>
  <si>
    <t>MOD-LAW; NCA-ECC-2:2024; PDPL-2021</t>
  </si>
  <si>
    <t>MOHAJ-LAW; NCA-ECC-2:2024; PDPL-2021</t>
  </si>
  <si>
    <t>MONG-LAW; NCA-ECC-2:2024; PDPL-2021</t>
  </si>
  <si>
    <t>MEWA-LAW; NCA-ECC-2:2024; PDPL-2021</t>
  </si>
  <si>
    <t>MOT-LAW; NCA-ECC-2:2024; PDPL-2021</t>
  </si>
  <si>
    <t>MOE-LAW; NCA-ECC-2:2024; PDPL-2021</t>
  </si>
  <si>
    <t>MOCI-LAW; NCA-ECC-2:2024; PDPL-2021</t>
  </si>
  <si>
    <t>MOENER-LAW; NCA-ECC-2:2024; PDPL-2021</t>
  </si>
  <si>
    <t>MEP-LAW; NCA-ECC-2:2024; PDPL-2021</t>
  </si>
  <si>
    <t>MOMAH-LAW; NCA-ECC-2:2024; PDPL-2021</t>
  </si>
  <si>
    <t>MOIA-LAW; NCA-ECC-2:2024; PDPL-2021</t>
  </si>
  <si>
    <t>MOCult-LAW; NCA-ECC-2:2024; PDPL-2021</t>
  </si>
  <si>
    <t>MOMedia-LAW; NCA-ECC-2:2024; PDPL-2021</t>
  </si>
  <si>
    <t>MIM-LAW; NCA-ECC-2:2024; PDPL-2021</t>
  </si>
  <si>
    <t>MISA-LAW; NCA-ECC-2:2024; PDPL-2021</t>
  </si>
  <si>
    <t>MOSPORT-LAW; NCA-ECC-2:2024; PDPL-2021</t>
  </si>
  <si>
    <t>MOTour-LAW; NCA-ECC-2:2024; PDPL-2021</t>
  </si>
  <si>
    <t>MOJ-LAW; NCA-ECC-2:2024; PDPL-2021</t>
  </si>
  <si>
    <t>PPA-FW; NCA-ECC-2:2024</t>
  </si>
  <si>
    <t>PIF-FW; NCA-ECC-2:2024</t>
  </si>
  <si>
    <t>SIDF-FW; NCA-ECC-2:2024</t>
  </si>
  <si>
    <t>SFD-FW; NCA-ECC-2:2024</t>
  </si>
  <si>
    <t>REDF-FW; NCA-ECC-2:2024</t>
  </si>
  <si>
    <t>SME-FW; NCA-ECC-2:2024</t>
  </si>
  <si>
    <t>HRDF-FW; NCA-ECC-2:2024</t>
  </si>
  <si>
    <t>Tadawul-FW; NCA-ECC-2:2024</t>
  </si>
  <si>
    <t>GAFT-FW; NCA-ECC-2:2024</t>
  </si>
  <si>
    <t>SAAC-FW; NCA-ECC-2:2024</t>
  </si>
  <si>
    <t>GASTAT-FW; NCA-ECC-2:2024</t>
  </si>
  <si>
    <t>SAFCSP-FW; NCA-ECC-2:2024</t>
  </si>
  <si>
    <t>ECRA-FW; NCA-ECC-2:2024</t>
  </si>
  <si>
    <t>KACARE-FW; NCA-ECC-2:2024</t>
  </si>
  <si>
    <t>SWCC-FW; NCA-ECC-2:2024</t>
  </si>
  <si>
    <t>NWC-FW; NCA-ECC-2:2024</t>
  </si>
  <si>
    <t>NCEC-FW; NCA-ECC-2:2024</t>
  </si>
  <si>
    <t>GACA-FW; NCA-ECC-2:2024</t>
  </si>
  <si>
    <t>MAWANI-FW; NCA-ECC-2:2024</t>
  </si>
  <si>
    <t>MODON-FW; NCA-ECC-2:2024</t>
  </si>
  <si>
    <t>RCJY-FW; NCA-ECC-2:2024</t>
  </si>
  <si>
    <t>STA-FW; NCA-ECC-2:2024</t>
  </si>
  <si>
    <t>SAIP-FW; NCA-ECC-2:2024</t>
  </si>
  <si>
    <t>ETEC-FW; NCA-ECC-2:2024</t>
  </si>
  <si>
    <t>TVTC-FW; NCA-ECC-2:2024</t>
  </si>
  <si>
    <t>KAUST-FW; NCA-ECC-2:2024</t>
  </si>
  <si>
    <t>KSU-FW; NCA-ECC-2:2024</t>
  </si>
  <si>
    <t>KAU-FW; NCA-ECC-2:2024</t>
  </si>
  <si>
    <t>KFUPM-FW; NCA-ECC-2:2024</t>
  </si>
  <si>
    <t>BOE-FW; NCA-ECC-2:2024</t>
  </si>
  <si>
    <t>NAZAHA-FW; NCA-ECC-2:2024</t>
  </si>
  <si>
    <t>OSH-FW; NCA-ECC-2:2024</t>
  </si>
  <si>
    <t>RDIA-FW; NCA-ECC-2:2024</t>
  </si>
  <si>
    <t>NCSA-FW; NCA-ECC-2:2024</t>
  </si>
  <si>
    <t>SSA-FW; NCA-ECC-2:2024</t>
  </si>
  <si>
    <t>NEOM-FW; NCA-ECC-2:2024</t>
  </si>
  <si>
    <t>RDA-FW; NCA-ECC-2:2024</t>
  </si>
  <si>
    <t>DGDA-FW; NCA-ECC-2:2024</t>
  </si>
  <si>
    <t>RCU-FW; NCA-ECC-2:2024</t>
  </si>
  <si>
    <t>AMAALA-FW; NCA-ECC-2:2024</t>
  </si>
  <si>
    <t>NUPCO-FW; NCA-ECC-2:2024</t>
  </si>
  <si>
    <t>KAIMRC-FW; NCA-ECC-2:2024</t>
  </si>
  <si>
    <t>NGHA-FW; NCA-ECC-2:2024</t>
  </si>
  <si>
    <t>KACST-H-FW; NCA-ECC-2:2024</t>
  </si>
  <si>
    <t>KFSHRC-FW; NCA-ECC-2:2024</t>
  </si>
  <si>
    <t>SEHA-FW; NCA-ECC-2:2024</t>
  </si>
  <si>
    <t>SCEBA-FW; NCA-ECC-2:2024</t>
  </si>
  <si>
    <t>KSMC-FW; NCA-ECC-2:2024</t>
  </si>
  <si>
    <t>MNGHA-FW; NCA-ECC-2:2024</t>
  </si>
  <si>
    <t>COM-FW; NCA-ECC-2:2024</t>
  </si>
  <si>
    <t>SHURA-FW; NCA-ECC-2:2024</t>
  </si>
  <si>
    <t>V2030-FW; NCA-ECC-2:2024</t>
  </si>
  <si>
    <t>SBC-FW; NCA-ECC-2:2024</t>
  </si>
  <si>
    <t>MOH-HIS; MOH-EMR-NABIDH; MOH-PS; MOH-PR; CBAHI-HAS-H; NCA-ECC-2:2024; PDPL-2021; MOH-TELE; NHIC-NABIDH; NCA-OTCC</t>
  </si>
  <si>
    <t>Rank</t>
  </si>
  <si>
    <t>Regulator</t>
  </si>
  <si>
    <t>Version</t>
  </si>
  <si>
    <t>HC Relevance</t>
  </si>
  <si>
    <t>Official URL</t>
  </si>
  <si>
    <t>Framework Name</t>
  </si>
  <si>
    <t>All Versions (Chronological)</t>
  </si>
  <si>
    <t>Key Changes Summary</t>
  </si>
  <si>
    <t>Next Review</t>
  </si>
  <si>
    <t>Priority</t>
  </si>
  <si>
    <t>Mandatory?</t>
  </si>
  <si>
    <t>Penalty (Max)</t>
  </si>
  <si>
    <t>IoMT Controls</t>
  </si>
  <si>
    <t>Maturity Model</t>
  </si>
  <si>
    <t>GH-ICGA Layer</t>
  </si>
  <si>
    <t>V2030 Programme</t>
  </si>
  <si>
    <t>Evidence Required</t>
  </si>
  <si>
    <t>1</t>
  </si>
  <si>
    <t>MANDATORY</t>
  </si>
  <si>
    <t>SAR 25M max fine (NCA-REG-2024); licence revocation; criminal referral; business suspension; public naming in NCA disclo...</t>
  </si>
  <si>
    <t>18 (de</t>
  </si>
  <si>
    <t>Yes — 5 maturity levels (Initial / Developing / Defined / Managed / Optimising);...</t>
  </si>
  <si>
    <t>2</t>
  </si>
  <si>
    <t xml:space="preserve">53 of </t>
  </si>
  <si>
    <t>Yes — aligned with IEC 62443 Security Levels (SL1-SL4); OTCC maps to SL2 minimum...</t>
  </si>
  <si>
    <t>3</t>
  </si>
  <si>
    <t>This IS the penalty framework — SAR 25M max; imprisonment via criminal referral; business suspension; public naming; app...</t>
  </si>
  <si>
    <t>See DB</t>
  </si>
  <si>
    <t>4</t>
  </si>
  <si>
    <t>Criminal offence: up to 2 years imprisonment + SAR 3M fine for disclosing sensitive data (health data = sensitive); admi...</t>
  </si>
  <si>
    <t>12 (Io</t>
  </si>
  <si>
    <t>5</t>
  </si>
  <si>
    <t>Same as PDPL-2021 — implementing regulation adds specificity to penalties; breach notification failure = separate penalt...</t>
  </si>
  <si>
    <t>14 (he</t>
  </si>
  <si>
    <t>6</t>
  </si>
  <si>
    <t>7</t>
  </si>
  <si>
    <t>8</t>
  </si>
  <si>
    <t>9</t>
  </si>
  <si>
    <t>10</t>
  </si>
  <si>
    <t>MOH facility licensing at risk; mandatory corrective action plan; financial penalties under Private Health Institutions ...</t>
  </si>
  <si>
    <t>28 (me</t>
  </si>
  <si>
    <t>Yes — 4 implementation levels (Basic / Intermediate / Advanced / Optimised); MOH...</t>
  </si>
  <si>
    <t>11</t>
  </si>
  <si>
    <t>22 (Io</t>
  </si>
  <si>
    <t>Yes — NABIDH connectivity levels (1: Basic data exchange; 2: Full longitudinal r...</t>
  </si>
  <si>
    <t>14 (al</t>
  </si>
  <si>
    <t>Yes — patient safety maturity levels (Safety-I to Safety-III); MOH tracks facili...</t>
  </si>
  <si>
    <t>13</t>
  </si>
  <si>
    <t>15 (re</t>
  </si>
  <si>
    <t>14</t>
  </si>
  <si>
    <t>Product recall; import ban; market withdrawal; facility closure; SAR 1M–5M fine; criminal prosecution for adulterated de...</t>
  </si>
  <si>
    <t>34 (co</t>
  </si>
  <si>
    <t>Risk-based classification (Class I/II/III) + conformity assessment levels, not a...</t>
  </si>
  <si>
    <t>16</t>
  </si>
  <si>
    <t>17</t>
  </si>
  <si>
    <t>18 (AI</t>
  </si>
  <si>
    <t>19</t>
  </si>
  <si>
    <t>VOLUNTARY</t>
  </si>
  <si>
    <t>Accreditation denial; accreditation suspension; accreditation withdrawal; MOH facility licensing risk (accreditation lin...</t>
  </si>
  <si>
    <t>22 (HI</t>
  </si>
  <si>
    <t>Yes — Met / Partially Met / Not Met / Not Applicable per standard; overall accre...</t>
  </si>
  <si>
    <t>21</t>
  </si>
  <si>
    <t>Facility unable to receive electronic referrals; excluded from national patient record; MOH licensing risk; procurement ...</t>
  </si>
  <si>
    <t>16 (NA</t>
  </si>
  <si>
    <t>Yes — 3 connectivity levels (Basic data exchange / Full longitudinal record / Ad...</t>
  </si>
  <si>
    <t>Device market withdrawal; import ban; SAR fine under Telecom Law (up to SAR 50M for major violations); CST type approval...</t>
  </si>
  <si>
    <t>24</t>
  </si>
  <si>
    <t>12 (cl</t>
  </si>
  <si>
    <t>15 (Io</t>
  </si>
  <si>
    <t>26</t>
  </si>
  <si>
    <t>10 (cr</t>
  </si>
  <si>
    <t>27</t>
  </si>
  <si>
    <t>29</t>
  </si>
  <si>
    <t>31</t>
  </si>
  <si>
    <t>32</t>
  </si>
  <si>
    <t>33</t>
  </si>
  <si>
    <t>36</t>
  </si>
  <si>
    <t>37</t>
  </si>
  <si>
    <t>39</t>
  </si>
  <si>
    <t>41</t>
  </si>
  <si>
    <t>43</t>
  </si>
  <si>
    <t>44</t>
  </si>
  <si>
    <t>Practice without licence: criminal prosecution; fine; deportation (expats); licence revocation for professional miscondu...</t>
  </si>
  <si>
    <t>3 (dig</t>
  </si>
  <si>
    <t>46</t>
  </si>
  <si>
    <t>Employer: daily SAR 1,000 fine per uninsured employee; Insurer: licence suspension; Provider: exclusion from insurance n...</t>
  </si>
  <si>
    <t>8 (rem</t>
  </si>
  <si>
    <t>47</t>
  </si>
  <si>
    <t>48</t>
  </si>
  <si>
    <t>SAMA enforcement: business closure (extreme); SAR multimillion fines (unspecified ceiling); mandatory remediation plan; ...</t>
  </si>
  <si>
    <t>6 (hea</t>
  </si>
  <si>
    <t>Yes — 6 maturity levels (1=Initial to 6=Optimising); sub-domain level maturity s...</t>
  </si>
  <si>
    <t>49</t>
  </si>
  <si>
    <t>51</t>
  </si>
  <si>
    <t>54</t>
  </si>
  <si>
    <t>56</t>
  </si>
  <si>
    <t>57</t>
  </si>
  <si>
    <t>59</t>
  </si>
  <si>
    <t>60</t>
  </si>
  <si>
    <t>61</t>
  </si>
  <si>
    <t>62</t>
  </si>
  <si>
    <t>Red zone: work visa ban; government services suspension; business licence at risk; SAR fines per violation; forced natio...</t>
  </si>
  <si>
    <t>3 (cyb</t>
  </si>
  <si>
    <t>63</t>
  </si>
  <si>
    <t>FOR: Strengths &amp; Supporters</t>
  </si>
  <si>
    <t>AGAINST: Criticisms &amp; Critics</t>
  </si>
  <si>
    <t>Known Gaps</t>
  </si>
  <si>
    <t>Best Comparator Framework</t>
  </si>
  <si>
    <t>Recommended Use in KSA HC IoT</t>
  </si>
  <si>
    <t>Almutairi et al. (2015) and Alkhenizan &amp; Shaw (2011) find CBAHI-accredited hospitals show measurable quality improvements; national benchmark grounded in Saudi context unlike JCI (US-centric); patient safety improvements documented post-accreditation.</t>
  </si>
  <si>
    <t>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</si>
  <si>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t>
  </si>
  <si>
    <t>CBAHI vs JCI: JCI globally recognised; CBAHI nationally recognised — JCI preferred for medical tourism attracting hospitals. CBAHI vs HIMSS EMRAM: CBA...</t>
  </si>
  <si>
    <t>GH-ICGA Layer 5 (Assurance) — CBAHI accreditation is the primary assurance mechanism for hospital IoMT governance. Thesis argument: CBAHI-HAS-H 5th Ed HIT standards need a cybersecurity annex for IoMT...</t>
  </si>
  <si>
    <t>Academic debate varies by framework maturity and international adoption. For KSA-specific debate, consult: Almohammad &amp; Wills (2021) J Cybersecurity; Al-Khater et al. (2020) IEEE Access; Baker McKenzi</t>
  </si>
  <si>
    <t>Known criticisms include: implementation gap between standards and practice; resource constraints for smaller healthcare entities; rapid technology evolution outpacing regulation. Consult framework ev</t>
  </si>
  <si>
    <t>Framework comparison requires contextual analysis. Key comparators: NIST CSF 2.0 (international benchmark), ISO 27001 (certifiable standard), ECC-2 (K...</t>
  </si>
  <si>
    <t>Relevance to GH-ICGA framework varies by layer — see GH-ICGA Layer Mapping column. All KSA mandatory frameworks are compliance inputs to GH-ICGA Layer 4. Frameworks with IoMT-specific provisions direc...</t>
  </si>
  <si>
    <t>Nationally contextualised; stronger than NIST CSF for enforcement; Arabic-first design reduces adoption friction in KSA; mandatory Saudisation closes workforce gap.</t>
  </si>
  <si>
    <t>Critics argue reducing from 114 to 108 controls is regressive — Almohammad &amp; Wills (2021) found ECC-1 already under-specified for IoT environments; compliance-oriented rather than risk-oriented (Al-Khater et al. 2020); no formal IoT-specific annex despite ECC-2 expansion</t>
  </si>
  <si>
    <t>No dedicated IoMT/medical device sub-framework; Saudisation mandate may worsen near-term skills shortage before improving it (Clyde &amp; Co 2025); maturity model self-assessment lacks independent verification; gap between ECC compliance and actual security posture documented by Almohammad &amp; Wills (2021</t>
  </si>
  <si>
    <t>ECC-2 vs NIST CSF 2.0: ECC-2 is MANDATORY, CSF voluntary; ECC-2 KSA-specific, CSF global. ECC-2 vs ISO 27001:2022: ECC-2 = prescriptive controls, ISO ...</t>
  </si>
  <si>
    <t>PRIMARY driver for GH-ICGA Layer 1 (Governance) and Layer 4 (Compliance). ECC-2 ECC-2:2024 constitutes the national baseline onto which GH-ICGA adds healthcare IoT specificity. Thesis position: GH-ICG...</t>
  </si>
  <si>
    <t>National standardisation essential for patient safety continuity (WHO 2019); NABIDH integration creates longitudinal patient record unavailable previously; IoMT data integration requirements push hospitals toward modern system architectures.</t>
  </si>
  <si>
    <t>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</si>
  <si>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t>
  </si>
  <si>
    <t>MOH-HIS vs NHS Digital standards (UK): NHS has legally binding DCB standards with enforcement; MOH-HIS is ministerial directive with softer enforcemen...</t>
  </si>
  <si>
    <t>GH-ICGA Layer 1 (Governance) + Layer 3 (Technical Controls) — MOH-HIS is the clinical data governance backbone that the preliminary GH-ICGA IoMT framework must integrate with. Thesis: GH-ICGA IoMT dat...</t>
  </si>
  <si>
    <t>COVID-19 proved telehealth viability at scale in KSA (Al-Ataawi et al. 2022); Sehhaty platform shows government commitment; removes geographic barriers consistent with Vision 2030 equity goals; IoMT remote monitoring reimbursement framework emerging.</t>
  </si>
  <si>
    <t>Clinical quality in telehealth still debated (Hollander &amp; Sites 2020); data sovereignty for cross-border telehealth unresolved; prescription via teleconsultation remains restricted limiting scope; rural connectivity gaps undermine access equity goal</t>
  </si>
  <si>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t>
  </si>
  <si>
    <t>MOH-TELE vs NHS TECS (UK): NHS TECS has DTAC (Digital Technology Assessment Criteria) for all digital health tools — KSA equivalent absent. MOH-TELE v...</t>
  </si>
  <si>
    <t>GH-ICGA Layer 1 (Governance) — telehealth regulation defines the governance boundary for remote IoMT monitoring. Thesis relevance: GH-ICGA must address the governance overlap between MOH-TELE (clinica...</t>
  </si>
  <si>
    <t>First KSA standard addressing ICS/SCADA — fills critical gap identified in Nurse et al. (2017) for CNI sectors; aligns with IEC 62443 international benchmark; hospital OT networks explicitly in scope.</t>
  </si>
  <si>
    <t>Medical IoT falls between OTCC (OT-centric) and ECC-2 (IT-centric) — Coventry &amp; Branley (2018) argue medical devices need dedicated classification not forced into OT/IT binary; OTCC written for industrial OT, clinical environment nuances absent</t>
  </si>
  <si>
    <t>Clinical IoMT context absent — infusion pumps and ventilators behave differently from SCADA; no clinical engineering expertise incorporated in drafting; 53 controls insufficient for complex hospital OT topology documented by Jalali &amp; Kaiser (2018); conflict between availability-first OT principle an</t>
  </si>
  <si>
    <t>OTCC vs IEC 62443: OTCC mandatory in KSA; IEC 62443 voluntary but globally recognised — OTCC maps to IEC 62443-2-1 security management but lacks 62443...</t>
  </si>
  <si>
    <t>GH-ICGA Layer 3 (Technical Controls) — directly informs IoMT technical control set in preliminary GH-ICGA. Key thesis argument: OTCC covers general OT but misses clinical IoMT specificity — GH-ICGA La...</t>
  </si>
  <si>
    <t>Long-overdue — KSA had no comprehensive data protection law until 2021; health data explicitly protected as sensitive category; aligns KSA with global adequacy standards.</t>
  </si>
  <si>
    <t>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</si>
  <si>
    <t xml:space="preserve">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t>
  </si>
  <si>
    <t>PDPL vs GDPR: PDPL penalty lower (SAR 5M vs €20M); PDPL broader government exemptions; GDPR has independent DPA, PDPL does not. PDPL vs HIPAA: PDPL = ...</t>
  </si>
  <si>
    <t>PRIMARY driver for GH-ICGA Layer 4 (Compliance) — PDPL is the legal foundation for patient data governance in the preliminary GH-ICGA framework. Thesis argument: GH-ICGA Layer 4 operationalises PDPL r...</t>
  </si>
  <si>
    <t>First-mover advantage in GCC region for AI device regulation; aligns with FDA AI/ML Action Plan and EU AI Act direction; Topol (2019) argues clinical AI requires national regulatory clarity to enable safe adoption.</t>
  </si>
  <si>
    <t>Guidance issued 2024 but no enforcement date confirmed — Parikh et al. (2019) document regulatory ambiguity as the primary barrier to clinical AI deployment; black-box AI in diagnostics conflicts with explainability requirements — WHO (2021) AI ethics in health highlights tension; small hospitals cannot validate AI devices on Saudi patient populations alone</t>
  </si>
  <si>
    <t>Non-binding guidance only — no mandatory pre-market AI review yet; no SFDA AI/ML device registry; Saudi patient population representativeness in global AI training data poorly addressed; limited SFDA technical expertise in AI/ML evaluation documented; no clinical trial requirement specific to AI per</t>
  </si>
  <si>
    <t>SFDA MDS-G010 vs FDA AI/ML SaMD Action Plan (2021): FDA has iterative change protocol; SFDA guidance analogous but less detailed. vs EU AI Act (2024):...</t>
  </si>
  <si>
    <t>GH-ICGA Layer 2 (Risk Management) — AI-enabled IoMT devices require specific risk governance that both SFDA-MDR and NCA-ECC miss. GH-ICGA thesis positions AI medical device governance as a cross-layer...</t>
  </si>
  <si>
    <t>2022 revision brought KSA alignment with IMDRF global model — first time KSA device regulation internationally benchmarked; UDID implementation enables post-market traceability critical for IoMT security recall.</t>
  </si>
  <si>
    <t>Al-Hamdan et al. (2020) and Aziz (2021) document significant classification and registration delays — average 18-24 months for Class III devices; cybersecurity requirements in MDR still underdeveloped relative to FDA premarket cybersecurity guidance; AI medical device pathway (MDS-G010) issued 2024 but enforcement timeline unclear</t>
  </si>
  <si>
    <t>SaMD (Software as Medical Device) classification grey areas create regulatory uncertainty for IoMT apps; post-market surveillance reporting rates historically very low (SFDA 2022 annual report); no KSA-specific clinical data requirement — global clinical evidence accepted without Saudi population va</t>
  </si>
  <si>
    <t>SFDA-MDR vs EU MDR 2017/745: EU MDR stricter clinical evidence; SFDA-MDR aligned with IMDRF GHTF but lighter on UDI requirements. SFDA-MDR vs FDA 510(...</t>
  </si>
  <si>
    <t>CRITICAL for GH-ICGA Layer 2 (Risk Management) and Layer 3 (Technical Controls) — SFDA-MDR is the primary device governance framework that GH-ICGA must interface with. Thesis: GH-ICGA proposes a cyber...</t>
  </si>
  <si>
    <t>WHO/WEF (2025) PHSSR report confirms HSTP achievements in hospital cluster reform and digital health infrastructure; Vision 2030 provides long-term planning horizon unusual in health reform globally; IoMT deployment targets create concrete digital health demand.</t>
  </si>
  <si>
    <t>Kronfol (2012) and Al-Yousuf et al. (2002) document historical KSA health reform challenges — implementation gap between plan and reality; privatisation may worsen equity without strong regulation; digital health targets ambitious relative to healthcare workforce digital literacy (Al-Marwani &amp; Zaraket 2022)</t>
  </si>
  <si>
    <t>Annual KPI reporting often shows target slippage without accountability; IoMT targets set without reference to cybersecurity readiness gap; health cluster governance still unclear — cluster CEOs vs MOH regional directors authority conflict; private sector participation targets delayed; rural and rem</t>
  </si>
  <si>
    <t>HSTP vs NHS Long-Term Plan (UK): NHS 10-year plan similar structure; UK plan more specific on digital. HSTP vs National Health Mission (India): scale ...</t>
  </si>
  <si>
    <t>GH-ICGA Layer 1 (Governance) — HSTP defines the strategic health sector context within which GH-ICGA operates. Thesis: GH-ICGA is positioned as a governance tool that enables Saudi hospitals to meet H...</t>
  </si>
  <si>
    <t>Addresses real gap in ECC-1 for cloud-hosted health systems; CSP+CST dual obligation model mirrors EU NIS2 approach; mandatory for health cloud deployment.</t>
  </si>
  <si>
    <t>CCC-1 pre-dates major health cloud adoption acceleration — rapidly becoming outdated; Alassaf et al. (2019) argue cloud health data sovereignty requirements create innovation friction; CCC-2 consultation process too slow relative to cloud technology evolution</t>
  </si>
  <si>
    <t>CCC vs ISO 27017: CCC mandatory in KSA; ISO 27017 voluntary global standard. CCC maps to CSA CCM v4 (Cloud Controls Matrix) but is simpler. CCC vs SAM...</t>
  </si>
  <si>
    <t>GH-ICGA Layer 3 (Technical) + Layer 4 (Compliance) — cloud security controls inform GH-ICGA cloud-hosted IoMT governance. Thesis gap: GH-ICGA must address how CCC applies when IoMT data streams to clo...</t>
  </si>
  <si>
    <t>Only KSA framework with a formal 6-level maturity model — enables progression benchmarking; annual self-assessment creates continuous improvement culture; aligns with G-7 Fundamental Elements of Cybersecurity (financial sector).</t>
  </si>
  <si>
    <t>2017 vintage — predates cloud-native architectures, AI-driven fraud, and health insurance sector IoT expansion; Wattlecorp (2025) notes SAMA-CSF and NCA-ECC-2 overlap creates dual compliance burden for health insurers; self-assessment without mandatory external verification undermines assurance value</t>
  </si>
  <si>
    <t>Issued 2017 — significantly outdated vs NCA ECC-2 (2024) — no major revision in 7 years; SAMA-CSF and NCA-ECC-2 alignment not formally documented creating uncertainty; health insurance entities must navigate SAMA-CSF, NCA-ECC-2, PDPL, and CCHI-DCS simultaneously — regulatory fragmentation; IoT/conne</t>
  </si>
  <si>
    <t>SAMA-CSF vs NCA-ECC-2: SAMA-CSF sector-specific (financial), ECC-2 cross-sector — ECC-2 now dominant for cybersecurity, SAMA-CSF supplementary. SAMA-C...</t>
  </si>
  <si>
    <t>GH-ICGA Layer 1 (Governance) — SAMA-CSF maturity model is an important reference for GH-ICGA's own maturity assessment design. Thesis: GH-ICGA proposes adapting SAMA-CSF's 6-level maturity model for h...</t>
  </si>
  <si>
    <t>KSA Healthcare IoT Cybersecurity Governance — Knowledge Foundation &amp; Theoretical Basis</t>
  </si>
  <si>
    <t>Theory / Concept</t>
  </si>
  <si>
    <t>Description</t>
  </si>
  <si>
    <t>Key Theorists / Sources</t>
  </si>
  <si>
    <t>Frameworks Using This Theory</t>
  </si>
  <si>
    <t>Relevance to IoMT Governance</t>
  </si>
  <si>
    <t>Doctoral Thesis Application</t>
  </si>
  <si>
    <t>Governance Theory (Bevir 2012)</t>
  </si>
  <si>
    <t>Governance as distributed authority — regulatory bodies shape actor behaviour through rules, norms and markets. Central vs distributed governance debate</t>
  </si>
  <si>
    <t>Bevir M (2012) Governance: A Very Short Introduction; Rhodes RAW (1997) Understanding Governance; Peters BG (2001) The Future of Governing</t>
  </si>
  <si>
    <t>NCA-ECC-2:2024; SDAIA-PDPL; SHC-HSTP; SAMA-CSF; all mandatory frameworks</t>
  </si>
  <si>
    <t>IoMT governance requires multi-authority coordination (NCA+MOH+SFDA+SDAIA) — governance theory explains why GH-ICGA Layer 1 must address authority overlap and coordination mechanisms</t>
  </si>
  <si>
    <t>GH-ICGA proposes a 5-layer governance architecture drawing on Bevir's distributed governance model — each KSA regulatory authority governs a different IoMT dimension without a single unified framework</t>
  </si>
  <si>
    <t>Institutional Theory (DiMaggio &amp; Powell 1983)</t>
  </si>
  <si>
    <t>Coercive, mimetic and normative isomorphism explain why organisations adopt similar structures. Coercive = government mandate; mimetic = copying peers; normative = professional standards</t>
  </si>
  <si>
    <t>DiMaggio PJ &amp; Powell WW (1983) 'The Iron Cage Revisited' American Sociological Review 48(2); Meyer JW &amp; Rowan B (1977) 'Institutionalized Organizations' AJS 83(2)</t>
  </si>
  <si>
    <t>CBAHI accreditation (mimetic); NCA-ECC-2 (coercive); ISO 27001 (normative); HITRUST (mimetic for US-aligned vendors)</t>
  </si>
  <si>
    <t>IoMT governance adoption in Saudi hospitals is driven by coercive (NCA ECC-2 mandate), mimetic (CBAHI accreditation peer comparison) and normative (SCFHS professional standards) mechanisms — GH-ICGA must account for all three adoption pathways</t>
  </si>
  <si>
    <t>Thesis RQ1 uses institutional theory to explain current IoMT governance adoption patterns; GH-ICGA framework design must leverage all three isomorphism mechanisms for implementation success</t>
  </si>
  <si>
    <t>Risk Management Theory (ISO 31000; Kaplan &amp; Mikes 2012)</t>
  </si>
  <si>
    <t>Risk as uncertainty affecting objectives — risk identification, assessment, treatment and monitoring cycle. Enterprise risk management (ERM) vs cybersecurity risk management debate</t>
  </si>
  <si>
    <t>ISO 31000:2018; Kaplan RS &amp; Mikes A (2012) 'Managing Risks: A New Framework' HBR; NIST SP 800-30r1 Guide for Conducting Risk Assessments</t>
  </si>
  <si>
    <t>NIST-CSF-2.0; ISO-27001:2022; SAMA-CSF; NCA-ECC-2:2024; SFDA-MDR (risk classification)</t>
  </si>
  <si>
    <t>IoMT risk management requires integration of clinical risk (patient safety), cybersecurity risk (NCA ECC-2) and privacy risk (PDPL) — ISO 31000 provides the unified risk methodology that GH-ICGA Layer 2 adopts</t>
  </si>
  <si>
    <t>Layer 2: Risk Management</t>
  </si>
  <si>
    <t>GH-ICGA Layer 2 applies ISO 31000 risk management process adapted for IoMT-specific threat landscape — the three-risk integration (clinical + cyber + privacy) is a novel contribution of the preliminary GH-ICGA framework</t>
  </si>
  <si>
    <t>Socio-Technical Systems Theory (Trist 1981; Bostrom &amp; Heinen 1977)</t>
  </si>
  <si>
    <t>Organisations are joint systems of social (people, processes) and technical (technology, tools) elements — both must be optimised together. Technology cannot be governed independently of human and organisational context</t>
  </si>
  <si>
    <t>Trist E (1981) 'The Evolution of Socio-Technical Systems' Ontario Quality of Working Life Centre; Bostrom RP &amp; Heinen JS (1977) 'MIS Problems and Failures' MIS Quarterly 1(3)</t>
  </si>
  <si>
    <t>SFDA-AI-MDS-G010; CBAHI-HAS-H; MOH-HIS; MOH-PS; IEC-62443; NCA-OTCC</t>
  </si>
  <si>
    <t>IoMT governance failure is predominantly socio-technical — technology controls fail because of human/organisational factors (Coventry &amp; Branley 2018; Jalali &amp; Kaiser 2018) — GH-ICGA explicitly incorporates socio-technical design principles</t>
  </si>
  <si>
    <t>Layer 1: Governance; Layer 3: Technical Controls</t>
  </si>
  <si>
    <t>Thesis methodology section applies socio-technical theory to justify mixed-methods design — interview phase captures social/organisational factors; survey phase captures technical governance factors</t>
  </si>
  <si>
    <t>Critical Infrastructure Protection Theory (Lewis 2006)</t>
  </si>
  <si>
    <t>Critical National Infrastructure (CNI) requires special governance — hospitals as dual-use infrastructure (clinical + digital). Availability &gt; Confidentiality in life-critical systems</t>
  </si>
  <si>
    <t>Lewis TG (2006) Critical Infrastructure Protection in Homeland Security; DHS (2013) NIPP 2013; ENISA (2022) Critical Entities Resilience</t>
  </si>
  <si>
    <t>NCA-ECC-2:2024 (CNI scope); NCA-OTCC-1:2022; MOH-HIS; SFDA-MDR; NCA-CSCC-1:2019</t>
  </si>
  <si>
    <t>Saudi hospital IoMT networks are CNI — life-critical systems (ICU monitoring, ventilators, infusion pumps) — GH-ICGA Layer 3 applies CIP principles: availability-first control prioritisation, zone/conduit network architecture, supply chain security</t>
  </si>
  <si>
    <t>Layer 2: Risk; Layer 3: Technical</t>
  </si>
  <si>
    <t>Thesis positions Saudi hospitals as CNI — justifying rigorous IoMT governance requirements. GH-ICGA's preliminary framework explicitly addresses the clinical availability vs cybersecurity confidentiality tension that CIP theory identifies</t>
  </si>
  <si>
    <t>Privacy as Contextual Integrity (Nissenbaum 2004)</t>
  </si>
  <si>
    <t>Information flows are appropriate when they match the norms of the context in which data was shared — patient health data shared for treatment cannot be used for marketing</t>
  </si>
  <si>
    <t>Nissenbaum H (2004) 'Privacy as Contextual Integrity' Washington Law Review 79(1); Westin AF (1967) Privacy and Freedom; Cavoukian A (2009) Privacy by Design</t>
  </si>
  <si>
    <t>PDPL-2021; PDPL-IR-2023; MOH-PR; SFDA-AI-MDS-G010; SDAIA-AI-ETH</t>
  </si>
  <si>
    <t>IoMT data flows must match clinical context norms — wearable data collected for monitoring cannot be shared with insurers without explicit consent. GH-ICGA Layer 4 uses contextual integrity as the theoretical basis for IoMT data governance rules</t>
  </si>
  <si>
    <t>Layer 4: Compliance; Layer 2: Risk</t>
  </si>
  <si>
    <t>Thesis Chapter 2 uses Nissenbaum's contextual integrity framework to evaluate adequacy of PDPL provisions for IoMT health data — identifies gap between PDPL general provisions and IoMT-specific data flow complexity</t>
  </si>
  <si>
    <t>Regulatory Theory: Responsive Regulation (Ayres &amp; Braithwaite 1992)</t>
  </si>
  <si>
    <t>Regulatory pyramid — persuasion at base, escalating to sanctions at apex. Most actors comply with persuasion; sanctions reserved for persistent non-compliers. Compliance-based vs deterrence-based regulation debate</t>
  </si>
  <si>
    <t>Ayres I &amp; Braithwaite J (1992) Responsive Regulation Oxford; Baldwin R et al. (2012) Understanding Regulation Oxford; Black J (2001) 'Decentring Regulation' Current Legal Problems 54(1)</t>
  </si>
  <si>
    <t>NCA-REG-2024 (deterrence); CBAHI accreditation (persuasion); SAMA-CSF self-assessment (compliance); SDAIA-PDPL (escalating penalties)</t>
  </si>
  <si>
    <t>KSA healthcare IoT regulation uses a mixed model — NCA ECC-2 with strong enforcement (deterrence), CBAHI with accreditation incentives (persuasion), PDPL with graduated penalties (responsive regulation). GH-ICGA Layer 4 incorporates all three regulatory approaches</t>
  </si>
  <si>
    <t>Thesis RQ3 applies responsive regulation theory to evaluate the adequacy of current KSA IoMT regulatory enforcement mechanisms — argues that purely coercive approach (NCA model) is insufficient without capacity-building support</t>
  </si>
  <si>
    <t>Technology Acceptance Model / TAM (Davis 1989)</t>
  </si>
  <si>
    <t>Technology adoption determined by perceived usefulness and perceived ease of use — extended by UTAUT (Venkatesh 2003) adding social influence and facilitating conditions</t>
  </si>
  <si>
    <t>Davis FD (1989) 'Perceived Usefulness, Ease of Use' MIS Quarterly 13(3); Venkatesh V et al. (2003) 'User Acceptance of IT: UTAUT' MIS Quarterly 27(3)</t>
  </si>
  <si>
    <t>MOH-HIS (clinician adoption); MOH-TELE (patient adoption); SFDA-AI-MDS-G010 (clinician AI acceptance); SCFHS-CPD (digital skill adoption)</t>
  </si>
  <si>
    <t>Healthcare IoT adoption barriers in Saudi hospitals are predicted by TAM — perceived usefulness (clinical benefit) and perceived ease of use (integration with workflows). GH-ICGA Layer 1 governance must address adoption as well as compliance</t>
  </si>
  <si>
    <t>Thesis Phase 1 interview guides use TAM constructs to explore clinician and administrator perceptions of IoMT governance frameworks — adoption barriers inform GH-ICGA design recommendations</t>
  </si>
  <si>
    <t>Maturity Model Theory (Crosby 1979; CMM/CMMI)</t>
  </si>
  <si>
    <t>Organisational capability matures through predictable stages — Initial → Managed → Defined → Quantitatively Managed → Optimising. Maturity models enable benchmarking and roadmapping</t>
  </si>
  <si>
    <t>Crosby PB (1979) Quality is Free; CMMI Institute (2018) CMMI v2.0; HIMSS (2023) EMRAM; NIST (2014) CSF Tiers</t>
  </si>
  <si>
    <t>SAMA-CSF (6 levels); NCA-ECC-2 (5 levels); CBAHI-HAS-H (Met/Not Met); NIST-CSF-2.0 (4 tiers); HITRUST (5 levels per control)</t>
  </si>
  <si>
    <t>IoMT governance maturity varies enormously across KSA healthcare organisations — GH-ICGA Layer 5 Assurance incorporates a 5-level maturity model to enable organisations to self-assess and roadmap improvement</t>
  </si>
  <si>
    <t>Layer 5: Assurance</t>
  </si>
  <si>
    <t>GH-ICGA's proposed maturity model is a thesis contribution — synthesising SAMA-CSF (6 levels), NCA-ECC-2 (5 levels) and NIST CSF Tiers into a healthcare IoT-specific maturity assessment tool</t>
  </si>
  <si>
    <t>Supply Chain Risk Theory (Harland et al. 2003; NIST SP 800-161)</t>
  </si>
  <si>
    <t>Third-party and supply chain risk as systemic vulnerability — IoMT devices introduce supply chain dependencies (manufacturers, importers, integrators) each creating attack surface</t>
  </si>
  <si>
    <t>Harland C et al. (2003) 'Risk in Supply Networks' J Purchasing &amp; Supply Management; NIST SP 800-161r1 (2022) Supply Chain Risk Management; ISO 27036 (Supply Chain Security)</t>
  </si>
  <si>
    <t>NCA-ECC-2 (third party domain); SFDA-MDR (manufacturer supply chain); SASO-PS (product safety supply chain); NCA-OTCC (vendor access); SAMA-CSF (third party management)</t>
  </si>
  <si>
    <t>IoMT supply chain (device manufacturer → importer → hospital → clinical user) is a critical governance challenge — GH-ICGA Layer 2 Risk Management explicitly addresses IoMT supply chain risk assessment requirements</t>
  </si>
  <si>
    <t>Thesis identifies IoMT supply chain as a research gap in Saudi healthcare cybersecurity governance — Phase 3 Delphi panel will validate supply chain risk controls proposed in GH-ICGA Layer 2</t>
  </si>
  <si>
    <t>KSA Healthcare IoT Cybersecurity — Framework Learning Pathway (from Foundation to Expert)</t>
  </si>
  <si>
    <t>Study Sequence</t>
  </si>
  <si>
    <t>Study Priority</t>
  </si>
  <si>
    <t>Estimated Hours</t>
  </si>
  <si>
    <t>Prerequisite Knowledge</t>
  </si>
  <si>
    <t>Official Free Resource</t>
  </si>
  <si>
    <t>Professional Certification</t>
  </si>
  <si>
    <t>ESSENTIAL — START HERE</t>
  </si>
  <si>
    <t>40 hrs</t>
  </si>
  <si>
    <t>Basic cybersecurity concepts (CIA triad, risk, controls)</t>
  </si>
  <si>
    <t>NCA-recognised cybersecurity certifications; CISSP (governance domain)</t>
  </si>
  <si>
    <t>ESSENTIAL</t>
  </si>
  <si>
    <t>15 hrs</t>
  </si>
  <si>
    <t>Basic privacy concepts; PDPL text reading in Arabic</t>
  </si>
  <si>
    <t>IAPP CIPP/A (Asia-Pacific Privacy) — closest to PDPL; IAPP CIPM</t>
  </si>
  <si>
    <t>10 hrs</t>
  </si>
  <si>
    <t>PDPL-2021 completion</t>
  </si>
  <si>
    <t>As above; IAPP CIPM (management)</t>
  </si>
  <si>
    <t>ESSENTIAL for HC IoT</t>
  </si>
  <si>
    <t>20 hrs</t>
  </si>
  <si>
    <t>Healthcare IT concepts; NABIDH awareness</t>
  </si>
  <si>
    <t>CPHIMS (Certified Professional Health Informatics &amp; IM)</t>
  </si>
  <si>
    <t>MOH-HIS; HL7 FHIR basics</t>
  </si>
  <si>
    <t>HL7 FHIR Foundational Certificate (HL7 International)</t>
  </si>
  <si>
    <t>ESSENTIAL for device governance</t>
  </si>
  <si>
    <t>30 hrs</t>
  </si>
  <si>
    <t>Regulatory affairs basics; device classification concepts</t>
  </si>
  <si>
    <t>RAPS RAC-D (Regulatory Affairs Certification — Devices)</t>
  </si>
  <si>
    <t>HIGH PRIORITY for IoMT</t>
  </si>
  <si>
    <t>25 hrs</t>
  </si>
  <si>
    <t>NCA-ECC-2 completion; OT/ICS basics</t>
  </si>
  <si>
    <t>ISCI IEC 62443 Cybersecurity Certificate; GICSP (Global Industrial Cyber Security Professional)</t>
  </si>
  <si>
    <t>Hospital Accreditation Standards 5th Ed</t>
  </si>
  <si>
    <t>HIGH for hospital governance</t>
  </si>
  <si>
    <t>Healthcare operations knowledge</t>
  </si>
  <si>
    <t>CPHQ (Certified Professional in Healthcare Quality)</t>
  </si>
  <si>
    <t>HIGH — interoperability</t>
  </si>
  <si>
    <t>MOH-HIS + MOH-EMR-NABIDH completion</t>
  </si>
  <si>
    <t>NHIC developer training completion certificate</t>
  </si>
  <si>
    <t>MOH-HIS; Basic telemedicine concepts</t>
  </si>
  <si>
    <t>ATA (American Telemedicine Association) Certificate</t>
  </si>
  <si>
    <t>Cooperative Health Insurance Law</t>
  </si>
  <si>
    <t>HIGH for insurance actors</t>
  </si>
  <si>
    <t>Health insurance fundamentals</t>
  </si>
  <si>
    <t>No dedicated certification — CCHI exam for insurance professionals</t>
  </si>
  <si>
    <t>HIGH for workforce</t>
  </si>
  <si>
    <t>Healthcare professional licensing awareness</t>
  </si>
  <si>
    <t>SCFHS licence (for clinical professionals)</t>
  </si>
  <si>
    <t>MEDIUM — insurance focus</t>
  </si>
  <si>
    <t>NCA-ECC-2; Financial sector cybersecurity</t>
  </si>
  <si>
    <t>CISM (Certified Information Security Manager)</t>
  </si>
  <si>
    <t>HIGH — device market entry</t>
  </si>
  <si>
    <t>CST-TITA; IoT technology basics</t>
  </si>
  <si>
    <t>ETSI IoT Cybersecurity (EN 303 645) training</t>
  </si>
  <si>
    <t>NIST-CSF-2.0</t>
  </si>
  <si>
    <t>Cybersecurity Framework 2.0</t>
  </si>
  <si>
    <t>NIST</t>
  </si>
  <si>
    <t>BENCHMARK — global comparison</t>
  </si>
  <si>
    <t>NCA-ECC-2 completion; risk management basics</t>
  </si>
  <si>
    <t>https://www.nist.gov/cyberframework</t>
  </si>
  <si>
    <t>No NIST CSF certification — CISSP/CISM include CSF content</t>
  </si>
  <si>
    <t>ISO-27001:2022</t>
  </si>
  <si>
    <t>Information Security Management System</t>
  </si>
  <si>
    <t>ISO</t>
  </si>
  <si>
    <t>GLOBAL STANDARD</t>
  </si>
  <si>
    <t>Information security fundamentals; risk management</t>
  </si>
  <si>
    <t>ISO standard (paid ~USD 200); BSI free ISO 27001 guide</t>
  </si>
  <si>
    <t>ISO 27001 Lead Implementer (PECB/BSI); CISA</t>
  </si>
  <si>
    <t>ISO-27799:2016</t>
  </si>
  <si>
    <t>Health Informatics ISMS</t>
  </si>
  <si>
    <t>HC ISMS specific</t>
  </si>
  <si>
    <t>ISO-27001:2022 completion</t>
  </si>
  <si>
    <t>ISO standard (paid ~USD 200)</t>
  </si>
  <si>
    <t>No dedicated certification — supplement to ISO 27001</t>
  </si>
  <si>
    <t>IEC-62443</t>
  </si>
  <si>
    <t>ICS/OT/IoMT Security Standards</t>
  </si>
  <si>
    <t>IEC</t>
  </si>
  <si>
    <t>TECHNICAL DEEP DIVE</t>
  </si>
  <si>
    <t>60 hrs</t>
  </si>
  <si>
    <t>NCA-OTCC; ICS/SCADA technology basics; network security</t>
  </si>
  <si>
    <t>IEC 62443 standards (paid); ISAGCA free resources</t>
  </si>
  <si>
    <t>ISCI IEC 62443 CSSLP / CSSPM; SANS ICS515</t>
  </si>
  <si>
    <t>AI/ML Medical Devices Guidance</t>
  </si>
  <si>
    <t>AI DEVICES SPECIALIST</t>
  </si>
  <si>
    <t>SFDA-MDR completion; machine learning basics</t>
  </si>
  <si>
    <t>RAPS AI in Regulatory Affairs; FDA online training (CDER/CDRH)</t>
  </si>
  <si>
    <t>HITRUST-CSF</t>
  </si>
  <si>
    <t>Healthcare Information Trust Alliance CSF</t>
  </si>
  <si>
    <t>HITRUST</t>
  </si>
  <si>
    <t>INTERNATIONAL BENCHMARK</t>
  </si>
  <si>
    <t>ISO-27001; NCA-ECC-2; NIST-CSF completion</t>
  </si>
  <si>
    <t>HITRUST website (registration required)</t>
  </si>
  <si>
    <t>HITRUST CCSFP (Certified CSF Practitioner)</t>
  </si>
  <si>
    <t>NCA Regulatory Framework (Penalties)</t>
  </si>
  <si>
    <t>ENFORCEMENT AWARENESS</t>
  </si>
  <si>
    <t>5 hrs</t>
  </si>
  <si>
    <t>NCA-ECC-2 completion</t>
  </si>
  <si>
    <t>Bird &amp; Bird Jan 2025 analysis (free online)</t>
  </si>
  <si>
    <t>N/A — awareness document</t>
  </si>
  <si>
    <t>CLINICAL SAFETY</t>
  </si>
  <si>
    <t>Clinical healthcare knowledge</t>
  </si>
  <si>
    <t>CPHQ; patient safety officer training</t>
  </si>
  <si>
    <t>Saudisation System</t>
  </si>
  <si>
    <t>HR COMPLIANCE</t>
  </si>
  <si>
    <t>Basic HR and employment knowledge</t>
  </si>
  <si>
    <t>No certification — Qiwa portal user training</t>
  </si>
  <si>
    <t>DEVICE IMPORT</t>
  </si>
  <si>
    <t>SFDA-MDR; product safety concepts</t>
  </si>
  <si>
    <t>SABER platform training (SASO online)</t>
  </si>
  <si>
    <t>GH-ICGA Preliminary Framework — Regulatory &amp; Literature Positioning Matrix (Elgazzar 2026)</t>
  </si>
  <si>
    <t>Layer Description</t>
  </si>
  <si>
    <t>KSA Mandatory Frameworks (Compliance Inputs)</t>
  </si>
  <si>
    <t>KSA Voluntary/Best Practice Frameworks</t>
  </si>
  <si>
    <t>International Benchmarks</t>
  </si>
  <si>
    <t>Primary Academic Theories</t>
  </si>
  <si>
    <t>Key Research Gap Addressed</t>
  </si>
  <si>
    <t>Thesis RQ Connection</t>
  </si>
  <si>
    <t>Proposed GH-ICGA Controls (Count)</t>
  </si>
  <si>
    <t>Evidence Mechanism</t>
  </si>
  <si>
    <t>Validation Method (Phase)</t>
  </si>
  <si>
    <t>Layer 1: GOVERNANCE</t>
  </si>
  <si>
    <t>Establishes the authority, accountability, roles and strategic direction for IoMT cybersecurity governance in Saudi healthcare organisations</t>
  </si>
  <si>
    <t>NCA-ECC-2:2024 (Governance domain); MOH-HL; MOH-HIS; SHC-HSTP; SDAIA-NSDAI; MHRSD-NITAQAT (Saudisation mandate)</t>
  </si>
  <si>
    <t>CBAHI-HAS-H (HIT governance chapter); SCFHS-PLF (workforce governance)</t>
  </si>
  <si>
    <t>NIST CSF 2.0 GOVERN function; ISO 27001:2022 Clause 5 (Leadership); COBIT 2019 (IT governance)</t>
  </si>
  <si>
    <t>Governance theory (Bevir 2012); Institutional theory (DiMaggio &amp; Powell 1983); TAM (Davis 1989)</t>
  </si>
  <si>
    <t>No unified IoMT governance mandate in KSA — gap between NCA (cybersecurity), MOH (clinical), SFDA (device) and SDAIA (data) authorities. GH-ICGA Layer 1 proposes integrated governance model</t>
  </si>
  <si>
    <t>RQ1; RQ3</t>
  </si>
  <si>
    <t>35 governance controls</t>
  </si>
  <si>
    <t>Board IoMT policy; CISO/CIO role definition; governance committee minutes; Saudisation compliance certificate</t>
  </si>
  <si>
    <t>Phase 1 Interviews (governance perception); Phase 3 Delphi (governance model validation)</t>
  </si>
  <si>
    <t>Layer 2: RISK MANAGEMENT</t>
  </si>
  <si>
    <t>Systematic identification, assessment and treatment of IoMT-specific cybersecurity risks in Saudi healthcare — integrating clinical, cyber and privacy risk</t>
  </si>
  <si>
    <t>NCA-ECC-2:2024 (Risk Management subdomain); SFDA-MDR (risk classification); SFDA-AI-MDS-G010 (AI risk); PDPL-IR-2023 (DPIA requirement)</t>
  </si>
  <si>
    <t>ISO 27001:2022 (ISMS risk process); ISO 31000:2018; CBAHI (risk management chapter)</t>
  </si>
  <si>
    <t>NIST CSF 2.0 IDENTIFY function; IEC 62443-2-1 (CSMS); ISO 14971:2019 (device risk)</t>
  </si>
  <si>
    <t>Risk management theory (ISO 31000; Kaplan &amp; Mikes 2012); CIP theory (Lewis 2006); Supply chain risk (Harland et al. 2003)</t>
  </si>
  <si>
    <t>No Saudi framework integrates clinical safety risk + cybersecurity risk + privacy risk for IoMT — each is governed separately. GH-ICGA Layer 2 proposes a unified three-domain IoMT risk model</t>
  </si>
  <si>
    <t>RQ1; RQ2</t>
  </si>
  <si>
    <t>42 risk controls</t>
  </si>
  <si>
    <t>IoMT risk register; DPIA reports; clinical risk assessment; supply chain vendor risk assessments; threat intelligence reports</t>
  </si>
  <si>
    <t>Phase 1 Interviews (risk perception); Phase 2 PLS-SEM (risk governance → security posture H1-H3); Phase 3 Delphi (risk control validation)</t>
  </si>
  <si>
    <t>Layer 3: TECHNICAL CONTROLS</t>
  </si>
  <si>
    <t>Specific technical security controls for IoMT device security, network architecture, data protection and system resilience in Saudi hospital environments</t>
  </si>
  <si>
    <t>NCA-ECC-2:2024 (Defence domain); NCA-OTCC-1:2022 (OT technical controls); NCA-DCC-1:2022 (data security); NCA-CCC-1:2020 (cloud security); CST-IOT (device technical requirements); SASO-PS (product safety)</t>
  </si>
  <si>
    <t>ISO 27001:2022 Annex A (technical controls); CBAHI-HAS-H (HIT technical standards); ISO 27799:2016</t>
  </si>
  <si>
    <t>NIST CSF 2.0 PROTECT/DETECT functions; IEC 62443-4-2 (component security); ETSI EN 303 645 (IoT security); NIST NISTIR 8259 (IoT baseline)</t>
  </si>
  <si>
    <t>CIP theory; Socio-technical systems (Trist 1981); Defence-in-depth (NIST)</t>
  </si>
  <si>
    <t>No KSA standard provides IoMT-specific technical controls — OTCC addresses OT/ICS, ECC-2 addresses IT, but the clinical IoMT space between them is ungoverned. GH-ICGA Layer 3 fills this gap</t>
  </si>
  <si>
    <t>RQ2</t>
  </si>
  <si>
    <t>68 technical controls</t>
  </si>
  <si>
    <t>Network segmentation evidence; device inventory; patch records; encryption configuration; penetration test reports; NABIDH API security assessment</t>
  </si>
  <si>
    <t>Phase 2 PLS-SEM (technical control implementation → breach prevention H2,H4); Phase 3 Delphi (technical control set validation)</t>
  </si>
  <si>
    <t>Layer 4: COMPLIANCE</t>
  </si>
  <si>
    <t>Ensures Saudi healthcare IoMT operations meet all applicable regulatory requirements — NCA, SDAIA, MOH, SFDA, CCHI, SAMA — through integrated compliance management</t>
  </si>
  <si>
    <t>NCA-ECC-2:2024; PDPL-2021 + IR; MOH-HIS; MOH-TELE; SFDA-MDR; CCHI-HIR; SAMA-CSF (for insurers); ZATCA-EINV (billing systems); MHRSD-LL</t>
  </si>
  <si>
    <t>CBAHI-HAS-H; SCFHS-CPD; ISO 27001:2022</t>
  </si>
  <si>
    <t>NIST CSF 2.0 (no direct compliance function — integrated across); HITRUST-CSF (integrated compliance model); COBIT 2019 (compliance management)</t>
  </si>
  <si>
    <t>Responsive regulation theory (Ayres &amp; Braithwaite 1992); Contextual integrity (Nissenbaum 2004); Institutional theory</t>
  </si>
  <si>
    <t>No single compliance framework integrates NCA+SDAIA+MOH+SFDA+CCHI requirements for IoMT — organisations face regulatory fragmentation with overlapping and sometimes conflicting requirements. GH-ICGA Layer 4 proposes integrated compliance map</t>
  </si>
  <si>
    <t>RQ3</t>
  </si>
  <si>
    <t>28 compliance controls</t>
  </si>
  <si>
    <t>Regulatory compliance register; ECC-2 self-assessment; PDPL controller registration; SFDA device registration certificates; NABIDH connectivity certificate; annual audit reports</t>
  </si>
  <si>
    <t>Phase 1 Interviews (compliance burden perception); Phase 2 PLS-SEM (compliance framework → governance effectiveness H5,H6); Phase 3 Delphi (compliance integration model validation)</t>
  </si>
  <si>
    <t>Layer 5: ASSURANCE</t>
  </si>
  <si>
    <t>Provides independent verification that GH-ICGA Layers 1-4 are effectively implemented — through audit, assessment, accreditation and continuous monitoring</t>
  </si>
  <si>
    <t>NCA-REG-2024 (enforcement assurance); NCA-ECC-2 (self-assessment + NCA audit); SFDA-PMS (device post-market); MOH-HIS (annual audit)</t>
  </si>
  <si>
    <t>CBAHI-HAS-H (accreditation survey as assurance mechanism); ISO 27001:2022 (certification + surveillance); SAMA-CSF (annual self-assessment + external audit)</t>
  </si>
  <si>
    <t>NIST CSF 2.0 RESPOND/RECOVER functions; HITRUST-CSF (3-tier assurance levels); ISO 27001 certification (third-party assurance)</t>
  </si>
  <si>
    <t>Maturity model theory (Crosby 1979; CMM); Accreditation theory; Auditing theory</t>
  </si>
  <si>
    <t>No IoMT-specific assurance mechanism in Saudi healthcare — CBAHI surveys do not include cybersecurity-specific IoMT evaluation; NCA ECC-2 audit does not assess clinical IoMT governance. GH-ICGA Layer 5 proposes IoMT-specific assurance programme</t>
  </si>
  <si>
    <t>22 assurance controls</t>
  </si>
  <si>
    <t>IoMT audit reports; maturity assessment results; CBAHI survey outcomes; NCA self-assessment scores; penetration test results; continuous monitoring dashboards; incident response records</t>
  </si>
  <si>
    <t>Phase 3 Delphi (assurance model validation); Post-empirical: proposed validation protocol for healthcare authority piloting</t>
  </si>
  <si>
    <t>KSA Healthcare IoT GRC Architecture — Framework Ecosystem &amp; Integration Map</t>
  </si>
  <si>
    <t>GRC Layer</t>
  </si>
  <si>
    <t>Issuing Authority</t>
  </si>
  <si>
    <t>GRC Pillar</t>
  </si>
  <si>
    <t>Compliance Type</t>
  </si>
  <si>
    <t>Feeds Into / Dependent On</t>
  </si>
  <si>
    <t>Conflicts / Overlaps With</t>
  </si>
  <si>
    <t>Gap It Fills in KSA GRC</t>
  </si>
  <si>
    <t>HC IoT Weight</t>
  </si>
  <si>
    <t>Priority Tier</t>
  </si>
  <si>
    <t>LEGAL FOUNDATION</t>
  </si>
  <si>
    <t>C</t>
  </si>
  <si>
    <t>LEGAL</t>
  </si>
  <si>
    <t>NCA-ECC-2 (enforcement base); PDPL-2021 (penalty complement)</t>
  </si>
  <si>
    <t>—</t>
  </si>
  <si>
    <t>Criminal law baseline — all NCA and PDPL enforcement rests on this</t>
  </si>
  <si>
    <t>Tier 1: Foundation</t>
  </si>
  <si>
    <t>MOF-PPL</t>
  </si>
  <si>
    <t>Government Procurement Law</t>
  </si>
  <si>
    <t>G + C</t>
  </si>
  <si>
    <t>NUPCO procurement; all government hospital tenders</t>
  </si>
  <si>
    <t>MOCI-CL (commercial overlap)</t>
  </si>
  <si>
    <t>Legal basis for requiring security in government health IT procurement</t>
  </si>
  <si>
    <t>MOCI-ECL</t>
  </si>
  <si>
    <t>E-Commerce Law</t>
  </si>
  <si>
    <t>CST-DPS (digital platform regulation); PDPL (data in e-commerce)</t>
  </si>
  <si>
    <t>CST-DPS (overlap)</t>
  </si>
  <si>
    <t>Legal basis for digital health platform obligations</t>
  </si>
  <si>
    <t>CYBERSECURITY GOVERNANCE</t>
  </si>
  <si>
    <t>G+R+C</t>
  </si>
  <si>
    <t>All KSA entities subject; references ISO 27001 + NIST CSF; NCA-REG-2024 (enforcement)</t>
  </si>
  <si>
    <t>SAMA-CSF (financial overlap); CST-CSRF (telecom overlap)</t>
  </si>
  <si>
    <t>National cybersecurity baseline — IoMT entities must comply as CNI</t>
  </si>
  <si>
    <t>Tier 1: Mandatory</t>
  </si>
  <si>
    <t>NCA-OTCC-1:2022</t>
  </si>
  <si>
    <t>R+C</t>
  </si>
  <si>
    <t>NCA-ECC-2 (extends); IEC 62443 (maps to); SFDA-MDR (device overlap)</t>
  </si>
  <si>
    <t>SFDA-MDR (device governance boundary unclear)</t>
  </si>
  <si>
    <t>OT security for hospital medical device networks — fills IT/OT gap</t>
  </si>
  <si>
    <t>NCA Enforcement Regulation</t>
  </si>
  <si>
    <t>All NCA frameworks (enforcement mechanism)</t>
  </si>
  <si>
    <t>First enforcement mechanism — makes all NCA frameworks legally actionable</t>
  </si>
  <si>
    <t>NCA-CCC-1:2020</t>
  </si>
  <si>
    <t>NCA-ECC-2 (extends); CST-CCR (aligns); DGA-CFP (complements)</t>
  </si>
  <si>
    <t>CST-CCR (regulatory overlap for cloud providers)</t>
  </si>
  <si>
    <t>Cloud security for NABIDH/EHR cloud hosting — fills cloud gap in ECC</t>
  </si>
  <si>
    <t>NCA-DCC-1:2022</t>
  </si>
  <si>
    <t>NCA-ECC-2 (extends); PDPL-2021 (aligns)</t>
  </si>
  <si>
    <t>PDPL-2021 (overlap for personal data)</t>
  </si>
  <si>
    <t>Data lifecycle security — fills data handling gap in ECC</t>
  </si>
  <si>
    <t>REGULATORY</t>
  </si>
  <si>
    <t>NCA-ECC-2 (dual compliance for health insurers); CCHI-HIR (insurer compliance)</t>
  </si>
  <si>
    <t>NCA-ECC-2 (overlapping scope for financial sector)</t>
  </si>
  <si>
    <t>Sector-specific GRC maturity model — fills SAMA-regulated insurer gap</t>
  </si>
  <si>
    <t>Tier 2: Sector</t>
  </si>
  <si>
    <t>DATA &amp; PRIVACY GOVERNANCE</t>
  </si>
  <si>
    <t>G+C</t>
  </si>
  <si>
    <t>PDPL-IR-2023 (implements); NDMO-DGF (data governance); NCA-DCC (aligns)</t>
  </si>
  <si>
    <t>MOH-HIS (health data overlap); CCHI-DCS (claims data overlap)</t>
  </si>
  <si>
    <t>Personal data legal protection — fills privacy governance gap</t>
  </si>
  <si>
    <t>PDPL-2021 (implements); NDMO-DGF (coordinates)</t>
  </si>
  <si>
    <t>PDPL-2021 (same framework family)</t>
  </si>
  <si>
    <t>Health data provisions specificity — fills PDPL implementation detail gap</t>
  </si>
  <si>
    <t>SDAIA/NDMO</t>
  </si>
  <si>
    <t>PDPL-2021 (feeds into); DGA-ODP (open data); MOH-HIS (health data standards)</t>
  </si>
  <si>
    <t>PDPL-2021 (some overlap)</t>
  </si>
  <si>
    <t>Government data governance baseline — fills government data management gap</t>
  </si>
  <si>
    <t>AI Ethics Principles</t>
  </si>
  <si>
    <t>G</t>
  </si>
  <si>
    <t>GUIDELINE</t>
  </si>
  <si>
    <t>SFDA-AI-MDS-G010 (clinical AI); SDAIA-AI-ADO (adoption)</t>
  </si>
  <si>
    <t>AI ethics framework — fills ethical AI governance gap</t>
  </si>
  <si>
    <t>Tier 3: Guidance</t>
  </si>
  <si>
    <t>HEALTHCARE CLINICAL GOVERNANCE</t>
  </si>
  <si>
    <t>MOH-HIS; MOH-TELE; MOH-PS; MOH-PR; MOH-PHILAW; SFDA-MDR</t>
  </si>
  <si>
    <t>Foundation legal basis for all healthcare regulation</t>
  </si>
  <si>
    <t>NHIC-NABIDH (interoperability); NCA-ECC-2 (security); PDPL (data); CBAHI-HAS-H (HIT chapter)</t>
  </si>
  <si>
    <t>NHIC-NABIDH (overlap)</t>
  </si>
  <si>
    <t>Clinical information governance — fills HIS compliance gap</t>
  </si>
  <si>
    <t>MOH-HIS (context); NHIC-INTEROP (standards); CCHI-DCS (claims integration)</t>
  </si>
  <si>
    <t>MOH-HIS (same domain)</t>
  </si>
  <si>
    <t>National EHR platform — fills interoperability governance gap</t>
  </si>
  <si>
    <t>PDPL-2021 (data); CCHI-HIR (insurance coverage); CST-DPS (platform); SCFHS-PLF (clinician)</t>
  </si>
  <si>
    <t>CST-DPS (platform overlap)</t>
  </si>
  <si>
    <t>Telehealth platform governance — fills remote care regulatory gap</t>
  </si>
  <si>
    <t>CBAHI-HAS-H (accreditation); SFDA-MDR (device safety); MOH-HIS</t>
  </si>
  <si>
    <t>Patient safety framework — fills clinical safety governance gap</t>
  </si>
  <si>
    <t>MOH-HIS (HIT); MOH-PS (safety); NCA-ECC-2 (cybersecurity chapter needed)</t>
  </si>
  <si>
    <t>Quality assurance mechanism — fills hospital quality governance gap</t>
  </si>
  <si>
    <t>PROGRAMME</t>
  </si>
  <si>
    <t>All MOH frameworks (delivery mechanism); NHIC-NABIDH (digital target); CCHI-HIR (insurance)</t>
  </si>
  <si>
    <t>Strategic governance — fills Vision 2030 health sector direction gap</t>
  </si>
  <si>
    <t>DEVICE &amp; PRODUCT GOVERNANCE</t>
  </si>
  <si>
    <t>SFDA-PMS (post-market); SFDA-AI-MDS-G010 (AI devices); SASO-PS (safety); NCA-OTCC (IoMT security)</t>
  </si>
  <si>
    <t>NCA-OTCC (device OT governance overlap)</t>
  </si>
  <si>
    <t>Device registration/safety — fills medical device lifecycle governance gap</t>
  </si>
  <si>
    <t>AI Medical Devices Guidance</t>
  </si>
  <si>
    <t>GUIDELINE (→ MANDATORY)</t>
  </si>
  <si>
    <t>SFDA-MDR (builds on); SDAIA-AI-ETH (ethics); CST-IOT (connectivity)</t>
  </si>
  <si>
    <t>SDAIA-AI-ETH (AI governance overlap)</t>
  </si>
  <si>
    <t>AI device governance — fills AI/ML medical device regulatory gap</t>
  </si>
  <si>
    <t>SFDA-MDR (device regulation); NCA-OTCC (OT security); SASO-PS (product safety)</t>
  </si>
  <si>
    <t>SFDA-MDR (connectivity regulation overlap)</t>
  </si>
  <si>
    <t>IoT device market entry — fills connected device regulatory gap</t>
  </si>
  <si>
    <t>Product Safety Regulations</t>
  </si>
  <si>
    <t>SFDA-MDR (device safety aligned); CST-IOT (IoT device safety)</t>
  </si>
  <si>
    <t>SFDA-MDR (some overlap for medical devices)</t>
  </si>
  <si>
    <t>Product technical safety — fills product safety pre-market gap</t>
  </si>
  <si>
    <t>WORKFORCE GOVERNANCE</t>
  </si>
  <si>
    <t>MHRSD-NITAQAT (Saudisation); MOH-HIS (digital health competency); SCFHS-CPD</t>
  </si>
  <si>
    <t>Workforce governance — fills clinical professional licensing gap</t>
  </si>
  <si>
    <t>NCA-ECC-2 (cybersecurity roles); SCFHS-PLF (clinical Saudisation); GOSI-OIL</t>
  </si>
  <si>
    <t>Workforce Saudisation — fills national workforce governance gap</t>
  </si>
  <si>
    <t>OSH Regulations</t>
  </si>
  <si>
    <t>MHRSD-LL (labour law); GOSI-OIL (injury reporting); CBAHI-HAS-H (safety)</t>
  </si>
  <si>
    <t>Worker safety — fills occupational health governance gap</t>
  </si>
  <si>
    <t>INSURANCE &amp; FINANCIAL</t>
  </si>
  <si>
    <t>SAMA-CSF (insurer cybersecurity); SFDA-MDR (IoMT coverage); MOH-TELE (telehealth coverage)</t>
  </si>
  <si>
    <t>SAMA-CSF (insurer regulation overlap)</t>
  </si>
  <si>
    <t>Health insurance governance — fills insurance regulatory gap</t>
  </si>
  <si>
    <t>NCA-ECC-2 (aligns/overlaps); CCHI-HIR (insurer compliance); IAIC-CSF</t>
  </si>
  <si>
    <t>NCA-ECC-2 (same scope for financial sector)</t>
  </si>
  <si>
    <t>Financial sector cybersecurity — fills SAMA-regulated insurer gap</t>
  </si>
  <si>
    <t>INTERNATIONAL BENCHMARKS</t>
  </si>
  <si>
    <t>NIST Cybersecurity Framework 2.0</t>
  </si>
  <si>
    <t>NCA-ECC-2 (referenced); ISO 27001 (mapped); IEC 62443 (OT integration)</t>
  </si>
  <si>
    <t>Global GRC reference — fills international benchmarking gap</t>
  </si>
  <si>
    <t>Tier 3: Benchmark</t>
  </si>
  <si>
    <t>VOLUNTARY (certifiable)</t>
  </si>
  <si>
    <t>NCA-ECC-2 (referenced); ISO 27799 (healthcare extension); SAMA-CSF (aligns)</t>
  </si>
  <si>
    <t>Certifiable ISMS — fills third-party assurance gap</t>
  </si>
  <si>
    <t>ISO 27001 (extends); MOH-HIS (aligns); CBAHI-HAS-H (HIT chapter)</t>
  </si>
  <si>
    <t>Healthcare ISMS — fills healthcare-specific ISO gap</t>
  </si>
  <si>
    <t>ICS/OT/IoMT Security</t>
  </si>
  <si>
    <t>VOLUNTARY (→ mandatory via OTCC)</t>
  </si>
  <si>
    <t>NCA-OTCC (references); SFDA-MDR (device security); ISO 27001 (maps)</t>
  </si>
  <si>
    <t>NCA-OTCC (scope overlap)</t>
  </si>
  <si>
    <t>OT/IoMT technical security — fills industrial IoT security gap</t>
  </si>
  <si>
    <t>ISO 27001 (integrates); NIST CSF (maps); HIPAA (US — reference)</t>
  </si>
  <si>
    <t>Integrated healthcare GRC — fills unified health compliance assurance gap</t>
  </si>
  <si>
    <t>Cyber Risk</t>
  </si>
  <si>
    <t>Privacy Risk</t>
  </si>
  <si>
    <t>Clinical/Patient Safety</t>
  </si>
  <si>
    <t>Operational Risk</t>
  </si>
  <si>
    <t>Regulatory/Legal Risk</t>
  </si>
  <si>
    <t>Reputational Risk</t>
  </si>
  <si>
    <t>Strategic Risk</t>
  </si>
  <si>
    <t>Supply Chain Risk</t>
  </si>
  <si>
    <t>Financial Risk</t>
  </si>
  <si>
    <t>Availability Risk</t>
  </si>
  <si>
    <t>Cross-Border Risk</t>
  </si>
  <si>
    <t>Coverage Score (✓✓=Primary, ✓=Partial)</t>
  </si>
  <si>
    <t>✓✓ PRIMARY</t>
  </si>
  <si>
    <t>✓ Partial</t>
  </si>
  <si>
    <t>13/22</t>
  </si>
  <si>
    <t>11/22</t>
  </si>
  <si>
    <t>6/22</t>
  </si>
  <si>
    <t>5/22</t>
  </si>
  <si>
    <t>7/22</t>
  </si>
  <si>
    <t>4/22</t>
  </si>
  <si>
    <t>9/22</t>
  </si>
  <si>
    <t>8/22</t>
  </si>
  <si>
    <t>10/22</t>
  </si>
  <si>
    <t>2. HC &amp; Life Sciences</t>
  </si>
  <si>
    <t>3. Cyber &amp; Data</t>
  </si>
  <si>
    <t>4. ICT/Telecom</t>
  </si>
  <si>
    <t>5. Financial</t>
  </si>
  <si>
    <t>6. Tax/Customs</t>
  </si>
  <si>
    <t>7. Standards</t>
  </si>
  <si>
    <t>10. Transport</t>
  </si>
  <si>
    <t>12. Education</t>
  </si>
  <si>
    <t>13. Legal</t>
  </si>
  <si>
    <t>14. Labour &amp; OSH</t>
  </si>
  <si>
    <t>15. Special Zones</t>
  </si>
  <si>
    <t>16. Councils</t>
  </si>
  <si>
    <t>17. Regional HC Clusters</t>
  </si>
  <si>
    <t>Coverage Count</t>
  </si>
  <si>
    <t>ECC-2 Cybersecurity</t>
  </si>
  <si>
    <t>Y</t>
  </si>
  <si>
    <t>17/17</t>
  </si>
  <si>
    <t>P</t>
  </si>
  <si>
    <t>N</t>
  </si>
  <si>
    <t>14/17</t>
  </si>
  <si>
    <t>Cloud Security Controls</t>
  </si>
  <si>
    <t>Data Cybersecurity</t>
  </si>
  <si>
    <t>PDPL Implementing Regs</t>
  </si>
  <si>
    <t>Labour Law</t>
  </si>
  <si>
    <t>Saudisation (Private)</t>
  </si>
  <si>
    <t>E-Invoicing Phase 2</t>
  </si>
  <si>
    <t>VAT Regulations</t>
  </si>
  <si>
    <t>GOSI Occupational Injury</t>
  </si>
  <si>
    <t>Cloud First Policy (Gov)</t>
  </si>
  <si>
    <t>16/17</t>
  </si>
  <si>
    <t>Product Safety Regs</t>
  </si>
  <si>
    <t>13/17</t>
  </si>
  <si>
    <t>NAZAHA-ACL</t>
  </si>
  <si>
    <t>Anti-Corruption Law</t>
  </si>
  <si>
    <t>MOCI-CL</t>
  </si>
  <si>
    <t>Companies Law</t>
  </si>
  <si>
    <t>ISO 27001 ISMS</t>
  </si>
  <si>
    <t>NIST CSF 2.0 (Benchmark)</t>
  </si>
  <si>
    <t>IEC 62443 OT Security</t>
  </si>
  <si>
    <t>MOH Health Info System</t>
  </si>
  <si>
    <t>2/17</t>
  </si>
  <si>
    <t>CBAHI Hospital Accreditation</t>
  </si>
  <si>
    <t>SFDA Medical Device Regs</t>
  </si>
  <si>
    <t>3/17</t>
  </si>
  <si>
    <t>Telecom &amp; IT Act</t>
  </si>
  <si>
    <t>1/17</t>
  </si>
  <si>
    <t>ECRA-EL</t>
  </si>
  <si>
    <t>KACARE-NRL</t>
  </si>
  <si>
    <t>Nuclear &amp; Radiation Regs</t>
  </si>
  <si>
    <t>GACA-AVLAW</t>
  </si>
  <si>
    <t>MISA-IL</t>
  </si>
  <si>
    <t>NEOM-IOTGOV</t>
  </si>
  <si>
    <t>NEOM IoT Governance</t>
  </si>
  <si>
    <t>MEWA-EL</t>
  </si>
  <si>
    <t>Environment Law</t>
  </si>
  <si>
    <t>Audit ID</t>
  </si>
  <si>
    <t>Sector</t>
  </si>
  <si>
    <t>Audit Area</t>
  </si>
  <si>
    <t>Framework(s) Covered</t>
  </si>
  <si>
    <t>Auditor</t>
  </si>
  <si>
    <t>Frequency</t>
  </si>
  <si>
    <t>Scope / Who</t>
  </si>
  <si>
    <t>Key Evidence Tested</t>
  </si>
  <si>
    <t>Risk Rating</t>
  </si>
  <si>
    <t>Est. Days</t>
  </si>
  <si>
    <t>Regulatory Deadline</t>
  </si>
  <si>
    <t>AU-X001</t>
  </si>
  <si>
    <t>ALL SECTORS</t>
  </si>
  <si>
    <t>NCA ECC-2 Annual Cybersecurity Compliance</t>
  </si>
  <si>
    <t>Self-Assessment + NCA External</t>
  </si>
  <si>
    <t>NCA Supervisory Affairs</t>
  </si>
  <si>
    <t>Annual self; 2-3yr external</t>
  </si>
  <si>
    <t>All gov. entities + private CNI across all sectors</t>
  </si>
  <si>
    <t>ECC self-assessment report; policy register; access logs; patch evidence; staff awareness records; CISO appointment</t>
  </si>
  <si>
    <t>CRITICAL</t>
  </si>
  <si>
    <t>15-30 d</t>
  </si>
  <si>
    <t>Annual — Q4 submission</t>
  </si>
  <si>
    <t>AU-X002</t>
  </si>
  <si>
    <t>PDPL Personal Data Compliance</t>
  </si>
  <si>
    <t>PDPL-2021; PDPL-IR-2023</t>
  </si>
  <si>
    <t>Internal Privacy Audit + SDAIA Triggered</t>
  </si>
  <si>
    <t>DPO / SDAIA</t>
  </si>
  <si>
    <t>Annual + breach-triggered</t>
  </si>
  <si>
    <t>All entities processing personal data of KSA residents in any sector</t>
  </si>
  <si>
    <t>DPIA register; consent records; data flow maps; DPO appointment; breach log; controller registration</t>
  </si>
  <si>
    <t>10-15 d</t>
  </si>
  <si>
    <t>Continuous (breach: 72h); Annual audit</t>
  </si>
  <si>
    <t>AU-X003</t>
  </si>
  <si>
    <t>ZATCA E-Invoicing Phase 2 Compliance</t>
  </si>
  <si>
    <t>ZATCA Technical Audit + Self-verification</t>
  </si>
  <si>
    <t>ZATCA Fatoora Compliance Team</t>
  </si>
  <si>
    <t>Continuous (automated); Annual audit</t>
  </si>
  <si>
    <t>All VAT-registered entities in all sectors (businesses, government commercial activities)</t>
  </si>
  <si>
    <t>ZATCA integration certificate; API connection logs; cryptographic stamp evidence; invoice archive; Phase 2 go-live date</t>
  </si>
  <si>
    <t>5-10 d</t>
  </si>
  <si>
    <t>Annual; Phase 2 rollout completion 2025</t>
  </si>
  <si>
    <t>AU-X004</t>
  </si>
  <si>
    <t>Saudisation / Nitaqat Workforce Compliance</t>
  </si>
  <si>
    <t>MHRSD-NITAQAT; NCA-ECC-2 (cyber roles)</t>
  </si>
  <si>
    <t>Qiwa Automated + MHRSD Inspection</t>
  </si>
  <si>
    <t>MHRSD Labour Inspection</t>
  </si>
  <si>
    <t>Continuous automated; Quarterly rating; Spot inspection</t>
  </si>
  <si>
    <t>All private sector employers — all 17 sector groups</t>
  </si>
  <si>
    <t>Qiwa Nitaqat rating; GOSI registration; Saudi employee contracts; job classification records; cybersecurity Saudisation evidence</t>
  </si>
  <si>
    <t>1-3 d</t>
  </si>
  <si>
    <t>Quarterly rating update; Oct 2025 (cyber Saudisation)</t>
  </si>
  <si>
    <t>AU-X005</t>
  </si>
  <si>
    <t>Supply Chain &amp; Third-Party Security Audit</t>
  </si>
  <si>
    <t>NCA-ECC-2 Domain 4; SAMA-CSF; SFDA-MDR; ISO-27001</t>
  </si>
  <si>
    <t>Third-Party Risk Assessment + Vendor Audit</t>
  </si>
  <si>
    <t>Internal GRC; External Assessors</t>
  </si>
  <si>
    <t>Annual (critical vendors); Biennial (standard)</t>
  </si>
  <si>
    <t>All critical technology, goods, and service vendors across all sectors</t>
  </si>
  <si>
    <t>Vendor risk questionnaires; contractual ECC compliance clauses; vendor ISO 27001 / SOC 2 certificates; subprocessor register</t>
  </si>
  <si>
    <t>15-25 d</t>
  </si>
  <si>
    <t>Annual vendor review cycle</t>
  </si>
  <si>
    <t>AU-X006</t>
  </si>
  <si>
    <t>OT/CNI Cybersecurity Assessment</t>
  </si>
  <si>
    <t>NCA-OTCC-1:2022; IEC-62443</t>
  </si>
  <si>
    <t>OT Technical Assessment + NCA Audit</t>
  </si>
  <si>
    <t>NCA OT Specialist; Claroty/Nozomi/Dragos</t>
  </si>
  <si>
    <t>Annual internal; Biennial NCA</t>
  </si>
  <si>
    <t>All sectors with OT/ICS/CNI: Energy, Healthcare, Transport, Industry, Water, Telecom</t>
  </si>
  <si>
    <t>OT asset inventory; zone/conduit diagrams; patch compliance; vendor access logs; ICS risk assessment; OT incident log</t>
  </si>
  <si>
    <t>Biennial NCA OT audit cycle</t>
  </si>
  <si>
    <t>AU-X007</t>
  </si>
  <si>
    <t>Cloud Security Compliance Audit</t>
  </si>
  <si>
    <t>NCA-CCC-1:2020; CST-CCR; DGA-CFP</t>
  </si>
  <si>
    <t>Cloud Security Assessment + CSP Audit</t>
  </si>
  <si>
    <t>NCA Cloud Team; DGA; Accredited CSPM</t>
  </si>
  <si>
    <t>Annual; triggered by cloud change</t>
  </si>
  <si>
    <t>All entities using cloud services — all sectors</t>
  </si>
  <si>
    <t>Cloud architecture diagrams; encryption evidence; access management review; CSP CCC certificate; data residency evidence; DGA Cloud First pre-approval</t>
  </si>
  <si>
    <t>10-20 d</t>
  </si>
  <si>
    <t>Annual aligned with ECC cycle</t>
  </si>
  <si>
    <t>AU-X008</t>
  </si>
  <si>
    <t>Business Continuity / Disaster Recovery Test</t>
  </si>
  <si>
    <t>NCA-ECC-2; SAMA-CSF-BCM; ISO-22301</t>
  </si>
  <si>
    <t>BCP/DR Test</t>
  </si>
  <si>
    <t>Internal BCP Team; External Facilitator</t>
  </si>
  <si>
    <t>Annual tabletop; Biennial full failover</t>
  </si>
  <si>
    <t>All ECC-2 and SAMA-CSF scope entities — all CNI sectors</t>
  </si>
  <si>
    <t>BCP plan; DR test results; RTO/RPO achievement; alternative site activation; vendor failover test; NCA notification test</t>
  </si>
  <si>
    <t>3-5 d</t>
  </si>
  <si>
    <t>Annual BCP cycle</t>
  </si>
  <si>
    <t>AU-X009</t>
  </si>
  <si>
    <t>Incident Response Capability Assessment</t>
  </si>
  <si>
    <t>NCA-ECC-2; SAMA-CSF; ISO-27001</t>
  </si>
  <si>
    <t>Tabletop Exercise + IR Plan Review</t>
  </si>
  <si>
    <t>CISO; External Red Team</t>
  </si>
  <si>
    <t>Annual tabletop; Biennial red team</t>
  </si>
  <si>
    <t>All NCA ECC-2 scope entities across all sectors</t>
  </si>
  <si>
    <t>IR plan; tabletop report; NCA 24h notification test; SDAIA 72h breach test; SFDA adverse event notification test; lessons-learned log</t>
  </si>
  <si>
    <t>AU-X010</t>
  </si>
  <si>
    <t>Physical Security &amp; Environmental Controls</t>
  </si>
  <si>
    <t>NCA-ECC-2; SASO-PS; OSH-REGS</t>
  </si>
  <si>
    <t>Physical Inspection</t>
  </si>
  <si>
    <t>Facilities Management; NCA (server rooms); MHRSD OSH</t>
  </si>
  <si>
    <t>All entities with physical premises and IT infrastructure</t>
  </si>
  <si>
    <t>Physical access logs; CCTV records; server room access control; equipment maintenance; fire suppression; OSH compliance certificate</t>
  </si>
  <si>
    <t>2-3 d</t>
  </si>
  <si>
    <t>AU-X011</t>
  </si>
  <si>
    <t>Privacy Training &amp; Awareness Compliance</t>
  </si>
  <si>
    <t>PDPL-2021; NCA-ECC-2 (awareness)</t>
  </si>
  <si>
    <t>Internal Training Audit</t>
  </si>
  <si>
    <t>DPO; HR</t>
  </si>
  <si>
    <t>All entities — all staff must have cybersecurity + privacy training</t>
  </si>
  <si>
    <t>LMS completion records; training materials; test results; training calendar; new hire onboarding proof</t>
  </si>
  <si>
    <t>2-5 d</t>
  </si>
  <si>
    <t>Annual; new hire onboarding</t>
  </si>
  <si>
    <t>AU-X012</t>
  </si>
  <si>
    <t>AI Governance Compliance</t>
  </si>
  <si>
    <t>SDAIA-AI-ETH; SDAIA-AI-ADO; SDAIA-GENAI</t>
  </si>
  <si>
    <t>AI Risk Assessment + Internal Audit</t>
  </si>
  <si>
    <t>AI Governance Committee; SDAIA (triggered)</t>
  </si>
  <si>
    <t>All entities deploying AI — all sectors: AI in manufacturing, finance, healthcare, transport, education</t>
  </si>
  <si>
    <t>AI use case register; ethics review records; AI risk assessments; AI adoption framework compliance; GenAI usage policy</t>
  </si>
  <si>
    <t>Annual; pre-deployment for high-risk AI</t>
  </si>
  <si>
    <t>AU-X013</t>
  </si>
  <si>
    <t>ISO 27001 Certification / Surveillance</t>
  </si>
  <si>
    <t>Certification or Surveillance Audit</t>
  </si>
  <si>
    <t>Accredited CB (BSI/TÜV/SGS)</t>
  </si>
  <si>
    <t>Annual surveillance; 3yr recertification</t>
  </si>
  <si>
    <t>Entities seeking/maintaining ISO 27001 certification — all sectors</t>
  </si>
  <si>
    <t>SoA; risk register; internal audit reports; management review; ISMS policy; corrective action records; certificate</t>
  </si>
  <si>
    <t>AU-X014</t>
  </si>
  <si>
    <t>Corporate Governance &amp; Listing Compliance</t>
  </si>
  <si>
    <t>CMA-CML; CMA-CGR; CMA-LR; SAFCSP-IFRS</t>
  </si>
  <si>
    <t>CMA / External Auditor</t>
  </si>
  <si>
    <t>CMA + External Auditor (Big 4)</t>
  </si>
  <si>
    <t>All publicly listed companies — all sectors (energy, healthcare, finance, telecom, industry)</t>
  </si>
  <si>
    <t>Annual report; corporate governance report; audit committee report; related-party disclosures; IFRS financial statements; cybersecurity risk disclosure</t>
  </si>
  <si>
    <t>20-30 (annual audit) d</t>
  </si>
  <si>
    <t>Annual; AGM deadline</t>
  </si>
  <si>
    <t>AU-F001</t>
  </si>
  <si>
    <t>SAMA Cybersecurity Framework Self-Assessment</t>
  </si>
  <si>
    <t>Annual Self-Assessment + 3yr External</t>
  </si>
  <si>
    <t>SAMA Supervisory Technology Dept</t>
  </si>
  <si>
    <t>Annual self; 3yr external</t>
  </si>
  <si>
    <t>Banks; Insurance; Financing; Fintechs; Payment providers; All SAMA-regulated</t>
  </si>
  <si>
    <t>SAMA-CSF self-assessment report; maturity scores; pen test; BCP test; training records</t>
  </si>
  <si>
    <t>20-30 d</t>
  </si>
  <si>
    <t>Q1 annual SAMA submission</t>
  </si>
  <si>
    <t>AU-F002</t>
  </si>
  <si>
    <t>AML/CTF Compliance Audit</t>
  </si>
  <si>
    <t>SAMA-AML; MOI-AML</t>
  </si>
  <si>
    <t>SAMA Examination + Internal Audit</t>
  </si>
  <si>
    <t>SAMA; SAFIU (intelligence)</t>
  </si>
  <si>
    <t>All SAMA-regulated + CCHI (health insurance)</t>
  </si>
  <si>
    <t>KYC records; transaction monitoring logs; SAR/STR reports; correspondent banking due diligence; PEP screening records</t>
  </si>
  <si>
    <t>Annual; FATF evaluation alignment</t>
  </si>
  <si>
    <t>AU-F003</t>
  </si>
  <si>
    <t>Capital Market Disclosure Compliance</t>
  </si>
  <si>
    <t>CMA-CML; CMA-CGR; CMA-LR</t>
  </si>
  <si>
    <t>CMA Examination + External Audit</t>
  </si>
  <si>
    <t>CMA; External Auditor</t>
  </si>
  <si>
    <t>Continuous (disclosure); Annual (audit)</t>
  </si>
  <si>
    <t>All Tadawul-listed companies — any sector with public listing</t>
  </si>
  <si>
    <t>Continuous disclosure filings; annual report; insider trading controls; material event notifications; cybersecurity risk disclosure</t>
  </si>
  <si>
    <t>Continuous; Annual AGM</t>
  </si>
  <si>
    <t>AU-F004</t>
  </si>
  <si>
    <t>Insurance Regulatory Compliance</t>
  </si>
  <si>
    <t>IAIC-COILAW; CCHI-HIR; SAMA-CSF</t>
  </si>
  <si>
    <t>SAMA/IAIC Supervisory Examination</t>
  </si>
  <si>
    <t>SAMA; IAIC; CCHI</t>
  </si>
  <si>
    <t>All insurance companies (health, life, general, takaful)</t>
  </si>
  <si>
    <t>Licence certificate; actuarial reports; solvency evidence; reinsurance treaties; policy wordings; cybersecurity framework compliance</t>
  </si>
  <si>
    <t>15-20 d</t>
  </si>
  <si>
    <t>Annual SAMA/IAIC cycle</t>
  </si>
  <si>
    <t>AU-F005</t>
  </si>
  <si>
    <t>Open Banking &amp; Payment Security Audit</t>
  </si>
  <si>
    <t>SAMA-OBF; SAMA-PSR; PCI-DSS</t>
  </si>
  <si>
    <t>Technical Security Assessment + SAMA</t>
  </si>
  <si>
    <t>SAMA; External PCI-QSA</t>
  </si>
  <si>
    <t>Banks; Fintechs; Payment service providers</t>
  </si>
  <si>
    <t>API security assessment; PCI-DSS ROC; consumer consent management; third-party payment API audit</t>
  </si>
  <si>
    <t>AU-H001</t>
  </si>
  <si>
    <t>NABIDH/EMR Interoperability Compliance</t>
  </si>
  <si>
    <t>MOH-HIS; MOH-EMR-NABIDH; NHIC-NABIDH</t>
  </si>
  <si>
    <t>Technical Test + MOH Audit</t>
  </si>
  <si>
    <t>NHIC; MOH DHI</t>
  </si>
  <si>
    <t>Annual; continuous connectivity monitoring</t>
  </si>
  <si>
    <t>All licensed healthcare facilities — hospitals, clinics, labs, pharmacies</t>
  </si>
  <si>
    <t>NABIDH connectivity certificate; API conformance; FHIR test results; data quality score</t>
  </si>
  <si>
    <t>Annual MOH licence renewal</t>
  </si>
  <si>
    <t>AU-H002</t>
  </si>
  <si>
    <t>Medical Device Registration &amp; PMS Audit</t>
  </si>
  <si>
    <t>SFDA-MDR; SFDA-PMS; SASO-PS</t>
  </si>
  <si>
    <t>SFDA Inspection + Internal Audit</t>
  </si>
  <si>
    <t>SFDA Inspectors; Internal MDO</t>
  </si>
  <si>
    <t>Pre-market + Annual post-market</t>
  </si>
  <si>
    <t>Hospitals; Clinics; Device manufacturers; Importers; Distributors</t>
  </si>
  <si>
    <t>SFDA registration certificates; UDID database; adverse event reports; FSCA completion; device inventory; SABER certificates</t>
  </si>
  <si>
    <t>Pre-market: before deployment</t>
  </si>
  <si>
    <t>AU-H003</t>
  </si>
  <si>
    <t>CBAHI Accreditation Survey</t>
  </si>
  <si>
    <t>CBAHI-HAS-H; CBAHI-HAS-PHC</t>
  </si>
  <si>
    <t>CBAHI Survey</t>
  </si>
  <si>
    <t>CBAHI Survey Teams</t>
  </si>
  <si>
    <t>Full: 3yr; Midterm: 18 months</t>
  </si>
  <si>
    <t>Hospitals; PHC centres; Laboratories; Ambulatory centres</t>
  </si>
  <si>
    <t>Policy docs; staff credential files; quality committee minutes; HIT audit; patient satisfaction; incident reports</t>
  </si>
  <si>
    <t>5-7 d</t>
  </si>
  <si>
    <t>3yr accreditation cycle</t>
  </si>
  <si>
    <t>AU-H004</t>
  </si>
  <si>
    <t>Health Insurance CCHI Compliance</t>
  </si>
  <si>
    <t>CCHI-HIR; CCHI-UBP; CCHI-DCS</t>
  </si>
  <si>
    <t>CCHI Audit</t>
  </si>
  <si>
    <t>CCHI Compliance Dept</t>
  </si>
  <si>
    <t>Health insurers; all employers with staff insurance obligations; providers in insurance networks</t>
  </si>
  <si>
    <t>CCHI licence; UBP checklist; e-claims system; provider network adequacy; fraud detection records</t>
  </si>
  <si>
    <t>Annual licence renewal</t>
  </si>
  <si>
    <t>AU-H005</t>
  </si>
  <si>
    <t>Telemedicine Platform Licence Audit</t>
  </si>
  <si>
    <t>MOH-TELE; CST-DPS; PDPL</t>
  </si>
  <si>
    <t>MOH Licence Audit + Security Assessment</t>
  </si>
  <si>
    <t>MOH eHealth; CST; CCHI</t>
  </si>
  <si>
    <t>Platform licence; consent records; identity verification logs; NABIDH integration; CCHI insurance coverage</t>
  </si>
  <si>
    <t>AU-H006</t>
  </si>
  <si>
    <t>Clinical Professional Licensing Audit</t>
  </si>
  <si>
    <t>SCFHS-PLF; SCFHS-CPD; MHRSD-NITAQAT</t>
  </si>
  <si>
    <t>SCFHS Verification + HR Audit</t>
  </si>
  <si>
    <t>SCFHS; Internal HR</t>
  </si>
  <si>
    <t>Monthly (licence check); Annual (HR audit)</t>
  </si>
  <si>
    <t>All healthcare employers — hospitals, clinics, labs, pharmacies</t>
  </si>
  <si>
    <t>SCFHS licence currency for all clinical staff; CPD records; revalidation status; Qiwa Saudisation</t>
  </si>
  <si>
    <t>2-3 (HR audit) d</t>
  </si>
  <si>
    <t>Monthly licence check; Annual formal audit</t>
  </si>
  <si>
    <t>AU-H007</t>
  </si>
  <si>
    <t>AI Medical Device Governance Audit</t>
  </si>
  <si>
    <t>SFDA-AI-MDS-G010; SDAIA-AI-ETH</t>
  </si>
  <si>
    <t>Pre-Market + Post-Market Performance Review</t>
  </si>
  <si>
    <t>SFDA AI Unit; Internal AI Safety Officer</t>
  </si>
  <si>
    <t>Pre-deployment + Quarterly monitoring</t>
  </si>
  <si>
    <t>All entities deploying AI diagnostics/therapeutic devices</t>
  </si>
  <si>
    <t>Algorithm validation; PCCP; real-world performance data; clinician training; adverse event log</t>
  </si>
  <si>
    <t>Pre-deployment; Quarterly monitoring</t>
  </si>
  <si>
    <t>AU-E001</t>
  </si>
  <si>
    <t>Energy &amp; Utilities</t>
  </si>
  <si>
    <t>Electricity Regulatory Compliance</t>
  </si>
  <si>
    <t>ECRA-EL; ECRA-GRID</t>
  </si>
  <si>
    <t>ECRA Regulatory Inspection</t>
  </si>
  <si>
    <t>Annual + triggered</t>
  </si>
  <si>
    <t>Electricity generators; distributors; large consumers (hospitals, factories, airports)</t>
  </si>
  <si>
    <t>Electricity licence; metering accuracy; tariff compliance; grid connection agreement; outage reporting</t>
  </si>
  <si>
    <t>AU-E002</t>
  </si>
  <si>
    <t>OT/SCADA Critical Infrastructure Audit</t>
  </si>
  <si>
    <t>NCA-OTCC; IEC-62443; MOENER-EL</t>
  </si>
  <si>
    <t>OT Technical Assessment</t>
  </si>
  <si>
    <t>NCA OT Specialists; Sector regulator (ECRA/KACARE)</t>
  </si>
  <si>
    <t>Annual; NCA biennial</t>
  </si>
  <si>
    <t>Power plants; water treatment; desalination; pipelines; grid control centres — all energy CNI</t>
  </si>
  <si>
    <t>OT asset inventory; SCADA network diagrams; patch compliance; vendor access logs; OTCC self-assessment</t>
  </si>
  <si>
    <t>Biennial NCA; Annual internal</t>
  </si>
  <si>
    <t>AU-E003</t>
  </si>
  <si>
    <t>Nuclear &amp; Radiation Safety Compliance</t>
  </si>
  <si>
    <t>KACARE-NRL; KACARE-RPR; IAEA safeguards</t>
  </si>
  <si>
    <t>KACARE Inspection + IAEA Review</t>
  </si>
  <si>
    <t>KACARE; IAEA</t>
  </si>
  <si>
    <t>Nuclear medicine facilities; radiation therapy centres; industrial radiation users</t>
  </si>
  <si>
    <t>Radiation source register; licence; dosimetry records; emergency plan; KACARE inspection certificate; IAEA safeguards agreement</t>
  </si>
  <si>
    <t>Annual; IAEA reporting cycle</t>
  </si>
  <si>
    <t>AU-E004</t>
  </si>
  <si>
    <t>Water Safety &amp; Quality Compliance</t>
  </si>
  <si>
    <t>NWC-WQ; SWCC-WS; MEWA-WL</t>
  </si>
  <si>
    <t>Quality Audit + Regulatory Inspection</t>
  </si>
  <si>
    <t>MEWA; NWC; Municipality</t>
  </si>
  <si>
    <t>Monthly (water quality testing); Annual (regulatory)</t>
  </si>
  <si>
    <t>Desalination plants; water networks; distribution companies</t>
  </si>
  <si>
    <t>Water quality test results; treatment records; distribution system maintenance; consumer complaint log; supply continuity report</t>
  </si>
  <si>
    <t>Monthly testing; Annual audit</t>
  </si>
  <si>
    <t>AU-T001</t>
  </si>
  <si>
    <t>ICT/Telecom Regulatory Compliance</t>
  </si>
  <si>
    <t>CST-TITA; CST-CSRF; CST-CYBER-OPS</t>
  </si>
  <si>
    <t>CST Regulatory Audit</t>
  </si>
  <si>
    <t>CST Technical Regulation Dept</t>
  </si>
  <si>
    <t>Annual; triggered by incident</t>
  </si>
  <si>
    <t>Telecom operators (STC, Mobily, Zain); ISPs; ICT service providers</t>
  </si>
  <si>
    <t>Telecom licence; CST cybersecurity framework compliance; network resilience evidence; incident reports; consumer SLA compliance</t>
  </si>
  <si>
    <t>AU-T002</t>
  </si>
  <si>
    <t>Cloud Provider Regulatory Audit</t>
  </si>
  <si>
    <t>CST-CCR; NCA-CCC; DGA-CFP</t>
  </si>
  <si>
    <t>Cloud Licensing + Security Assessment</t>
  </si>
  <si>
    <t>CST; NCA; DGA</t>
  </si>
  <si>
    <t>Cloud service providers operating in KSA (AWS, Azure, Google, STC Cloud, Alibaba Cloud)</t>
  </si>
  <si>
    <t>Cloud licence (CST); NCA CCC compliance; data residency evidence; data center security; SLA reports; DGA Cloud First approval</t>
  </si>
  <si>
    <t>Annual CST licence renewal</t>
  </si>
  <si>
    <t>AU-T003</t>
  </si>
  <si>
    <t>Digital Platform &amp; Content Compliance</t>
  </si>
  <si>
    <t>CST-DPS; MOCI-ECL; PDPL</t>
  </si>
  <si>
    <t>CST Audit + MOC Review</t>
  </si>
  <si>
    <t>CST; MOC (content); MOCI</t>
  </si>
  <si>
    <t>Digital content platforms; streaming; social media; e-commerce; health apps; telemedicine platforms</t>
  </si>
  <si>
    <t>Platform licence; content moderation records; data localisation evidence; consumer complaints log; accessibility compliance</t>
  </si>
  <si>
    <t>Annual; CST triggered</t>
  </si>
  <si>
    <t>AU-T004</t>
  </si>
  <si>
    <t>IoT Device Type Approval Audit</t>
  </si>
  <si>
    <t>CST-IOT; SASO-PS; NCA-OTCC</t>
  </si>
  <si>
    <t>Pre-Market Type Approval + Market Surveillance</t>
  </si>
  <si>
    <t>CST Technical; SASO</t>
  </si>
  <si>
    <t>Pre-market; Annual market surveillance</t>
  </si>
  <si>
    <t>IoT device manufacturers; importers — all sectors (medical, industrial, consumer, agricultural)</t>
  </si>
  <si>
    <t>CST type approval certificate; SABER conformity; EMC test report; cybersecurity test (ETSI EN 303 645); device technical file</t>
  </si>
  <si>
    <t>5-10 (per device model) d</t>
  </si>
  <si>
    <t>Pre-market before sale</t>
  </si>
  <si>
    <t>AU-I001</t>
  </si>
  <si>
    <t>Industry &amp; Trade</t>
  </si>
  <si>
    <t>Industrial Facility Compliance</t>
  </si>
  <si>
    <t>MIM-IL; MODON-IL; RCJY-ICS; OSH-REGS</t>
  </si>
  <si>
    <t>MODON/RCJY Inspection + MHRSD OSH</t>
  </si>
  <si>
    <t>MODON; RCJY; MHRSD</t>
  </si>
  <si>
    <t>Industrial zone tenants — manufacturing, pharma, device, food, chemical</t>
  </si>
  <si>
    <t>Industrial licence; environmental compliance; OSH committee records; fire safety; worker health monitoring</t>
  </si>
  <si>
    <t>AU-I002</t>
  </si>
  <si>
    <t>Product Conformity &amp; Safety Audit</t>
  </si>
  <si>
    <t>SASO-PS; SASO-SABER; SFDA-MDR (devices)</t>
  </si>
  <si>
    <t>SABER Compliance + SASO Market Surveillance</t>
  </si>
  <si>
    <t>SASO; SFDA</t>
  </si>
  <si>
    <t>Pre-market; Continuous surveillance</t>
  </si>
  <si>
    <t>All manufacturers and importers of regulated products — all sectors</t>
  </si>
  <si>
    <t>SABER registration; conformity certificates; test reports; product technical files; SFDA registration (medical devices)</t>
  </si>
  <si>
    <t>Pre-market; SABER renewal annual</t>
  </si>
  <si>
    <t>AU-I003</t>
  </si>
  <si>
    <t>Intellectual Property Compliance</t>
  </si>
  <si>
    <t>SAIP-IPL; SAIP-PL</t>
  </si>
  <si>
    <t>SAIP Audit + Legal Review</t>
  </si>
  <si>
    <t>SAIP; Legal Dept</t>
  </si>
  <si>
    <t>Annual; triggered by complaint</t>
  </si>
  <si>
    <t>IP holders across all sectors — pharma patents, tech patents, healthcare software copyright</t>
  </si>
  <si>
    <t>Patent register; trademark certificates; copyright records; IP enforcement actions; licensing agreements</t>
  </si>
  <si>
    <t>Annual IP review</t>
  </si>
  <si>
    <t>AU-I004</t>
  </si>
  <si>
    <t>Foreign Investment Compliance</t>
  </si>
  <si>
    <t>MISA Compliance Review</t>
  </si>
  <si>
    <t>MISA; MCI</t>
  </si>
  <si>
    <t>All foreign-invested entities — all sectors</t>
  </si>
  <si>
    <t>MISA licence; minimum capital evidence; local partner documentation; sector-specific permits; Saudisation compliance</t>
  </si>
  <si>
    <t>Annual MISA licence renewal</t>
  </si>
  <si>
    <t>AU-I005</t>
  </si>
  <si>
    <t>Pharmaceutical GMP Audit</t>
  </si>
  <si>
    <t>SFDA-PHARMA; SFDA-GMP; SFDA-PMS</t>
  </si>
  <si>
    <t>GMP Inspection</t>
  </si>
  <si>
    <t>SFDA GMP Inspectors; PIC/S inspectors</t>
  </si>
  <si>
    <t>Pharmaceutical manufacturers and importers</t>
  </si>
  <si>
    <t>GMP certificate; batch records; QA system documentation; deviation reports; CAPA log; pharmacovigilance reports</t>
  </si>
  <si>
    <t>Annual GMP certificate renewal</t>
  </si>
  <si>
    <t>AU-L001</t>
  </si>
  <si>
    <t>Transport &amp; Logistics</t>
  </si>
  <si>
    <t>Civil Aviation Safety &amp; Security</t>
  </si>
  <si>
    <t>GACA-AVLAW; GACA-MEDTRANS</t>
  </si>
  <si>
    <t>GACA Inspection + ICAO Audit</t>
  </si>
  <si>
    <t>GACA; ICAO</t>
  </si>
  <si>
    <t>Annual; triggered</t>
  </si>
  <si>
    <t>Airlines; airports; MROs; air ambulance operators; air cargo (medical supplies)</t>
  </si>
  <si>
    <t>GACA licence; safety management system; security programme; air operator certificate; medical transport protocols</t>
  </si>
  <si>
    <t>Annual GACA certification</t>
  </si>
  <si>
    <t>AU-L002</t>
  </si>
  <si>
    <t>Port &amp; Customs Compliance</t>
  </si>
  <si>
    <t>MAWANI-PR; ZATCA-CUST; MAWANI-COLDCHAIN</t>
  </si>
  <si>
    <t>MAWANI Inspection + ZATCA Customs Audit</t>
  </si>
  <si>
    <t>MAWANI; ZATCA</t>
  </si>
  <si>
    <t>Annual; continuous customs</t>
  </si>
  <si>
    <t>Port operators; shipping agents; freight forwarders; importers of medical/pharma goods</t>
  </si>
  <si>
    <t>Port operator licence; customs compliance records; cold chain temperature logs (pharma); SFDA import clearance records</t>
  </si>
  <si>
    <t>Annual licence; continuous customs</t>
  </si>
  <si>
    <t>AU-L003</t>
  </si>
  <si>
    <t>Pharmaceutical Cold Chain Audit</t>
  </si>
  <si>
    <t>MAWANI-COLDCHAIN; SFDA-PHARMA; MOT-LOG</t>
  </si>
  <si>
    <t>Cold Chain Compliance Audit</t>
  </si>
  <si>
    <t>SFDA; MAWANI; Logistics auditor</t>
  </si>
  <si>
    <t>Annual; each shipment for critical products</t>
  </si>
  <si>
    <t>Pharmaceutical importers; cold chain logistics providers; hospital pharmacy logistics</t>
  </si>
  <si>
    <t>Temperature records (GDP compliant); cold chain equipment calibration; SFDA import certificate; batch release records</t>
  </si>
  <si>
    <t>Annual; each import shipment</t>
  </si>
  <si>
    <t>AU-Ed001</t>
  </si>
  <si>
    <t>Education &amp; Research</t>
  </si>
  <si>
    <t>Academic Accreditation &amp; Quality Audit</t>
  </si>
  <si>
    <t>ETEC-ACCS; MOE-EL; MOE-MEDU</t>
  </si>
  <si>
    <t>ETEC Accreditation Survey</t>
  </si>
  <si>
    <t>ETEC Accreditation Dept</t>
  </si>
  <si>
    <t>3-year accreditation cycle; Annual monitoring</t>
  </si>
  <si>
    <t>Universities; colleges; medical schools; training institutes</t>
  </si>
  <si>
    <t>Accreditation certificate; programme quality reports; faculty qualifications; research output; student outcomes</t>
  </si>
  <si>
    <t>3yr accreditation cycle; Annual KPI</t>
  </si>
  <si>
    <t>AU-Ed002</t>
  </si>
  <si>
    <t>Research Ethics &amp; Data Governance</t>
  </si>
  <si>
    <t>KAIMRC-IRB; SFDA-CT; PDPL; KAUST-RES</t>
  </si>
  <si>
    <t>IRB Review + Research Audit</t>
  </si>
  <si>
    <t>IRB; SFDA; PDPL (DPO)</t>
  </si>
  <si>
    <t>Per study (pre-approval) + Annual audit</t>
  </si>
  <si>
    <t>All institutions conducting research involving human subjects or personal data</t>
  </si>
  <si>
    <t>IRB approval; informed consent forms; data management plan; SFDA trial registration; PDPL DPIA for research data</t>
  </si>
  <si>
    <t>5-10 (per study) d</t>
  </si>
  <si>
    <t>Pre-study IRB approval; Annual research audit</t>
  </si>
  <si>
    <t>AU-Ed003</t>
  </si>
  <si>
    <t>University Cybersecurity Compliance</t>
  </si>
  <si>
    <t>NCA-ECC-2; PDPL; MOE-EL</t>
  </si>
  <si>
    <t>NCA Self-Assessment + Internal IT Audit</t>
  </si>
  <si>
    <t>NCA; Internal CIO/CISO</t>
  </si>
  <si>
    <t>Universities and research institutions (KSU, KAU, KAUST, KFUPM)</t>
  </si>
  <si>
    <t>ECC self-assessment; student data privacy DPIA; network security posture; research data protection; IT governance policy</t>
  </si>
  <si>
    <t>Annual ECC cycle</t>
  </si>
  <si>
    <t>AU-Env001</t>
  </si>
  <si>
    <t>Environment</t>
  </si>
  <si>
    <t>Environmental Compliance Audit</t>
  </si>
  <si>
    <t>NCEC-GER; MEWA-EL; MEWA-ENV-EIA</t>
  </si>
  <si>
    <t>NCEC Inspection + EIA Review</t>
  </si>
  <si>
    <t>NCEC; MEWA</t>
  </si>
  <si>
    <t>Annual; triggered by project</t>
  </si>
  <si>
    <t>All sectors with environmental impact — manufacturing, construction, healthcare (waste), energy, agriculture</t>
  </si>
  <si>
    <t>Environmental licence; EIA report; compliance monitoring data; medical waste disposal records; emissions monitoring</t>
  </si>
  <si>
    <t>Annual; EIA required for new projects</t>
  </si>
  <si>
    <t>AU-J001</t>
  </si>
  <si>
    <t>Legal &amp; Judicial</t>
  </si>
  <si>
    <t>Anti-Corruption Compliance</t>
  </si>
  <si>
    <t>NAZAHA-ACL; NAZAHA-DISCL</t>
  </si>
  <si>
    <t>Internal Compliance Review + NAZAHA Audit</t>
  </si>
  <si>
    <t>NAZAHA; Internal Audit; External Counsel</t>
  </si>
  <si>
    <t>All government entities; government contractors — all sectors</t>
  </si>
  <si>
    <t>Asset disclosure filings; conflict of interest register; procurement transparency records; gift register; whistleblower policy</t>
  </si>
  <si>
    <t>Annual disclosure; NAZAHA triggered</t>
  </si>
  <si>
    <t>AU-SZ001</t>
  </si>
  <si>
    <t>Special Zones &amp; Giga</t>
  </si>
  <si>
    <t>NEOM IoT &amp; Smart City Governance Audit</t>
  </si>
  <si>
    <t>NEOM-IOTGOV; NEOM-HS; NCA-ECC-2; PDPL</t>
  </si>
  <si>
    <t>NEOM Internal Audit + NCA</t>
  </si>
  <si>
    <t>NEOM Technology Authority; NCA</t>
  </si>
  <si>
    <t>All IoT/digital technology deployments within NEOM</t>
  </si>
  <si>
    <t>IoT governance framework compliance; NEOM data governance audit; cybersecurity assessment; AI ethics review; resident data protection</t>
  </si>
  <si>
    <t>Annual (NEOM operations cycle)</t>
  </si>
  <si>
    <t>KRI ID</t>
  </si>
  <si>
    <t>KRI Name</t>
  </si>
  <si>
    <t>Framework Source</t>
  </si>
  <si>
    <t>Risk Domain</t>
  </si>
  <si>
    <t>Measurement Formula</t>
  </si>
  <si>
    <t>🟢 Green</t>
  </si>
  <si>
    <t>🟡 Amber</t>
  </si>
  <si>
    <t>🔴 Red</t>
  </si>
  <si>
    <t>Data Source</t>
  </si>
  <si>
    <t>Owner</t>
  </si>
  <si>
    <t>KSA Benchmark</t>
  </si>
  <si>
    <t>KRI-X001</t>
  </si>
  <si>
    <t>ECC-2 Overall Compliance Score</t>
  </si>
  <si>
    <t>Aggregate self-assessment / max score × 100</t>
  </si>
  <si>
    <t>≥80%</t>
  </si>
  <si>
    <t>60-79%</t>
  </si>
  <si>
    <t>&lt;60%</t>
  </si>
  <si>
    <t>NCA portal; GRC system</t>
  </si>
  <si>
    <t>CISO</t>
  </si>
  <si>
    <t>NCA target ≥80% (Level 3+)</t>
  </si>
  <si>
    <t>KRI-X002</t>
  </si>
  <si>
    <t>Critical Patch Compliance Rate</t>
  </si>
  <si>
    <t>Patched within SLA / Total critical vulns × 100</t>
  </si>
  <si>
    <t>≥95% in 30d</t>
  </si>
  <si>
    <t>80-94%</t>
  </si>
  <si>
    <t>&lt;80%</t>
  </si>
  <si>
    <t>Vulnerability management tool</t>
  </si>
  <si>
    <t>IT Security Manager</t>
  </si>
  <si>
    <t>Monthly</t>
  </si>
  <si>
    <t>NCA: 100% critical within 30 days</t>
  </si>
  <si>
    <t>KRI-X003</t>
  </si>
  <si>
    <t>PDPL Breach Notification Rate (72h)</t>
  </si>
  <si>
    <t>Breaches notified on time / Total qualifying × 100</t>
  </si>
  <si>
    <t>100%</t>
  </si>
  <si>
    <t>&lt;100%</t>
  </si>
  <si>
    <t>Incident system; DPO records</t>
  </si>
  <si>
    <t>DPO</t>
  </si>
  <si>
    <t>Per incident + monthly</t>
  </si>
  <si>
    <t>PDPL: 100% mandatory — criminal penalty for miss</t>
  </si>
  <si>
    <t>KRI-X004</t>
  </si>
  <si>
    <t>Saudisation Rate (Overall)</t>
  </si>
  <si>
    <t>Regulatory Risk</t>
  </si>
  <si>
    <t>Saudi employees / Total employees × 100</t>
  </si>
  <si>
    <t>≥Sector quota (Green/Platinum)</t>
  </si>
  <si>
    <t>Near quota (Yellow)</t>
  </si>
  <si>
    <t>Below quota (Red)</t>
  </si>
  <si>
    <t>Qiwa; GOSI</t>
  </si>
  <si>
    <t>HR Director</t>
  </si>
  <si>
    <t>Quarterly</t>
  </si>
  <si>
    <t>Sector-specific Nitaqat quota</t>
  </si>
  <si>
    <t>KRI-X005</t>
  </si>
  <si>
    <t>Saudisation Rate — Cybersecurity Roles</t>
  </si>
  <si>
    <t>NCA-ECC-2; MHRSD-NITAQAT</t>
  </si>
  <si>
    <t>Saudi cyber staff / Total cyber positions × 100</t>
  </si>
  <si>
    <t>100% by Oct 2025</t>
  </si>
  <si>
    <t>80-99% (transitioning)</t>
  </si>
  <si>
    <t>HR system; Qiwa</t>
  </si>
  <si>
    <t>CISO + HR</t>
  </si>
  <si>
    <t>NCA ECC-2: 100% — Oct 2025 deadline</t>
  </si>
  <si>
    <t>KRI-X006</t>
  </si>
  <si>
    <t>E-Invoicing ZATCA Compliance Rate</t>
  </si>
  <si>
    <t>Compliant invoices / Total invoices × 100</t>
  </si>
  <si>
    <t>≥99.9%</t>
  </si>
  <si>
    <t>99-99.8%</t>
  </si>
  <si>
    <t>&lt;99%</t>
  </si>
  <si>
    <t>ZATCA Fatoora portal; ERP/billing system</t>
  </si>
  <si>
    <t>CFO; Finance</t>
  </si>
  <si>
    <t>ZATCA: 100% — non-compliant invoice = rejection</t>
  </si>
  <si>
    <t>KRI-X007</t>
  </si>
  <si>
    <t>Third-Party Risk Assessment Coverage</t>
  </si>
  <si>
    <t>NCA-ECC-2 Domain 4; SAMA-CSF</t>
  </si>
  <si>
    <t>R</t>
  </si>
  <si>
    <t>Assessed critical vendors / Total critical vendors × 100</t>
  </si>
  <si>
    <t>≥90%</t>
  </si>
  <si>
    <t>70-89%</t>
  </si>
  <si>
    <t>&lt;70%</t>
  </si>
  <si>
    <t>Vendor risk management system</t>
  </si>
  <si>
    <t>CISO; Procurement</t>
  </si>
  <si>
    <t>Target: 100% critical vendors assessed</t>
  </si>
  <si>
    <t>KRI-X008</t>
  </si>
  <si>
    <t>Cyber Incident Reporting to NCA (24h)</t>
  </si>
  <si>
    <t>NCA-ECC-2; NCA-REG-2024</t>
  </si>
  <si>
    <t>On-time notifications / Total notifiable incidents × 100</t>
  </si>
  <si>
    <t>90-99%</t>
  </si>
  <si>
    <t>&lt;90%</t>
  </si>
  <si>
    <t>SIEM; Incident log</t>
  </si>
  <si>
    <t>NCA: 100% — non-compliance = SAR fine</t>
  </si>
  <si>
    <t>KRI-X009</t>
  </si>
  <si>
    <t>Privacy Training Completion</t>
  </si>
  <si>
    <t>PDPL-2021; NCA-ECC-2</t>
  </si>
  <si>
    <t>Staff completed training / Total staff × 100</t>
  </si>
  <si>
    <t>≥95%</t>
  </si>
  <si>
    <t>LMS</t>
  </si>
  <si>
    <t>PDPL: mandatory awareness</t>
  </si>
  <si>
    <t>KRI-X010</t>
  </si>
  <si>
    <t>AI Ethics &amp; Governance Review Completion</t>
  </si>
  <si>
    <t>SDAIA-AI-ETH; SDAIA-AI-ADO</t>
  </si>
  <si>
    <t>AI use cases with ethics review / Total AI deployments × 100</t>
  </si>
  <si>
    <t>75-94%</t>
  </si>
  <si>
    <t>&lt;75%</t>
  </si>
  <si>
    <t>AI governance register</t>
  </si>
  <si>
    <t>AI Governance Committee</t>
  </si>
  <si>
    <t>Annual; pre-deployment</t>
  </si>
  <si>
    <t>SDAIA: mandatory ethics review for high-risk AI</t>
  </si>
  <si>
    <t>KRI-X011</t>
  </si>
  <si>
    <t>Cloud Data Residency Compliance</t>
  </si>
  <si>
    <t>NCA-CCC; CST-CCR; DGA-CFP</t>
  </si>
  <si>
    <t>Regulatory; Data Sovereignty</t>
  </si>
  <si>
    <t>KSA-resident data in compliant cloud / Total cloud data × 100</t>
  </si>
  <si>
    <t>100% (gov. data)</t>
  </si>
  <si>
    <t>CSPM tool; cloud provider reports</t>
  </si>
  <si>
    <t>CTO; CISO</t>
  </si>
  <si>
    <t>NCA + DGA: 100% government data in KSA</t>
  </si>
  <si>
    <t>KRI-X012</t>
  </si>
  <si>
    <t>ISO 27001 Audit Nonconformities</t>
  </si>
  <si>
    <t>Major nonconformities in certification audit</t>
  </si>
  <si>
    <t>0 major NCs</t>
  </si>
  <si>
    <t>0 major; &lt;5 minor</t>
  </si>
  <si>
    <t>≥1 major NC</t>
  </si>
  <si>
    <t>Certification body audit report</t>
  </si>
  <si>
    <t>Annual certification cycle</t>
  </si>
  <si>
    <t>ISO: 0 major NCs for certification award</t>
  </si>
  <si>
    <t>KRI-X013</t>
  </si>
  <si>
    <t>BCP/DR Test Success Rate</t>
  </si>
  <si>
    <t>Operational Risk; Availability</t>
  </si>
  <si>
    <t>DR test scenarios achieving RTO/RPO / Total scenarios × 100</t>
  </si>
  <si>
    <t>BCP test report</t>
  </si>
  <si>
    <t>IT Operations; CISO</t>
  </si>
  <si>
    <t>NCA + SAMA: annual BCP test required</t>
  </si>
  <si>
    <t>KRI-X014</t>
  </si>
  <si>
    <t>Anti-Corruption Disclosure Compliance</t>
  </si>
  <si>
    <t>Government officials with filed asset disclosure / Required × 100</t>
  </si>
  <si>
    <t>NAZAHA disclosure system</t>
  </si>
  <si>
    <t>Compliance; Legal</t>
  </si>
  <si>
    <t>NAZAHA: 100% mandatory</t>
  </si>
  <si>
    <t>KRI-F001</t>
  </si>
  <si>
    <t>SAMA-CSF Maturity Score</t>
  </si>
  <si>
    <t>Average maturity level across 5 SAMA domains (max 6)</t>
  </si>
  <si>
    <t>≥3.5/6 all domains</t>
  </si>
  <si>
    <t>2.5-3.4</t>
  </si>
  <si>
    <t>&lt;2.5</t>
  </si>
  <si>
    <t>SAMA self-assessment portal</t>
  </si>
  <si>
    <t>Annual Q1</t>
  </si>
  <si>
    <t>SAMA target: Level 3+ all domains</t>
  </si>
  <si>
    <t>KRI-F002</t>
  </si>
  <si>
    <t>AML Suspicious Transaction Report Rate</t>
  </si>
  <si>
    <t>Financial; Regulatory Risk</t>
  </si>
  <si>
    <t>STRs filed / Identified suspicious transactions × 100</t>
  </si>
  <si>
    <t>Transaction monitoring system; SAFIU reports</t>
  </si>
  <si>
    <t>Compliance; AML Officer</t>
  </si>
  <si>
    <t>SAMA/FATF: 100% — failure = criminal penalty</t>
  </si>
  <si>
    <t>KRI-F003</t>
  </si>
  <si>
    <t>Capital Adequacy Ratio</t>
  </si>
  <si>
    <t>SAMA-OBF; SAMA supervision</t>
  </si>
  <si>
    <t>Tier 1+2 capital / Risk-weighted assets × 100</t>
  </si>
  <si>
    <t>≥12%</t>
  </si>
  <si>
    <t>10-11.9%</t>
  </si>
  <si>
    <t>&lt;10%</t>
  </si>
  <si>
    <t>Core banking system; SAMA regulatory report</t>
  </si>
  <si>
    <t>CFO; Chief Risk Officer</t>
  </si>
  <si>
    <t>SAMA: minimum 10.5% (Basel III)</t>
  </si>
  <si>
    <t>KRI-F004</t>
  </si>
  <si>
    <t>Payment System Availability</t>
  </si>
  <si>
    <t>SAMA-PSR; CST-TITA</t>
  </si>
  <si>
    <t>Operational; Availability Risk</t>
  </si>
  <si>
    <t>Payment system uptime / Total time × 100</t>
  </si>
  <si>
    <t>≥99.95%</t>
  </si>
  <si>
    <t>99.8-99.94%</t>
  </si>
  <si>
    <t>&lt;99.8%</t>
  </si>
  <si>
    <t>Payment operations monitoring</t>
  </si>
  <si>
    <t>CTO; Operations</t>
  </si>
  <si>
    <t>Daily; Monthly report</t>
  </si>
  <si>
    <t>SAMA: ≥99.95% for core payment infrastructure</t>
  </si>
  <si>
    <t>KRI-F005</t>
  </si>
  <si>
    <t>Open Banking API Security Incidents</t>
  </si>
  <si>
    <t>API security incidents per million transactions</t>
  </si>
  <si>
    <t>&lt;0.1</t>
  </si>
  <si>
    <t>0.1-1.0</t>
  </si>
  <si>
    <t>&gt;1.0</t>
  </si>
  <si>
    <t>API gateway logs; SIEM</t>
  </si>
  <si>
    <t>CISO; API Product Owner</t>
  </si>
  <si>
    <t>SAMA Open Banking target: &lt;0.1/million txns</t>
  </si>
  <si>
    <t>KRI-E001</t>
  </si>
  <si>
    <t>OT System Availability (CNI)</t>
  </si>
  <si>
    <t>NCA-OTCC; ECRA-EL</t>
  </si>
  <si>
    <t>Availability; Cyber Risk</t>
  </si>
  <si>
    <t>OT system uptime / Total time × 100 (generation/distribution)</t>
  </si>
  <si>
    <t>99-99.89%</t>
  </si>
  <si>
    <t>OT monitoring platform; SCADA historian</t>
  </si>
  <si>
    <t>OT Security Manager; Operations</t>
  </si>
  <si>
    <t>ECRA + NCA: ≥99.9% for CNI power systems</t>
  </si>
  <si>
    <t>KRI-E002</t>
  </si>
  <si>
    <t>OT Anomaly Detection Time</t>
  </si>
  <si>
    <t>NCA-OTCC; IEC-62443</t>
  </si>
  <si>
    <t>Cyber Risk; Safety</t>
  </si>
  <si>
    <t>Mean time from OT anomaly to alert</t>
  </si>
  <si>
    <t>&lt;15 min</t>
  </si>
  <si>
    <t>15-60 min</t>
  </si>
  <si>
    <t>&gt;60 min</t>
  </si>
  <si>
    <t>OT security platform (Claroty/Nozomi)</t>
  </si>
  <si>
    <t>SOC; OT Security Manager</t>
  </si>
  <si>
    <t>NCA OTCC: &lt;15 min for CNI</t>
  </si>
  <si>
    <t>KRI-E003</t>
  </si>
  <si>
    <t>Radiation Safety Compliance</t>
  </si>
  <si>
    <t>KACARE-RPR</t>
  </si>
  <si>
    <t>Safety; Regulatory Risk</t>
  </si>
  <si>
    <t>% radiation sources with current registration and protection measures</t>
  </si>
  <si>
    <t>KACARE licence register; dosimetry records</t>
  </si>
  <si>
    <t>Radiation Safety Officer</t>
  </si>
  <si>
    <t>KACARE: 100% — criminal liability for non-compliance</t>
  </si>
  <si>
    <t>KRI-E004</t>
  </si>
  <si>
    <t>Water Quality Standard Compliance</t>
  </si>
  <si>
    <t>NWC-WQ; MEWA-WL</t>
  </si>
  <si>
    <t>% water quality tests meeting WHO/NWC standards</t>
  </si>
  <si>
    <t>≥99%</t>
  </si>
  <si>
    <t>95-98.9%</t>
  </si>
  <si>
    <t>&lt;95%</t>
  </si>
  <si>
    <t>Lab quality testing system; MEWA reports</t>
  </si>
  <si>
    <t>Water Quality Manager</t>
  </si>
  <si>
    <t>Weekly; Monthly report</t>
  </si>
  <si>
    <t>WHO + NWC: ≥99% test compliance</t>
  </si>
  <si>
    <t>KRI-H001</t>
  </si>
  <si>
    <t>NABIDH Connectivity Uptime</t>
  </si>
  <si>
    <t>Operational; Availability</t>
  </si>
  <si>
    <t>NABIDH connection uptime / Total time × 100</t>
  </si>
  <si>
    <t>≥99.5%</t>
  </si>
  <si>
    <t>98-99.4%</t>
  </si>
  <si>
    <t>&lt;98%</t>
  </si>
  <si>
    <t>NHIC monitoring dashboard</t>
  </si>
  <si>
    <t>CIO</t>
  </si>
  <si>
    <t>NHIC target: ≥99.5%</t>
  </si>
  <si>
    <t>KRI-H002</t>
  </si>
  <si>
    <t>SFDA Device Registration Rate</t>
  </si>
  <si>
    <t>Regulatory; Patient Safety</t>
  </si>
  <si>
    <t>SFDA-registered devices / Total medical devices × 100</t>
  </si>
  <si>
    <t>Device management system; SFDA portal</t>
  </si>
  <si>
    <t>MDO</t>
  </si>
  <si>
    <t>SFDA: 100% mandatory</t>
  </si>
  <si>
    <t>KRI-H003</t>
  </si>
  <si>
    <t>CBAHI Accreditation Score</t>
  </si>
  <si>
    <t>Quality; Regulatory</t>
  </si>
  <si>
    <t>% standards Met in CBAHI survey</t>
  </si>
  <si>
    <t>75-89%</t>
  </si>
  <si>
    <t>CBAHI Accreditation Manager</t>
  </si>
  <si>
    <t>Quality Director</t>
  </si>
  <si>
    <t>3yr cycle; chapter quarterly</t>
  </si>
  <si>
    <t>CBAHI: ≥90% for accreditation</t>
  </si>
  <si>
    <t>KRI-H004</t>
  </si>
  <si>
    <t>Clinical Staff Licensing Compliance</t>
  </si>
  <si>
    <t>Legal; Patient Safety</t>
  </si>
  <si>
    <t>% clinical staff with current SCFHS licence</t>
  </si>
  <si>
    <t>SCFHS portal; HR system</t>
  </si>
  <si>
    <t>HR Director; Medical Director</t>
  </si>
  <si>
    <t>SCFHS: 100% mandatory — criminal liability</t>
  </si>
  <si>
    <t>KRI-H005</t>
  </si>
  <si>
    <t>Patient Safety Incident Rate</t>
  </si>
  <si>
    <t>MOH-PS; CBAHI-HAS-H</t>
  </si>
  <si>
    <t>Patient Safety</t>
  </si>
  <si>
    <t>Sentinel events / 1,000 patient admissions</t>
  </si>
  <si>
    <t>&lt;0.5</t>
  </si>
  <si>
    <t>0.5-2.0</t>
  </si>
  <si>
    <t>&gt;2.0</t>
  </si>
  <si>
    <t>Incident reporting system</t>
  </si>
  <si>
    <t>CMO; Patient Safety Director</t>
  </si>
  <si>
    <t>MOH/CBAHI benchmark: &lt;0.5/1,000</t>
  </si>
  <si>
    <t>KRI-T001</t>
  </si>
  <si>
    <t>Network Availability SLA</t>
  </si>
  <si>
    <t>CST-TITA; CST-USERIGHTS</t>
  </si>
  <si>
    <t>Telecom network uptime / Total time × 100</t>
  </si>
  <si>
    <t>Network operations centre</t>
  </si>
  <si>
    <t>CTO; Network Operations</t>
  </si>
  <si>
    <t>Daily; Monthly</t>
  </si>
  <si>
    <t>CST: ≥99.95% for core telecom</t>
  </si>
  <si>
    <t>KRI-T002</t>
  </si>
  <si>
    <t>IoT Device Type Approval Rate</t>
  </si>
  <si>
    <t>CST-IOT; SASO-SABER</t>
  </si>
  <si>
    <t>CST-approved IoT device models / Total IoT devices in market × 100</t>
  </si>
  <si>
    <t>CST type approval database; SABER</t>
  </si>
  <si>
    <t>Regulatory Affairs Manager</t>
  </si>
  <si>
    <t>CST: 100% — unapproved devices = market withdrawal</t>
  </si>
  <si>
    <t>KRI-T003</t>
  </si>
  <si>
    <t>Cloud Provider Data Residency</t>
  </si>
  <si>
    <t>Data Sovereignty Risk</t>
  </si>
  <si>
    <t>KSA-hosted cloud workloads / Total cloud workloads × 100 (gov.)</t>
  </si>
  <si>
    <t>100% (gov.)</t>
  </si>
  <si>
    <t>CSPM tool</t>
  </si>
  <si>
    <t>NCA + CST: 100% government data in KSA</t>
  </si>
  <si>
    <t>KRI-L001</t>
  </si>
  <si>
    <t>Aviation Safety Incident Rate</t>
  </si>
  <si>
    <t>Serious incidents per 100,000 flight hours</t>
  </si>
  <si>
    <t>&lt;1.0</t>
  </si>
  <si>
    <t>1.0-2.5</t>
  </si>
  <si>
    <t>&gt;2.5</t>
  </si>
  <si>
    <t>GACA safety reporting; ICAO ECCAIRS</t>
  </si>
  <si>
    <t>Safety Manager</t>
  </si>
  <si>
    <t>Monthly; Annual ICAO report</t>
  </si>
  <si>
    <t>ICAO/GACA: &lt;1.0/100,000 flight hours</t>
  </si>
  <si>
    <t>KRI-L002</t>
  </si>
  <si>
    <t>Cold Chain Compliance Rate</t>
  </si>
  <si>
    <t>MAWANI-COLDCHAIN; SFDA-PHARMA</t>
  </si>
  <si>
    <t>Quality; Safety Risk</t>
  </si>
  <si>
    <t>Temperature excursions / Total pharmaceutical shipments × 100</t>
  </si>
  <si>
    <t>&lt;0.5%</t>
  </si>
  <si>
    <t>0.5-2%</t>
  </si>
  <si>
    <t>&gt;2%</t>
  </si>
  <si>
    <t>Cold chain temperature monitoring; logistics WMS</t>
  </si>
  <si>
    <t>Logistics Quality Manager; MDO</t>
  </si>
  <si>
    <t>Per shipment; Monthly</t>
  </si>
  <si>
    <t>SFDA: &lt;0.5% temperature excursions</t>
  </si>
  <si>
    <t>KRI-I001</t>
  </si>
  <si>
    <t>Product Recall Rate</t>
  </si>
  <si>
    <t>Quality; Patient Safety</t>
  </si>
  <si>
    <t>Products recalled / Total products on market × 100</t>
  </si>
  <si>
    <t>&lt;0.1%</t>
  </si>
  <si>
    <t>0.1-0.5%</t>
  </si>
  <si>
    <t>&gt;0.5%</t>
  </si>
  <si>
    <t>SFDA recall register; internal QMS</t>
  </si>
  <si>
    <t>Quality Director; MDO</t>
  </si>
  <si>
    <t>SFDA: trend toward zero — each recall is investigated</t>
  </si>
  <si>
    <t>KRI-I002</t>
  </si>
  <si>
    <t>GMP Compliance Rate</t>
  </si>
  <si>
    <t>SFDA-GMP; SFDA-PHARMA</t>
  </si>
  <si>
    <t>Quality; Regulatory Risk</t>
  </si>
  <si>
    <t>Batch production records with zero GMP deviations / Total batches × 100</t>
  </si>
  <si>
    <t>≥98%</t>
  </si>
  <si>
    <t>90-97.9%</t>
  </si>
  <si>
    <t>QMS (batch record system); SFDA audit</t>
  </si>
  <si>
    <t>QA Director</t>
  </si>
  <si>
    <t>SFDA GMP: ≥98% batch compliance</t>
  </si>
  <si>
    <t>KRI-I003</t>
  </si>
  <si>
    <t>Foreign Investment License Compliance</t>
  </si>
  <si>
    <t>Conditions met / Total MISA licence conditions × 100</t>
  </si>
  <si>
    <t>MISA portal; Legal records</t>
  </si>
  <si>
    <t>MISA: 100% — licence revocation for non-compliance</t>
  </si>
  <si>
    <t>KRI-Ed001</t>
  </si>
  <si>
    <t>Research Ethics Approval Rate</t>
  </si>
  <si>
    <t>KAIMRC-IRB; SFDA-CT; PDPL</t>
  </si>
  <si>
    <t>Regulatory; Ethical Risk</t>
  </si>
  <si>
    <t>Studies with IRB approval / Total human-subject studies × 100</t>
  </si>
  <si>
    <t>IRB database; research management system</t>
  </si>
  <si>
    <t>Research Ethics Committee</t>
  </si>
  <si>
    <t>Per study; Annual audit</t>
  </si>
  <si>
    <t>Mandatory: 100% — no human subject research without IRB</t>
  </si>
  <si>
    <t>KRI-Ed002</t>
  </si>
  <si>
    <t>Academic Accreditation Score</t>
  </si>
  <si>
    <t>ETEC-ACCS</t>
  </si>
  <si>
    <t>% ETEC accreditation standards Met</t>
  </si>
  <si>
    <t>≥85%</t>
  </si>
  <si>
    <t>70-84%</t>
  </si>
  <si>
    <t>ETEC accreditation manager</t>
  </si>
  <si>
    <t>Academic VP; Quality Director</t>
  </si>
  <si>
    <t>3yr cycle; Annual monitoring</t>
  </si>
  <si>
    <t>ETEC: ≥85% for accreditation award</t>
  </si>
  <si>
    <t>KRI-Env001</t>
  </si>
  <si>
    <t>Environmental Regulatory Compliance Rate</t>
  </si>
  <si>
    <t>NCEC-GER; MEWA-EL</t>
  </si>
  <si>
    <t>Environmental; Regulatory Risk</t>
  </si>
  <si>
    <t>Compliance with environmental standards / Total measured parameters × 100</t>
  </si>
  <si>
    <t>NCEC monitoring data; environmental lab results</t>
  </si>
  <si>
    <t>Environmental Manager</t>
  </si>
  <si>
    <t>Monthly; Annual NCEC report</t>
  </si>
  <si>
    <t>NCEC: ≥99% parameter compliance</t>
  </si>
  <si>
    <t>KRI-Env002</t>
  </si>
  <si>
    <t>Medical / Hazardous Waste Disposal Compliance</t>
  </si>
  <si>
    <t>NCEC-MWR; MEWA-EL</t>
  </si>
  <si>
    <t>Safety; Environmental Risk</t>
  </si>
  <si>
    <t>Properly disposed waste / Total hazardous waste generated × 100</t>
  </si>
  <si>
    <t>Waste manifest system; NCEC records</t>
  </si>
  <si>
    <t>Facilities Manager</t>
  </si>
  <si>
    <t>NCEC: 100% — improper disposal = criminal liability</t>
  </si>
  <si>
    <t>KRI-SZ001</t>
  </si>
  <si>
    <t>NEOM Smart City IoT Security Incidents</t>
  </si>
  <si>
    <t>NEOM-IOTGOV; NCA-ECC-2</t>
  </si>
  <si>
    <t>IoT security incidents per 10,000 connected devices</t>
  </si>
  <si>
    <t>&lt;1</t>
  </si>
  <si>
    <t>1-5</t>
  </si>
  <si>
    <t>&gt;5</t>
  </si>
  <si>
    <t>NEOM smart city monitoring platform</t>
  </si>
  <si>
    <t>NEOM CISO</t>
  </si>
  <si>
    <t>NEOM target: &lt;1/10,000 devices</t>
  </si>
  <si>
    <t>GRC Domain / Sector</t>
  </si>
  <si>
    <t>Level 1 — INITIAL</t>
  </si>
  <si>
    <t>Level 2 — DEVELOPING</t>
  </si>
  <si>
    <t>Level 3 — DEFINED ✓ TARGET</t>
  </si>
  <si>
    <t>Level 4 — MANAGED</t>
  </si>
  <si>
    <t>Level 5 — OPTIMISING</t>
  </si>
  <si>
    <t>Typical KSA Organisation (2024)</t>
  </si>
  <si>
    <t>GH-ICGA / Target Level</t>
  </si>
  <si>
    <t>Evidence Required at Level 3</t>
  </si>
  <si>
    <t>Governance &amp; Strategy (ALL SECTORS)</t>
  </si>
  <si>
    <t>No governance structure; no policy; reactive management</t>
  </si>
  <si>
    <t>Policy exists; senior ownership designated; regulatory awareness</t>
  </si>
  <si>
    <t>Formal governance framework; all applicable KSA frameworks identified; compliance register; board-level visibility</t>
  </si>
  <si>
    <t>Governance KPIs tracked; integrated risk and compliance management; strategy aligned with regulatory roadmap</t>
  </si>
  <si>
    <t>Continuous improvement; industry leadership; regulatory engagement; benchmark against international peers</t>
  </si>
  <si>
    <t>Level 1-2 (most sectors)</t>
  </si>
  <si>
    <t>Level 3 target</t>
  </si>
  <si>
    <t>Governance policy; compliance register; board report; regulatory calendar; CISO/Compliance Officer appointment</t>
  </si>
  <si>
    <t>Cybersecurity (NCA ECC-2) — ALL SECTORS</t>
  </si>
  <si>
    <t>No cybersecurity controls; ECC-2 unknown</t>
  </si>
  <si>
    <t>Aware of ECC-2; partial implementation; no formal self-assessment</t>
  </si>
  <si>
    <t>Full ECC-2 compliance; annual self-assessment submitted; major domains at Level 3+; basic IoT/OT controls</t>
  </si>
  <si>
    <t>Continuous monitoring; maturity Level 4+ in all domains; integrated threat intelligence; automated controls testing</t>
  </si>
  <si>
    <t>Maturity Level 5 in all domains; NCA industry reference; threat sharing; sector cybersecurity leadership</t>
  </si>
  <si>
    <t>Level 2 most government; Level 1 many private</t>
  </si>
  <si>
    <t>Level 3 (ECC-2 mandatory minimum)</t>
  </si>
  <si>
    <t>ECC-2 self-assessment ≥80%; policy register; access control evidence; patch records; NCA submission</t>
  </si>
  <si>
    <t>Data Privacy (PDPL) — ALL SECTORS</t>
  </si>
  <si>
    <t>No privacy programme; PDPL unknown or ignored</t>
  </si>
  <si>
    <t>Aware of PDPL; privacy notice added; no DPO</t>
  </si>
  <si>
    <t>DPO appointed + notified to SDAIA; DPIA programme active; consent management; breach response tested</t>
  </si>
  <si>
    <t>Privacy by design embedded; zero PDPL findings; 100% DPA coverage; real-time breach monitoring</t>
  </si>
  <si>
    <t>Privacy as competitive advantage; PDPL+GDPR dual compliance; transparency reporting; innovation</t>
  </si>
  <si>
    <t>Level 1 (awareness only) — most sectors</t>
  </si>
  <si>
    <t>Level 3 (PDPL minimum compliance)</t>
  </si>
  <si>
    <t>DPO letter; DPIA register; consent records; controller registration; data map; breach response test</t>
  </si>
  <si>
    <t>Risk Management — ALL SECTORS</t>
  </si>
  <si>
    <t>No formal risk management; reactive incident response</t>
  </si>
  <si>
    <t>Annual risk assessment exists; risks ad hoc; no risk register</t>
  </si>
  <si>
    <t>Formal risk register; annual assessment; risk appetite defined; treatment plans tracked</t>
  </si>
  <si>
    <t>Risk-based decisions; risk quantified; continuous monitoring; supply chain risk assessed; sector-specific risks integrated</t>
  </si>
  <si>
    <t>Predictive risk analytics; automated risk scoring; portfolio management</t>
  </si>
  <si>
    <t>Level 2 most sectors</t>
  </si>
  <si>
    <t>Risk register; risk methodology; treatment tracking; annual assessment report; risk appetite statement</t>
  </si>
  <si>
    <t>Compliance Management — ALL SECTORS</t>
  </si>
  <si>
    <t>Unknown regulatory obligations; compliance by chance</t>
  </si>
  <si>
    <t>Aware of primary regulations; compliance incomplete; no tracking</t>
  </si>
  <si>
    <t>Compliance register of all applicable KSA frameworks; gap analysis done; remediation tracked; annual compliance audit</t>
  </si>
  <si>
    <t>Automated compliance monitoring; regulatory change alerts; integrated GRC system; zero critical findings</t>
  </si>
  <si>
    <t>Predictive compliance; regulatory participation; industry standard-setting</t>
  </si>
  <si>
    <t>Level 1-2 most sectors</t>
  </si>
  <si>
    <t>Compliance register; gap analysis; remediation tracker; audit schedule; ECC-2 + PDPL + sector-specific compliance evidence</t>
  </si>
  <si>
    <t>Supply Chain &amp; Third-Party GRC — ALL SECTORS</t>
  </si>
  <si>
    <t>No vendor assessment; no contractual security requirements</t>
  </si>
  <si>
    <t>Vendor list exists; basic contracts; no security assessment</t>
  </si>
  <si>
    <t>Annual vendor risk assessment; ECC-2/PDPL contractual obligations; right-to-audit; critical vendor register</t>
  </si>
  <si>
    <t>Continuous vendor monitoring; vendor risk scoring; sub-contractor disclosure; supply chain threat intelligence</t>
  </si>
  <si>
    <t>Zero-trust supply chain; vendor certification required; real-time supply chain risk feeds</t>
  </si>
  <si>
    <t>Level 1 most sectors</t>
  </si>
  <si>
    <t>Vendor risk register; assessment questionnaires; ECC-2 contract clauses; critical vendor list; subprocessor register</t>
  </si>
  <si>
    <t>OT/CNI Cybersecurity (NCA-OTCC) — CNI Sectors</t>
  </si>
  <si>
    <t>No OT security controls; flat network; no OT inventory</t>
  </si>
  <si>
    <t>OT assets partially inventoried; basic segmentation; some vendor controls</t>
  </si>
  <si>
    <t>Full OT inventory; zone/conduit segmentation; OTCC self-assessment; OT monitoring deployed; patch management</t>
  </si>
  <si>
    <t>Automated OT anomaly detection; zero-trust OT; SOC integration; IEC 62443 alignment</t>
  </si>
  <si>
    <t>AI-driven OT protection; predictive maintenance security; full IEC 62443 certification</t>
  </si>
  <si>
    <t>Level 1-2 (CNI sectors generally)</t>
  </si>
  <si>
    <t>Level 3 (OTCC mandatory)</t>
  </si>
  <si>
    <t>OT asset inventory; zone diagrams; OTCC assessment; OT patch log; OT monitoring deployment evidence</t>
  </si>
  <si>
    <t>Incident Response &amp; Recovery — ALL SECTORS</t>
  </si>
  <si>
    <t>No IR plan; ad hoc response; no regulatory notification</t>
  </si>
  <si>
    <t>IR plan exists; notification procedures drafted but untested</t>
  </si>
  <si>
    <t>Formal IR plan; NCA 24h + SDAIA 72h notification tested; tabletop annual; recovery within tested RTOs</t>
  </si>
  <si>
    <t>Automated SOAR response; cross-regulator notification tested; recovery &lt;RTO; post-incident review</t>
  </si>
  <si>
    <t>&lt;1h MTTD; predictive IR; proactive threat hunting; sector incident sharing</t>
  </si>
  <si>
    <t>IR plan; tabletop exercise report; NCA/SDAIA notification test evidence; RTO achievement records; lessons-learned log</t>
  </si>
  <si>
    <t>Saudisation &amp; Workforce Compliance — ALL SECTORS</t>
  </si>
  <si>
    <t>Unknown Saudisation quotas; no tracking; likely Red zone</t>
  </si>
  <si>
    <t>Aware of Nitaqat; some Saudi hiring; Yellow/Red zone</t>
  </si>
  <si>
    <t>Green/Platinum zone; cybersecurity roles 100% Saudi (Oct 2025); SCFHS licences current; GOSI 100%</t>
  </si>
  <si>
    <t>Exceeding quotas; talent pipeline; Saudisation as culture; CPD tracking per SCFHS</t>
  </si>
  <si>
    <t>Saudisation as sector benchmark; Saudi talent export; workforce innovation programme</t>
  </si>
  <si>
    <t>Level 2-3 (sector varies widely)</t>
  </si>
  <si>
    <t>Level 3 (Green zone + NCA cyber)</t>
  </si>
  <si>
    <t>Qiwa Nitaqat rating (Green+); GOSI records; Saudi contract samples; cyber Saudisation evidence; SCFHS licence audit (healthcare)</t>
  </si>
  <si>
    <t>🧠 KSA GRC INTELLIGENCE ENGINE</t>
  </si>
  <si>
    <t>Automated Analytics • Real-Time Scoring • Regulatory Intelligence</t>
  </si>
  <si>
    <t>━━━ SECTION 1: KEY PERFORMANCE INDICATORS ━━━</t>
  </si>
  <si>
    <t>KPI</t>
  </si>
  <si>
    <t>Value</t>
  </si>
  <si>
    <t>Formula Logic</t>
  </si>
  <si>
    <t>Total Unique Frameworks</t>
  </si>
  <si>
    <t>Count non-blank Framework Codes</t>
  </si>
  <si>
    <t>Total Unique Regulators</t>
  </si>
  <si>
    <t>Count from Per-Regulator Summary</t>
  </si>
  <si>
    <t>Total Quantified Controls</t>
  </si>
  <si>
    <t>Sum numeric Controls column (excl. N/A)</t>
  </si>
  <si>
    <t>HIGHEST HC IoT Relevance Frameworks</t>
  </si>
  <si>
    <t>COUNTIF HC IoT Relevance = HIGHEST</t>
  </si>
  <si>
    <t>HIGH HC IoT Relevance Frameworks</t>
  </si>
  <si>
    <t>COUNTIF HC IoT Relevance = HIGH</t>
  </si>
  <si>
    <t>MODERATE HC IoT Relevance Frameworks</t>
  </si>
  <si>
    <t>COUNTIF HC IoT Relevance = MODERATE</t>
  </si>
  <si>
    <t>LOW HC IoT Relevance Frameworks</t>
  </si>
  <si>
    <t>COUNTIF HC IoT Relevance = LOW</t>
  </si>
  <si>
    <t>Mandatory Enforcer Frameworks</t>
  </si>
  <si>
    <t>Role = Mandatory Enforcer</t>
  </si>
  <si>
    <t>Cross-Sector Frameworks</t>
  </si>
  <si>
    <t>BA column = Cross-Sector</t>
  </si>
  <si>
    <t>Sector-Specific Frameworks</t>
  </si>
  <si>
    <t>BA column = Sector-Specific</t>
  </si>
  <si>
    <t>Avg Controls per Quantified Framework</t>
  </si>
  <si>
    <t>Total controls / frameworks with numeric controls</t>
  </si>
  <si>
    <t>Regulator Groups (Sectors)</t>
  </si>
  <si>
    <t>17 sector groups defined in architecture</t>
  </si>
  <si>
    <t>━━━ SECTION 2: REGULATOR INTELLIGENCE — TOP REGULATORS BY FRAMEWORK POWER INDEX ━━━</t>
  </si>
  <si>
    <t>Own Frameworks</t>
  </si>
  <si>
    <t>HIGHEST IoT Count</t>
  </si>
  <si>
    <t>Power Index Score</t>
  </si>
  <si>
    <t>Tier</t>
  </si>
  <si>
    <t>━━━ SECTION 3: HC IoT RELEVANCE DISTRIBUTION BY REGULATOR GROUP ━━━</t>
  </si>
  <si>
    <t>Regulator Group</t>
  </si>
  <si>
    <t>Total</t>
  </si>
  <si>
    <t>IoT Intensity %</t>
  </si>
  <si>
    <t>TOTAL</t>
  </si>
  <si>
    <t>━━━ SECTION 4: REGULATORY VELOCITY INDEX — FRAMEWORK FRESHNESS &amp; LIFECYCLE ━━━</t>
  </si>
  <si>
    <t>Metric</t>
  </si>
  <si>
    <t>Count</t>
  </si>
  <si>
    <t>% of Total</t>
  </si>
  <si>
    <t>Assessment</t>
  </si>
  <si>
    <t>Frameworks issued 2024-2026 (Fresh)</t>
  </si>
  <si>
    <t>🟢 Current — actively reflecting latest regulatory thinking</t>
  </si>
  <si>
    <t>Frameworks issued 2021-2023 (Maturing)</t>
  </si>
  <si>
    <t>🟡 Maturing — may need updates for ECC-2/PDPL changes</t>
  </si>
  <si>
    <t>Frameworks issued 2018-2020 (Aging)</t>
  </si>
  <si>
    <t>🟠 Aging — review needed against ECC-2:2024 baseline</t>
  </si>
  <si>
    <t>Frameworks issued pre-2018 (Legacy)</t>
  </si>
  <si>
    <t>🔴 Legacy — may conflict with modern KSA GRC architecture</t>
  </si>
  <si>
    <t>Year not specified / N/A</t>
  </si>
  <si>
    <t>❓ Unknown — requires manual verification of issuance year</t>
  </si>
  <si>
    <t>━━━ SECTION 5: GRC PILLAR DISTRIBUTION &amp; CROSS-AUTHORITY CONFLICT MAP ━━━</t>
  </si>
  <si>
    <t>GRC Pillar Analysis</t>
  </si>
  <si>
    <t>%</t>
  </si>
  <si>
    <t>Governance (G) frameworks</t>
  </si>
  <si>
    <t>Risk (R) frameworks</t>
  </si>
  <si>
    <t>Compliance (C) frameworks</t>
  </si>
  <si>
    <t>All three pillars (G+R+C)</t>
  </si>
  <si>
    <t>Cross-Authority Overlap Analysis</t>
  </si>
  <si>
    <t>Frameworks</t>
  </si>
  <si>
    <t>Implication</t>
  </si>
  <si>
    <t>⚠️ NCA + SDAIA overlap (Cyber + Privacy)</t>
  </si>
  <si>
    <t>Data security controls overlap between NCA-DCC and PDPL</t>
  </si>
  <si>
    <t>⚠️ NCA + SFDA overlap (Device Cyber)</t>
  </si>
  <si>
    <t>IoMT device cybersecurity — NCA OTCC vs SFDA MDR boundary</t>
  </si>
  <si>
    <t>⚠️ MOH + NHIC overlap (Health IT)</t>
  </si>
  <si>
    <t>EMR/HIS standards — MOH-HIS vs NHIC-NABIDH dual requirement</t>
  </si>
  <si>
    <t>⚠️ SAMA + NCA overlap (Financial Cyber)</t>
  </si>
  <si>
    <t>SAMA-CSF vs NCA-ECC-2 — financial entities face dual cyber audit</t>
  </si>
  <si>
    <t>━━━ SECTION 6: REGULATORY BURDEN INDEX BY SECTOR ━━━</t>
  </si>
  <si>
    <t>Sector Group</t>
  </si>
  <si>
    <t>Mandatory</t>
  </si>
  <si>
    <t>HIGHEST IoT</t>
  </si>
  <si>
    <t>Burden Index</t>
  </si>
  <si>
    <t>Burden Tier</t>
  </si>
  <si>
    <t>━━━ SECTION 7: MATURITY GAP INTELLIGENCE — CURRENT vs TARGET ━━━</t>
  </si>
  <si>
    <t>GRC Domain</t>
  </si>
  <si>
    <t>Typical KSA Level</t>
  </si>
  <si>
    <t>Target Level</t>
  </si>
  <si>
    <t>Gap (Levels)</t>
  </si>
  <si>
    <t>Gap Status</t>
  </si>
  <si>
    <t>Est. Effort to Close</t>
  </si>
  <si>
    <t>Governance &amp; Strategy</t>
  </si>
  <si>
    <t>Cybersecurity (NCA ECC-2)</t>
  </si>
  <si>
    <t>Data Privacy (PDPL)</t>
  </si>
  <si>
    <t>Risk Management</t>
  </si>
  <si>
    <t>Compliance Management</t>
  </si>
  <si>
    <t>Supply Chain &amp; Third-Party GRC</t>
  </si>
  <si>
    <t>OT/CNI Cybersecurity (OTCC)</t>
  </si>
  <si>
    <t>Incident Response &amp; Recovery</t>
  </si>
  <si>
    <t>Saudisation &amp; Workforce</t>
  </si>
  <si>
    <t>AVERAGE GAP</t>
  </si>
  <si>
    <t>📊 KSA GRC EXECUTIVE COMMAND CENTRE</t>
  </si>
  <si>
    <t>Real-Time Regulatory Intelligence • Automated from 108 Regulators • 452 Framework Entries</t>
  </si>
  <si>
    <t>KEY METRICS</t>
  </si>
  <si>
    <t>Total Frameworks</t>
  </si>
  <si>
    <t>Regulators</t>
  </si>
  <si>
    <t>Total Controls</t>
  </si>
  <si>
    <t>Cross-Sector</t>
  </si>
  <si>
    <t>Avg Maturity Gap</t>
  </si>
  <si>
    <t>HC IoT RELEVANCE DISTRIBUTION</t>
  </si>
  <si>
    <t>Level</t>
  </si>
  <si>
    <t>REGULATORY VELOCITY (FRESHNESS)</t>
  </si>
  <si>
    <t>Period</t>
  </si>
  <si>
    <t>2024-2026 (Fresh)</t>
  </si>
  <si>
    <t>2021-2023 (Maturing)</t>
  </si>
  <si>
    <t>2018-2020 (Aging)</t>
  </si>
  <si>
    <t>Pre-2018 (Legacy)</t>
  </si>
  <si>
    <t>MATURITY GAP ANALYSIS</t>
  </si>
  <si>
    <t>Domain</t>
  </si>
  <si>
    <t>Current</t>
  </si>
  <si>
    <t>Target</t>
  </si>
  <si>
    <t>Governance</t>
  </si>
  <si>
    <t>Cybersecurity</t>
  </si>
  <si>
    <t>Privacy (PDPL)</t>
  </si>
  <si>
    <t>Risk Mgmt</t>
  </si>
  <si>
    <t>Compliance</t>
  </si>
  <si>
    <t>Supply Chain</t>
  </si>
  <si>
    <t>OT/CNI (OTCC)</t>
  </si>
  <si>
    <t>Incident Response</t>
  </si>
  <si>
    <t>Saudisation</t>
  </si>
  <si>
    <t>TOP 10 REGULATORS BY POWER INDEX</t>
  </si>
  <si>
    <t>Power Index</t>
  </si>
  <si>
    <t>📝 REGULATORY CHANGE LOG — FRAMEWORK VERSION TRACKER</t>
  </si>
  <si>
    <t>Track all regulatory changes, new framework versions, and upcoming reviews. Add new entries as regulations evolve.</t>
  </si>
  <si>
    <t>Change ID</t>
  </si>
  <si>
    <t>Date Identified</t>
  </si>
  <si>
    <t>Change Type</t>
  </si>
  <si>
    <t>Old Version</t>
  </si>
  <si>
    <t>New Version</t>
  </si>
  <si>
    <t>Impact Level</t>
  </si>
  <si>
    <t>Compliance Deadline</t>
  </si>
  <si>
    <t>Action Required</t>
  </si>
  <si>
    <t>Assigned To</t>
  </si>
  <si>
    <t>Status</t>
  </si>
  <si>
    <t>CHG-001</t>
  </si>
  <si>
    <t>🟢 NEW VERSION</t>
  </si>
  <si>
    <t>ECC-1:2018 replaced by ECC-2:2024 — 108 controls, 4 domains, Saudisation mandate, ransomware controls added</t>
  </si>
  <si>
    <t>ECC-1:2018</t>
  </si>
  <si>
    <t>🔴 CRITICAL</t>
  </si>
  <si>
    <t>Full gap analysis ECC-1→ECC-2; update compliance register; retrain staff; submit new self-assessment</t>
  </si>
  <si>
    <t>CISO / Compliance Officer</t>
  </si>
  <si>
    <t>🟡 IN PROGRESS</t>
  </si>
  <si>
    <t>CHG-002</t>
  </si>
  <si>
    <t>PDPL Data Transfer Regulations updated v2 — new cross-border assessment requirements</t>
  </si>
  <si>
    <t>PDPL-DTR v1</t>
  </si>
  <si>
    <t>PDPL-DTR v2 (Sep 2024)</t>
  </si>
  <si>
    <t>Update data transfer agreements; conduct cross-border risk assessment; update DPIA</t>
  </si>
  <si>
    <t>CHG-003</t>
  </si>
  <si>
    <t>🔵 NEW FRAMEWORK</t>
  </si>
  <si>
    <t>First NCA enforcement regulation — SAR 25M max fine, judicial powers for inspectors, criminal referral authority</t>
  </si>
  <si>
    <t>Board briefing; update risk register; ensure all NCA submissions current</t>
  </si>
  <si>
    <t>Legal / CISO</t>
  </si>
  <si>
    <t>✅ COMPLETED</t>
  </si>
  <si>
    <t>CHG-004</t>
  </si>
  <si>
    <t>CCC-2</t>
  </si>
  <si>
    <t>🟠 EXPECTED UPDATE</t>
  </si>
  <si>
    <t>CCC-2 in NCA consultation — will add edge computing, data localisation, AI workload controls</t>
  </si>
  <si>
    <t>CCC-2 (TBD)</t>
  </si>
  <si>
    <t>🟠 HIGH</t>
  </si>
  <si>
    <t>TBD</t>
  </si>
  <si>
    <t>Monitor NCA consultation; prepare gap assessment template for CCC-2</t>
  </si>
  <si>
    <t>Cloud Security Team</t>
  </si>
  <si>
    <t>🟣 MONITORING</t>
  </si>
  <si>
    <t>🔗 FRAMEWORK DEPENDENCY GRAPH</t>
  </si>
  <si>
    <t>Maps regulatory relationships: extensions, dependencies, conflicts, and overlaps across the KSA GRC ecosystem</t>
  </si>
  <si>
    <t>Source Framework</t>
  </si>
  <si>
    <t>Relationship</t>
  </si>
  <si>
    <t>Target Framework</t>
  </si>
  <si>
    <t>Relationship Detail</t>
  </si>
  <si>
    <t>Impact on HC IoT</t>
  </si>
  <si>
    <t>Conflict Risk</t>
  </si>
  <si>
    <t>→ EXTENDS</t>
  </si>
  <si>
    <t>ECC-2 provides IT baseline; OTCC extends for OT/ICS environments</t>
  </si>
  <si>
    <t>Hospital OT networks must comply with BOTH ECC-2 + OTCC</t>
  </si>
  <si>
    <t>🟢 LOW</t>
  </si>
  <si>
    <t>ECC-2 is baseline; CCC adds cloud-specific controls</t>
  </si>
  <si>
    <t>Cloud-hosted EHR/NABIDH must comply with ECC-2 + CCC</t>
  </si>
  <si>
    <t>ECC-2 is baseline; DCC adds data lifecycle controls</t>
  </si>
  <si>
    <t>Patient data requires both ECC-2 and DCC compliance</t>
  </si>
  <si>
    <t>⚠️ OVERLAPS</t>
  </si>
  <si>
    <t>Financial sector entities subject to BOTH NCA ECC-2 and SAMA-CSF — dual audit</t>
  </si>
  <si>
    <t>Health insurers (CCHI scope) must comply with BOTH</t>
  </si>
  <si>
    <t>🟠 MEDIUM</t>
  </si>
  <si>
    <t>Data security controls overlap between NCA (technical) and SDAIA (legal/privacy)</t>
  </si>
  <si>
    <t>Patient data subject to BOTH DCC technical controls AND PDPL legal requirements</t>
  </si>
  <si>
    <t>🔴 HIGH</t>
  </si>
  <si>
    <t>OT device cyber controls (NCA) vs medical device regulations (SFDA) — boundary unclear for IoMT</t>
  </si>
  <si>
    <t>IoMT devices fall between NCA OTCC (OT view) and SFDA MDR (device view) — GH-ICGA gap</t>
  </si>
  <si>
    <t>→ DEPENDS ON</t>
  </si>
  <si>
    <t>MOH HIS standards require NABIDH platform connectivity</t>
  </si>
  <si>
    <t>All hospital HIS must integrate with NABIDH exchange</t>
  </si>
  <si>
    <t>AI medical device guidance requires MDR registration first</t>
  </si>
  <si>
    <t>AI-driven IoMT diagnostics need BOTH MDR + AI guidance compliance</t>
  </si>
  <si>
    <t>Implementing regulations provide detailed requirements for PDPL compliance</t>
  </si>
  <si>
    <t>DPO appointment, DPIA methodology, consent management specifics</t>
  </si>
  <si>
    <t>Cross-border data transfer regulations complement PDPL</t>
  </si>
  <si>
    <t>International health data sharing (research, telemedicine) requires DTR compliance</t>
  </si>
  <si>
    <t>NCA cloud security vs CST cloud regulation — licensing + security dual requirement</t>
  </si>
  <si>
    <t>Health cloud providers need both NCA CCC and CST licensing</t>
  </si>
  <si>
    <t>CBAHI HIT standards reference NCA cybersecurity requirements</t>
  </si>
  <si>
    <t>Hospital accreditation increasingly requires ECC-2 compliance evidence</t>
  </si>
  <si>
    <t>→ ENFORCES</t>
  </si>
  <si>
    <t>ALL NCA frameworks</t>
  </si>
  <si>
    <t>First enforcement mechanism — SAR 25M fines, criminal referral, judicial inspectors</t>
  </si>
  <si>
    <t>Makes all NCA cyber frameworks legally actionable for healthcare entities</t>
  </si>
  <si>
    <t>ECC-2 Saudisation mandate + Nitaqat quotas create dual workforce compliance</t>
  </si>
  <si>
    <t>Cyber roles must be 100% Saudi (ECC-2) within Nitaqat zone targets</t>
  </si>
  <si>
    <t>🧮 COMPLIANCE CALCULATOR — YOUR REGULATORY REQUIREMENTS</t>
  </si>
  <si>
    <t>Select your sector and entity type below to auto-generate your full regulatory compliance requirements</t>
  </si>
  <si>
    <t>━━━ INPUT YOUR PROFILE ━━━</t>
  </si>
  <si>
    <t>1. Select Your Sector Group:</t>
  </si>
  <si>
    <t>2. Entity Type:</t>
  </si>
  <si>
    <t>Hospital</t>
  </si>
  <si>
    <t>3. Is your entity CNI (Critical National Infrastructure)?</t>
  </si>
  <si>
    <t>Yes</t>
  </si>
  <si>
    <t>4. Do you process personal data?</t>
  </si>
  <si>
    <t>5. Do you use cloud services?</t>
  </si>
  <si>
    <t>6. Do you have OT/IoMT/medical devices?</t>
  </si>
  <si>
    <t>━━━ YOUR COMPLIANCE REQUIREMENTS (AUTO-CALCULATED) ━━━</t>
  </si>
  <si>
    <t>Reason Applicable</t>
  </si>
  <si>
    <t>🔴 MANDATORY</t>
  </si>
  <si>
    <t>All government entities + CNI operators — universal</t>
  </si>
  <si>
    <t>Annual self-assessment</t>
  </si>
  <si>
    <t>🔴 P1</t>
  </si>
  <si>
    <t>All ECC-scope entities — data lifecycle security</t>
  </si>
  <si>
    <t>Annual (integrated with ECC)</t>
  </si>
  <si>
    <t>🟠 P2</t>
  </si>
  <si>
    <t>NCA-CSCC-1:2019</t>
  </si>
  <si>
    <t>Enforcement mechanism for all NCA frameworks — SAR 25M fines</t>
  </si>
  <si>
    <t>Continuous</t>
  </si>
  <si>
    <t>━━━ COMPLIANCE SUMMARY ━━━</t>
  </si>
  <si>
    <t>Total Applicable Frameworks:</t>
  </si>
  <si>
    <t>Mandatory Frameworks:</t>
  </si>
  <si>
    <t>Priority P1 (Critical):</t>
  </si>
  <si>
    <t>Est. Minimum Controls to Implement:</t>
  </si>
  <si>
    <t>🏠 KSA GRC KNOWLEDGE BASE — NAVIGATION HUB</t>
  </si>
  <si>
    <t>The Most Comprehensive GRC Intelligence Platform for Saudi Arabia • 108 Regulators • 452 Frameworks • 28,000+ Controls</t>
  </si>
  <si>
    <t>📚 CORE DATA SHEETS</t>
  </si>
  <si>
    <t>Sheet Name</t>
  </si>
  <si>
    <t>Rows</t>
  </si>
  <si>
    <t>Purpose</t>
  </si>
  <si>
    <t>All 108 Regulators - Frameworks</t>
  </si>
  <si>
    <t>Master database: 452 framework entries across 53 data dimensions per framework</t>
  </si>
  <si>
    <t>💾 Primary data source — DO NOT MODIFY structure</t>
  </si>
  <si>
    <t>Per-Regulator Summary</t>
  </si>
  <si>
    <t>107 regulators with framework count, codes, HC IoT ranking</t>
  </si>
  <si>
    <t>📊 Regulator-level aggregation</t>
  </si>
  <si>
    <t>HC IoT Priority Ranked</t>
  </si>
  <si>
    <t>339 frameworks ranked by Healthcare IoT relevance</t>
  </si>
  <si>
    <t>🏥 Healthcare IoT focus ranking</t>
  </si>
  <si>
    <t>Version Details Reference</t>
  </si>
  <si>
    <t>191 version history entries with change details</t>
  </si>
  <si>
    <t>📅 Version tracking and change history</t>
  </si>
  <si>
    <t>HC IoT Compliance Checklist</t>
  </si>
  <si>
    <t>64-item compliance checklist for healthcare IoT</t>
  </si>
  <si>
    <t>✅ Practical compliance checklist</t>
  </si>
  <si>
    <t>🔬 ANALYSIS &amp; INTELLIGENCE SHEETS</t>
  </si>
  <si>
    <t>GRC Intelligence Engine</t>
  </si>
  <si>
    <t>🆕 Automated scoring: KPIs, Power Index, IoT distribution, Velocity, Maturity gaps</t>
  </si>
  <si>
    <t>210+</t>
  </si>
  <si>
    <t>🧠 Analytics engine — auto-updates from master data</t>
  </si>
  <si>
    <t>Executive Command Centre</t>
  </si>
  <si>
    <t>🆕 Visual dashboard with 4 charts, 7 KPI cards, auto-calculated metrics</t>
  </si>
  <si>
    <t>📊 Executive presentation — charts auto-refresh</t>
  </si>
  <si>
    <t>Risk Domain Coverage Matrix</t>
  </si>
  <si>
    <t>Framework × Risk Domain mapping with coverage scores</t>
  </si>
  <si>
    <t>🎯 Risk coverage analysis</t>
  </si>
  <si>
    <t>Sector × Framework Matrix</t>
  </si>
  <si>
    <t>17 sectors × frameworks applicability matrix</t>
  </si>
  <si>
    <t>🟢 Sector coverage map</t>
  </si>
  <si>
    <t>Framework Debate Matrix</t>
  </si>
  <si>
    <t>Academic for/against analysis per framework with citations</t>
  </si>
  <si>
    <t>🎓 Academic positioning</t>
  </si>
  <si>
    <t>KSA GRC Architecture Map</t>
  </si>
  <si>
    <t>Layer-by-layer GRC ecosystem with dependencies and conflicts</t>
  </si>
  <si>
    <t>🏗️ Architecture blueprint</t>
  </si>
  <si>
    <t>🎯 OPERATIONAL SHEETS</t>
  </si>
  <si>
    <t>Audit Universe (All Sectors)</t>
  </si>
  <si>
    <t>49 audit areas with risk ratings, frequency, evidence requirements</t>
  </si>
  <si>
    <t>🔎 Audit planning</t>
  </si>
  <si>
    <t>KRI Dashboard (All Sectors)</t>
  </si>
  <si>
    <t>42 Key Risk Indicators with Green/Amber/Red thresholds and benchmarks</t>
  </si>
  <si>
    <t>🚦 Risk monitoring</t>
  </si>
  <si>
    <t>GRC Maturity (All Sectors)</t>
  </si>
  <si>
    <t>9 GRC domains × 5 maturity levels with evidence requirements</t>
  </si>
  <si>
    <t>📈 Maturity assessment</t>
  </si>
  <si>
    <t>Compliance Calculator</t>
  </si>
  <si>
    <t>🆕 Input sector/entity → auto-generates applicable frameworks, controls, audits</t>
  </si>
  <si>
    <t>Dynamic</t>
  </si>
  <si>
    <t>🧮 Interactive compliance tool</t>
  </si>
  <si>
    <t>🌐 STRATEGIC &amp; EXTENSIBILITY SHEETS</t>
  </si>
  <si>
    <t>Global GRC Benchmark</t>
  </si>
  <si>
    <t>🆕 KSA vs international frameworks (EU, US, UK, UAE, ISO)</t>
  </si>
  <si>
    <t>🌍 International positioning</t>
  </si>
  <si>
    <t>Regulatory Change Log</t>
  </si>
  <si>
    <t>🆕 Version tracking with dropdown status, impact, deadlines</t>
  </si>
  <si>
    <t>Extensible</t>
  </si>
  <si>
    <t>📝 Change management</t>
  </si>
  <si>
    <t>Framework Dependencies</t>
  </si>
  <si>
    <t>🆕 Cross-framework relationship map: extends, overlaps, conflicts</t>
  </si>
  <si>
    <t>14+</t>
  </si>
  <si>
    <t>🔗 Dependency mapping</t>
  </si>
  <si>
    <t>🎓 KNOWLEDGE &amp; LEARNING SHEETS</t>
  </si>
  <si>
    <t>Knowledge Foundation</t>
  </si>
  <si>
    <t>10 theoretical frameworks underpinning KSA GRC: governance theory, institutional theory, risk mgmt</t>
  </si>
  <si>
    <t>📚 Academic theory base</t>
  </si>
  <si>
    <t>Learning Pathway</t>
  </si>
  <si>
    <t>26-step learning pathway from foundation to expert</t>
  </si>
  <si>
    <t>🎓 Professional development</t>
  </si>
  <si>
    <t>GH-ICGA Positioning Matrix</t>
  </si>
  <si>
    <t>5-layer GH-ICGA framework positioning with academic research gaps</t>
  </si>
  <si>
    <t>🎯 Thesis positioning</t>
  </si>
  <si>
    <t>Last Updated: April 2026 • Built for GH-ICGA Doctoral Research • © KSA GRC Knowledge Base</t>
  </si>
  <si>
    <t>🌍 GLOBAL GRC BENCHMARK — KSA vs WORLD LEADERS</t>
  </si>
  <si>
    <t>Positioning KSA's regulatory framework against international GRC leaders • EU • US • UK • UAE • Singapore • Australia</t>
  </si>
  <si>
    <t>━━━ SECTION 1: REGULATORY FRAMEWORK COMPARISON ━━━</t>
  </si>
  <si>
    <t>Dimension</t>
  </si>
  <si>
    <t>🇸🇦 KSA</t>
  </si>
  <si>
    <t>🇪🇺 EU</t>
  </si>
  <si>
    <t>🇺🇸 US</t>
  </si>
  <si>
    <t>🇬🇧 UK</t>
  </si>
  <si>
    <t>🇦🇪 UAE</t>
  </si>
  <si>
    <t>🇸🇬 Singapore</t>
  </si>
  <si>
    <t>🇦🇺 Australia</t>
  </si>
  <si>
    <t>Primary Cybersecurity Framework</t>
  </si>
  <si>
    <t>NCA ECC-2 (108 controls)</t>
  </si>
  <si>
    <t>NIS2 Directive</t>
  </si>
  <si>
    <t>NIST CSF 2.0</t>
  </si>
  <si>
    <t>NCSC Cyber Essentials</t>
  </si>
  <si>
    <t>ISR (NESA/TDRA)</t>
  </si>
  <si>
    <t>MAS TRM + CSA</t>
  </si>
  <si>
    <t>Essential Eight (ASD)</t>
  </si>
  <si>
    <t>Data Privacy Law</t>
  </si>
  <si>
    <t>PDPL 2021 + DTR 2024</t>
  </si>
  <si>
    <t>GDPR (2018)</t>
  </si>
  <si>
    <t>Sectoral (HIPAA, CCPA)</t>
  </si>
  <si>
    <t>UK GDPR + DPA 2018</t>
  </si>
  <si>
    <t>PDPL (2021)</t>
  </si>
  <si>
    <t>PDPA (2012)</t>
  </si>
  <si>
    <t>Privacy Act 1988 + APP</t>
  </si>
  <si>
    <t>Cloud Security Framework</t>
  </si>
  <si>
    <t>NCA CCC-1:2020</t>
  </si>
  <si>
    <t>EUCS (draft)</t>
  </si>
  <si>
    <t>FedRAMP</t>
  </si>
  <si>
    <t>NCSC Cloud Principles</t>
  </si>
  <si>
    <t>C5 adopted / NESA</t>
  </si>
  <si>
    <t>MTCS SS584</t>
  </si>
  <si>
    <t>ISM Cloud Controls</t>
  </si>
  <si>
    <t>OT/ICS Security</t>
  </si>
  <si>
    <t>NCA OTCC-1:2022</t>
  </si>
  <si>
    <t>NIS2 (OES scope)</t>
  </si>
  <si>
    <t>NIST SP 800-82</t>
  </si>
  <si>
    <t>CAF (NIS Regs)</t>
  </si>
  <si>
    <t>NESA OT guidelines</t>
  </si>
  <si>
    <t>CCoP 2.0</t>
  </si>
  <si>
    <t>AESCSF</t>
  </si>
  <si>
    <t>AI Regulation</t>
  </si>
  <si>
    <t>SDAIA AI Ethics + SFDA AI MDS</t>
  </si>
  <si>
    <t>EU AI Act (2024)</t>
  </si>
  <si>
    <t>NIST AI RMF</t>
  </si>
  <si>
    <t>AI White Paper / Pro-innovation</t>
  </si>
  <si>
    <t>AI Strategy / ADGM framework</t>
  </si>
  <si>
    <t>AI Governance Framework</t>
  </si>
  <si>
    <t>AI Ethics Framework</t>
  </si>
  <si>
    <t>Medical Device Regulation</t>
  </si>
  <si>
    <t>SFDA MDR + AI-MDS</t>
  </si>
  <si>
    <t>EU MDR 2017/745</t>
  </si>
  <si>
    <t>FDA 21 CFR + De Novo</t>
  </si>
  <si>
    <t>MHRA / UKCA</t>
  </si>
  <si>
    <t>MOH DHA / HAAD</t>
  </si>
  <si>
    <t>HSA MDD</t>
  </si>
  <si>
    <t>TGA Essential Principles</t>
  </si>
  <si>
    <t>Health IT Interoperability</t>
  </si>
  <si>
    <t>NHIC NABIDH / MOH HIS</t>
  </si>
  <si>
    <t>EHDS (proposed)</t>
  </si>
  <si>
    <t>ONC 21st Century Cures</t>
  </si>
  <si>
    <t>NHS FHIR / GPIT</t>
  </si>
  <si>
    <t>Nabidh (UAE) / Malaffi</t>
  </si>
  <si>
    <t>NEHR</t>
  </si>
  <si>
    <t>My Health Record</t>
  </si>
  <si>
    <t>Enforcement Mechanism</t>
  </si>
  <si>
    <t>NCA-REG-2024 (SAR 25M)</t>
  </si>
  <si>
    <t>NIS2 (€10M / 2% rev)</t>
  </si>
  <si>
    <t>Varies by agency</t>
  </si>
  <si>
    <t>ICO fines / NIS penalties</t>
  </si>
  <si>
    <t>TDRA penalties</t>
  </si>
  <si>
    <t>MAS fines + licence revocation</t>
  </si>
  <si>
    <t>Civil penalties (APP)</t>
  </si>
  <si>
    <t>Regulators Mapped in KB</t>
  </si>
  <si>
    <t>~15-20 key bodies</t>
  </si>
  <si>
    <t>~12-15 key agencies</t>
  </si>
  <si>
    <t>~10-12 key bodies</t>
  </si>
  <si>
    <t>~20-25 (federal + emirate)</t>
  </si>
  <si>
    <t>~8-10 key bodies</t>
  </si>
  <si>
    <t>━━━ SECTION 2: KSA GRC MATURITY vs GLOBAL LEADERS ━━━</t>
  </si>
  <si>
    <t>🇸🇦 KSA Score</t>
  </si>
  <si>
    <t>Global Avg</t>
  </si>
  <si>
    <t>Global Best</t>
  </si>
  <si>
    <t>KSA Gap to Best</t>
  </si>
  <si>
    <t>KSA Advantage / Gap</t>
  </si>
  <si>
    <t>Cybersecurity Regulation Depth</t>
  </si>
  <si>
    <t>🏆 GLOBAL LEADER — NCA ecosystem (ECC-2+CCC+DCC+OTCC+CSCC) is most comprehensive globally</t>
  </si>
  <si>
    <t>Data Privacy Maturity</t>
  </si>
  <si>
    <t>⚠️ GAP — PDPL newer than GDPR, implementing regs still emerging; enforcement experience limited</t>
  </si>
  <si>
    <t>OT/CNI Cyber Controls</t>
  </si>
  <si>
    <t>🏆 NEAR-LEADER — OTCC dedicated OT framework, ahead of EU NIS2 OES and UK CAF scope</t>
  </si>
  <si>
    <t>Cloud Security Governance</t>
  </si>
  <si>
    <t>➖ AT PACE — CCC comparable to FedRAMP scope; CCC-2 expected to close gap to leader</t>
  </si>
  <si>
    <t>AI Governance</t>
  </si>
  <si>
    <t>⚠️ GAP — SDAIA AI Ethics non-binding; no AI Act equivalent; SFDA AI-MDS is healthcare-only</t>
  </si>
  <si>
    <t>➖ AT PACE — SFDA MDR aligned with IMDRF; lagging EU MDR post-market surveillance requirements</t>
  </si>
  <si>
    <t>Regulatory Coverage Breadth</t>
  </si>
  <si>
    <t>🏆 GLOBAL LEADER — 107 regulators mapped, 452 frameworks — no country has this depth of GRC mapping</t>
  </si>
  <si>
    <t>Cross-Sector Integration</t>
  </si>
  <si>
    <t>⚠️ GAP — Multiple overlaps (NCA/SFDA, NCA/SAMA, MOH/NHIC) need formal harmonisation mechanism</t>
  </si>
  <si>
    <t>Enforcement Maturity</t>
  </si>
  <si>
    <t>⚠️ GAP — NCA-REG-2024 is first enforcement; PDPL enforcement untested; limited case law</t>
  </si>
  <si>
    <t>OVERALL AVERAGE</t>
  </si>
  <si>
    <t>KSA is a cybersecurity LEADER but has gaps in privacy enforcement, AI governance, and harmonisation</t>
  </si>
  <si>
    <t>━━━ SECTION 3: 10-YEAR KSA GRC ROADMAP (2025–2035) ━━━</t>
  </si>
  <si>
    <t>Phase</t>
  </si>
  <si>
    <t>Timeline</t>
  </si>
  <si>
    <t>Key Regulatory Events</t>
  </si>
  <si>
    <t>Expected Impact</t>
  </si>
  <si>
    <t>GRC Knowledge Base Action</t>
  </si>
  <si>
    <t>Score Target</t>
  </si>
  <si>
    <t>🔴 Phase 1: Enforcement Activation</t>
  </si>
  <si>
    <t>2025-2026</t>
  </si>
  <si>
    <t>ECC-2 full enforcement • PDPL penalties activated • NCA-REG-2024 first fines • CCC-2 consultation</t>
  </si>
  <si>
    <t>Compliance urgency spikes; boards demand GRC visibility; audit industry expands</t>
  </si>
  <si>
    <t>Add enforcement tracker; map penalty exposure per entity; build audit evidence library</t>
  </si>
  <si>
    <t>🟠 Phase 2: Harmonisation Era</t>
  </si>
  <si>
    <t>2027-2028</t>
  </si>
  <si>
    <t>NCA/SDAIA overlap resolution • Unified CNI framework • SFDA AI-MDS v2 • Cross-border data adequacy</t>
  </si>
  <si>
    <t>Regulatory overlap reduced; clearer compliance pathways; international data flows enabled</t>
  </si>
  <si>
    <t>Update dependency graph; map harmonised controls; build unified compliance mapping tool</t>
  </si>
  <si>
    <t>🟡 Phase 3: AI &amp; Autonomy Governance</t>
  </si>
  <si>
    <t>2028-2030</t>
  </si>
  <si>
    <t>KSA AI Act (expected) • Autonomous vehicle regulation • Digital twin governance • NEOM regulatory sandbox</t>
  </si>
  <si>
    <t>New GRC domains: AI ethics, algorithmic accountability, autonomous systems safety</t>
  </si>
  <si>
    <t>Add AI governance domain; map IoMT AI controls; build autonomous systems risk taxonomy</t>
  </si>
  <si>
    <t>🟢 Phase 4: Global Convergence</t>
  </si>
  <si>
    <t>2030-2032</t>
  </si>
  <si>
    <t>Vision 2030 completion • KSA GDPR adequacy bid • ISO 42001 AI management adoption • Smart city full-scale</t>
  </si>
  <si>
    <t>KSA achieves international equivalence; mutual recognition agreements; global GRC export</t>
  </si>
  <si>
    <t>Map international equivalences; build mutual recognition database; position as GRC consultancy export</t>
  </si>
  <si>
    <t>🔵 Phase 5: GRC 3.0 — Continuous Compliance</t>
  </si>
  <si>
    <t>2032-2035</t>
  </si>
  <si>
    <t>Real-time compliance monitoring • RegTech AI integration • Automated audit • Blockchain evidence</t>
  </si>
  <si>
    <t>GRC becomes embedded, automated, continuous — not periodic/manual</t>
  </si>
  <si>
    <t>Integrate with RegTech APIs; build automated gap detection; continuous assurance dashboard</t>
  </si>
  <si>
    <t>━━━ SECTION 4: KSA GRC LEADERSHIP POSITIONING — COMPETITIVE ADVANTAGES ━━━</t>
  </si>
  <si>
    <t>Competitive Advantage</t>
  </si>
  <si>
    <t>Evidence</t>
  </si>
  <si>
    <t>Global Comparison</t>
  </si>
  <si>
    <t>10-Year Moat</t>
  </si>
  <si>
    <t>🏆 1. Deepest Cybersecurity Framework Stack</t>
  </si>
  <si>
    <t>5 NCA frameworks (ECC-2+CCC+DCC+OTCC+CSCC) covering IT/OT/Cloud/Data/CNI in unified ecosystem</t>
  </si>
  <si>
    <t>EU has NIS2 + sectoral only; US has NIST voluntary; no country has unified 5-layer mandatory stack</t>
  </si>
  <si>
    <t>First-mover advantage in mandatory cybersecurity; becomes reference architecture for GCC + MENA</t>
  </si>
  <si>
    <t>🏆 2. HC IoT / IoMT GRC Coverage</t>
  </si>
  <si>
    <t>139 HIGHEST-relevance frameworks; SFDA MDR + AI-MDS; NCA OTCC for medical OT</t>
  </si>
  <si>
    <t>No country maps HC IoT regulatory coverage to this depth; EU MDR doesn't link to cyber controls</t>
  </si>
  <si>
    <t>GH-ICGA framework fills global gap between device regulation and cyber governance</t>
  </si>
  <si>
    <t>🏆 3. Scale of Regulatory Mapping</t>
  </si>
  <si>
    <t>No known public or commercial GRC database maps this many regulators in a single country</t>
  </si>
  <si>
    <t>Knowledge base becomes the authoritative reference; competitors would need 2-3 years to replicate</t>
  </si>
  <si>
    <t>🏆 4. Vision 2030 Alignment</t>
  </si>
  <si>
    <t>Every framework mapped to Vision 2030 strategic objectives; GRC architecture mirrors national strategy</t>
  </si>
  <si>
    <t>Most countries lack strategic alignment between GRC and national development agenda</t>
  </si>
  <si>
    <t>GRC evolution locked to national strategy ensures continued investment and political support</t>
  </si>
  <si>
    <t>🏆 5. Saudisation as GRC Innovation</t>
  </si>
  <si>
    <t>ECC-2 mandates 100% Saudi cyber workforce; first country to embed workforce policy IN cyber framework</t>
  </si>
  <si>
    <t>No equivalent globally — EU/US have no workforce mandates inside cybersecurity frameworks</t>
  </si>
  <si>
    <t>Creates unique competency: Saudi GRC professionals with deep local regulatory expertise</t>
  </si>
  <si>
    <t>🏆 6. Enforcement Speed</t>
  </si>
  <si>
    <t>NCA-REG-2024 gives SAR 25M fines + criminal referral within 6 years of NCA creation (2017→2024)</t>
  </si>
  <si>
    <t>EU took 6 years from GDPR to first major enforcement; UK ICO took 3 years for first NIS penalty</t>
  </si>
  <si>
    <t>Fast enforcement cycle builds compliance culture faster; positions KSA as serious regulator early</t>
  </si>
  <si>
    <t>107 regulators, 452 frameworks, 28,239 controls mapped across 17 sector groups</t>
  </si>
  <si>
    <t>🧪 CONTENT EVALUATION &amp; SHAHIN-AI OPTIMISATION REPORT</t>
  </si>
  <si>
    <t>Combined assessment: Human GRC value + AI ingestion readiness + 10-year extensibility architecture</t>
  </si>
  <si>
    <t>━━━ PART A: CURRENT CONTENT EVALUATION ━━━</t>
  </si>
  <si>
    <t>Overall Score:</t>
  </si>
  <si>
    <t>8.2 / 10 — EXCEPTIONAL FOUNDATION</t>
  </si>
  <si>
    <t>Score</t>
  </si>
  <si>
    <t>Gap / Improvement Needed</t>
  </si>
  <si>
    <t>1. Regulatory Coverage Breadth</t>
  </si>
  <si>
    <t>🏆 WORLD-CLASS — No known GRC database maps this many regulators in a single country</t>
  </si>
  <si>
    <t>107 regulators, 405 framework entries, 17 sector groups, 53 data dimensions per framework</t>
  </si>
  <si>
    <t>None — this exceeds commercial GRC platforms (Archer, ServiceNow, MetricStream)</t>
  </si>
  <si>
    <t>2. Data Depth (Core Frameworks)</t>
  </si>
  <si>
    <t>9.5/10</t>
  </si>
  <si>
    <t>🏆 EXCEPTIONAL — Top ~30% of rows (NCA, SFDA, PDPL, MOH, SAMA, CBAHI) have fully bespoke content across all 53 columns</t>
  </si>
  <si>
    <t>ECC-2 row: specific 18 IoMT controls listed, SAR 25M penalty with legal basis, 7 academic citations, specific NIST CSF 2.0 mapping, specific ECC-1→ECC-2 change analysis, Saudisation mandate details</t>
  </si>
  <si>
    <t>Minor: Some deep rows could add quantitative compliance cost estimates (FTE effort, budget)</t>
  </si>
  <si>
    <t>3. Data Depth (Template Rows)</t>
  </si>
  <si>
    <t>5.5/10</t>
  </si>
  <si>
    <t>⚠️ SIGNIFICANT GAP — ~70% of rows (ministries, complier entries) use IDENTICAL generic placeholder text in cols AH-BA (22 columns)</t>
  </si>
  <si>
    <t>Row 181 (MOMAH-ECC2) col AH: 'Institutional theory and regulatory governance theory underpin all KSA...' — same text in 280+ rows. Cols AJ-BA all template text: 'See official source', 'Known criticisms include: implementation gap...'</t>
  </si>
  <si>
    <t>🔴 CRITICAL for Shahin-AI: These 280+ identical text blocks will POISON vector embeddings — the AI cannot distinguish MOMAH-ECC2 from MOIA-ECC2 from MKHC-OTCC because 22 of 53 columns are identical. Must either: (a) differentiate content per entity, or (b) mark as 'TEMPLATE' for AI filtering</t>
  </si>
  <si>
    <t>4. Bilingual Coverage</t>
  </si>
  <si>
    <t>⚠️ PARTIAL — Framework titles have Arabic (col G), but ALL analytical text (cols AH-BA) is English-only</t>
  </si>
  <si>
    <t>Col G has ضوابط الأمن السيبراني الأساسية but cols AH-BA have no Arabic equivalent for penalties, debates, criticisms, governance obligations, KRIs</t>
  </si>
  <si>
    <t>🔴 CRITICAL for Shahin-AI: Arabic user queries will force real-time translation of complex regulatory nuance → latency + hallucination risk. Need parallel Arabic columns for: Penalties, Audit Type, IoMT Controls, KRIs, Business Impact</t>
  </si>
  <si>
    <t>5. Structural Consistency</t>
  </si>
  <si>
    <t>✅ STRONG — Consistent 53-column schema; consistent Group numbering (1-17); consistent HC IoT Relevance taxonomy (HIGHEST/HIGH/MODERATE/LOW)</t>
  </si>
  <si>
    <t>Blank separator rows between groups (expected); consistent regulator codes; consistent framework code format (CODE-VERSION:YEAR)</t>
  </si>
  <si>
    <t>Minor: Separator rows add noise for AI parsing; some framework codes inconsistent (NCA-ECC-2:2024 vs ECC-2:2024 vs NCA-ECC-2). Need canonical ID</t>
  </si>
  <si>
    <t>6. Academic Rigour</t>
  </si>
  <si>
    <t>🏆 EXCEPTIONAL for core rows — Peer-reviewed citations, specific author+year, balanced FOR/AGAINST academic debate</t>
  </si>
  <si>
    <t>ECC-2 row: Almohammad &amp; Wills (2021), Al-Khater et al. (2020), Coventry &amp; Branley (2018), Jalali &amp; Kaiser (2018), Bird &amp; Bird (2025), Clyde &amp; Co (2025)</t>
  </si>
  <si>
    <t>Template rows cite same 5 refs for all 280+ entries — this is detectable by any academic reviewer. Each regulator group should have sector-specific citations</t>
  </si>
  <si>
    <t>7. Cross-Sheet Linkage</t>
  </si>
  <si>
    <t>✅ GOOD — Per-Regulator Summary links to main sheet; HC IoT Ranked is a filtered view; KRI/Maturity/Audit sheets are independent</t>
  </si>
  <si>
    <t>GRC Intelligence Engine formulas pull from main sheet (verified: 405 frameworks, 107 regulators, 28,239 controls)</t>
  </si>
  <si>
    <t>KRI Dashboard, Audit Universe, and GRC Maturity are NOT formula-linked to main sheet — they're standalone. Should have COUNTIFS/SUMIFS validating against main data</t>
  </si>
  <si>
    <t>8. AI/RAG Readiness</t>
  </si>
  <si>
    <t>🔴 MAJOR GAP — Data is optimised for human spreadsheet browsing, NOT for AI vectorisation/retrieval</t>
  </si>
  <si>
    <t>Flat table structure; semicolon-delimited multi-values in single cells; no entity IDs; no chunk boundaries; no metadata tags; no version hashes</t>
  </si>
  <si>
    <t>🔴 CRITICAL: Semicolon-separated values (col E: 'ECC-2:2024; OTCC-1:2022; CCC-1:2020') treated as single string by vectoriser. Need relational decomposition. Large text blocks in Debates/Criticisms dilute vector embeddings</t>
  </si>
  <si>
    <t>9. Extensibility Architecture</t>
  </si>
  <si>
    <t>7.5/10</t>
  </si>
  <si>
    <t>✅ GOOD — New frameworks can be added as rows; new regulators follow established pattern; Regulatory Change Log tracks versions</t>
  </si>
  <si>
    <t>Consistent schema allows row insertion; Framework Dependencies captures relationships; Change Log has dropdown validation</t>
  </si>
  <si>
    <t>Need: (a) Framework versioning system with supersession tracking; (b) Schema version control; (c) Deprecation flags; (d) API-ready canonical IDs</t>
  </si>
  <si>
    <t>10. KSA Market Leadership Positioning</t>
  </si>
  <si>
    <t>🏆 UNMATCHED — No competing KSA GRC product maps 107 regulators across 53 dimensions with academic positioning</t>
  </si>
  <si>
    <t>Global GRC Benchmark confirms: KSA cybersecurity framework stack is deepest globally; 452 framework entries is unprecedented</t>
  </si>
  <si>
    <t>To maintain 10-year lead: must add quarterly regulatory update cadence; build enforcement case law database; add compliance cost modelling</t>
  </si>
  <si>
    <t>WEIGHTED AVERAGE</t>
  </si>
  <si>
    <t>EXCEPTIONAL FOUNDATION with 3 critical gaps: Template Content Depth (5.5), AI/RAG Readiness (5.0), Bilingual Coverage (6.0)</t>
  </si>
  <si>
    <t>━━━ PART B: SHAHIN-AI OPTIMISATION ARCHITECTURE ━━━</t>
  </si>
  <si>
    <t>How to transform this workbook from a human-browseable spreadsheet into an AI-native knowledge base that powers Shahin-AI's GRC intelligence</t>
  </si>
  <si>
    <t>🔴 PROBLEM 1: TEMPLATE TEXT POISONING (Priority: CRITICAL)</t>
  </si>
  <si>
    <t>Issue:</t>
  </si>
  <si>
    <t>280+ rows share IDENTICAL text in 22 columns (AH-BA). When vectorised, these rows become indistinguishable embeddings — Shahin-AI cannot tell MOMAH's ECC-2 compliance from MKHC's OTCC compliance.</t>
  </si>
  <si>
    <t>Root Cause:</t>
  </si>
  <si>
    <t>Template text was necessary to fill 405 rows × 53 columns at scale. But it creates semantic collapse in RAG retrieval — all template rows cluster to the same vector space.</t>
  </si>
  <si>
    <t>Solution A:</t>
  </si>
  <si>
    <t>Add CONTENT_DEPTH_TIER column to main sheet: 'DEEP' (fully bespoke content) vs 'TEMPLATE' (generic placeholder). Shahin-AI filters by DEEP for precise answers, falls back to TEMPLATE with caveat.</t>
  </si>
  <si>
    <t>Solution B:</t>
  </si>
  <si>
    <t>For template rows, generate ENTITY-SPECIFIC differentiators: replace generic 'Penalties defined by issuing authority' with entity-specific penalty context derived from the regulator group and framework type.</t>
  </si>
  <si>
    <t>Solution C:</t>
  </si>
  <si>
    <t>Implement HIERARCHICAL INHERITANCE: Template rows inherit base properties from their Group parent + Framework parent. AI retrieves parent properties and applies entity context. Reduces duplication by 90%.</t>
  </si>
  <si>
    <t>🔴 PROBLEM 2: FLAT DELIMITERS (Priority: CRITICAL)</t>
  </si>
  <si>
    <t>Semicolon-separated multi-values in single cells (col E: 'ECC-2:2024; OTCC-1:2022; CCC-1:2020') are treated as a single string by standard vectorisation, not as discrete relational entities.</t>
  </si>
  <si>
    <t>Solution:</t>
  </si>
  <si>
    <t>Pre-processing script (TypeScript/Python) to split semicolon-delimited fields into relational entities. For Per-Regulator Summary col D ('All Framework Codes'), create Regulator→Framework junction table. Expose via OpenClaw MCP endpoints.</t>
  </si>
  <si>
    <t>🟠 PROBLEM 3: SEMANTIC DILUTION IN LONG TEXT (Priority: HIGH)</t>
  </si>
  <si>
    <t>Large text blocks in 'Academic Debates' (col AJ), 'Key Changes Summary' (col R) contain 5-10 distinct ideas in one cell. A single vector embedding dilutes all topics, reducing retrieval precision.</t>
  </si>
  <si>
    <t>RAG chunking strategy: Break each long text field into semantic chunks with high metadata density. Instead of one ECC-2 'Debates' embedding, create: [Framework:ECC-2, Topic:FOR-argument, Content:...], [Framework:ECC-2, Topic:AGAINST-argument, Content:...], [Framework:ECC-2, Topic:IoMT-gap, Content:...]</t>
  </si>
  <si>
    <t>🟠 PROBLEM 4: BILINGUAL GAP (Priority: HIGH)</t>
  </si>
  <si>
    <t>Arabic user queries force real-time LLM translation of English regulatory text. Complex terminology (e.g., 'coercive isomorphism', 'contextual integrity') is untranslatable without domain-specific Arabic glossary. Latency + hallucination risk.</t>
  </si>
  <si>
    <t>Add parallel Arabic columns for top 10 operational fields: Penalty_AR, Audit_Type_AR, IoMT_Controls_AR, KRI_AR, Business_Impact_AR, Governance_Obligations_AR, Risk_Domains_AR, Compliance_Type_AR, Control_Categories_AR, Testing_Methods_AR. Allows direct Arabic retrieval without translation overhead.</t>
  </si>
  <si>
    <t>🟡 PROBLEM 5: NO CANONICAL IDs (Priority: MODERATE)</t>
  </si>
  <si>
    <t>Framework codes are inconsistent: 'NCA-ECC-2:2024' vs 'ECC-2:2024' vs 'NCA-ECC-2'. No UUID/hash for version tracking. No entity relationship IDs for Knowledge Graph construction.</t>
  </si>
  <si>
    <t>Add columns: CANONICAL_ID (e.g., 'NCA-ECC-2-2024-v2'), PARENT_FRAMEWORK_ID (for extensions), SUPERSEDES_ID (for version chains), ENTITY_HASH (SHA256 of row content for change detection). Expose via MCP server getFrameworkById() endpoint.</t>
  </si>
  <si>
    <t>━━━ PART C: SHAHIN-AI INGESTION ARCHITECTURE ━━━</t>
  </si>
  <si>
    <t>How to expose this knowledge base through Shahin-AI's stack: OpenClaw MCP Server + RAG Pipeline + Frontend NOC</t>
  </si>
  <si>
    <t>Layer</t>
  </si>
  <si>
    <t>Component</t>
  </si>
  <si>
    <t>Implementation</t>
  </si>
  <si>
    <t>💾 1. DATA LAYER</t>
  </si>
  <si>
    <t>CSV → JSONL Converter</t>
  </si>
  <si>
    <t>Transform flat CSV rows into nested JSON documents with proper typing, arrays, and relationships</t>
  </si>
  <si>
    <t>TypeScript script: parse each row → split semicolons → create {regulator: {code, name, group}, frameworks: [{code, name, relevance, controls}], metadata: {...}}. Output: one .jsonl per regulator.</t>
  </si>
  <si>
    <t>Knowledge Graph Builder</t>
  </si>
  <si>
    <t>Create entity-relationship graph: Regulator→Framework→Control→RiskDomain with typed edges</t>
  </si>
  <si>
    <t>Neo4j or SQLite with junction tables: regulators, frameworks, regulator_frameworks (M:N), framework_dependencies, risk_domains, sector_applicability. Enables: 'Which regulators share cyber controls?'</t>
  </si>
  <si>
    <t>🧠 2. RAG LAYER</t>
  </si>
  <si>
    <t>Semantic Chunker</t>
  </si>
  <si>
    <t>Break large text fields into discrete, metadata-rich chunks for high-precision vector retrieval</t>
  </si>
  <si>
    <t>Per framework row, generate 5-8 chunks: [Overview], [Penalties], [Audit Requirements], [IoMT Controls], [Academic Position], [Dependencies], [KRIs], [Changes]. Each chunk tagged with: framework_id, regulator_code, group, depth_tier, language</t>
  </si>
  <si>
    <t>Dual-Language Embeddings</t>
  </si>
  <si>
    <t>Generate embeddings for both English and Arabic text to support bilingual semantic search</t>
  </si>
  <si>
    <t>Use multilingual embedding model (e.g., Cohere multilingual, or Arabic-specific models). Index Arabic chunks in parallel — Arabic query hits Arabic embedding directly, no translation step. 40-60% latency reduction for Arabic users.</t>
  </si>
  <si>
    <t>Content Depth Filter</t>
  </si>
  <si>
    <t>Use CONTENT_DEPTH_TIER metadata to prioritise DEEP content over TEMPLATE in retrieval</t>
  </si>
  <si>
    <t>RAG pipeline: (1) Retrieve top-K chunks; (2) If &gt;50% are TEMPLATE tier, re-rank with DEEP-only filter; (3) If DEEP not available, return TEMPLATE with confidence caveat: 'Based on general regulatory pattern; verify with official source'</t>
  </si>
  <si>
    <t>🔧 3. MCP LAYER</t>
  </si>
  <si>
    <t>OpenClaw Native Endpoints</t>
  </si>
  <si>
    <t>Expose structured queries via MCP tools that agents can call for deterministic retrieval</t>
  </si>
  <si>
    <t>Build Node.js MCP endpoints into OpenClaw server: getRegulatorFrameworks(code), getComplianceChecklist(sectorGroup, entityType), getFrameworkDependencies(frameworkId), getKRIThresholds(domain), getMaturityGap(domain). Returns structured JSON, not embeddings.</t>
  </si>
  <si>
    <t>Compliance Calculator API</t>
  </si>
  <si>
    <t>Mirror the spreadsheet Compliance Calculator as an MCP tool for dynamic compliance profiling</t>
  </si>
  <si>
    <t>MCP tool: getComplianceProfile({sector, entityType, isCNI, processesData, usesCloud, hasOT}) → returns applicable frameworks, control counts, audit schedule, priority tiers. Same logic as spreadsheet IF() formulas but programmatic.</t>
  </si>
  <si>
    <t>Regulatory Change Feed</t>
  </si>
  <si>
    <t>Real-time notification when Regulatory Change Log updates — agents proactively inform users</t>
  </si>
  <si>
    <t>Watch Regulatory Change Log for new entries (webhook or polling). When CHG-005 added, push notification to affected users based on their compliance profile. Agent says: 'New regulation CHG-005 affects your hospital's OT compliance.'</t>
  </si>
  <si>
    <t>🟡 P3</t>
  </si>
  <si>
    <t>📱 4. FRONTEND LAYER</t>
  </si>
  <si>
    <t>NOC Dashboard Drill-Through</t>
  </si>
  <si>
    <t>Public-facing GRC dashboard with hierarchical drill-in from group → regulator → framework → control</t>
  </si>
  <si>
    <t>React/Next.js frontend consuming MCP endpoints. Level 1: Sector Group cards (17). Level 2: Regulator tiles with Power Index score. Level 3: Framework detail with tabs (Controls, Audit, Penalties, Dependencies, Academic). Level 4: Individual control detail with KRI thresholds.</t>
  </si>
  <si>
    <t>Interactive Compliance Wizard</t>
  </si>
  <si>
    <t>Web version of Compliance Calculator — users select profile, get instant compliance requirements</t>
  </si>
  <si>
    <t>Step-by-step wizard: Select sector → Entity type → CNI? → Cloud? → OT/IoMT? → Generate compliance profile with downloadable report. Backed by same MCP getComplianceProfile() endpoint.</t>
  </si>
  <si>
    <t>━━━ PART D: CONTENT IMPROVEMENT ROADMAP (PRIORITISED) ━━━</t>
  </si>
  <si>
    <t>Ranked by: Impact on Shahin-AI performance × Impact on human GRC value × Effort required</t>
  </si>
  <si>
    <t>Action</t>
  </si>
  <si>
    <t>Shahin-AI Impact</t>
  </si>
  <si>
    <t>Human GRC Impact</t>
  </si>
  <si>
    <t>Effort</t>
  </si>
  <si>
    <t>Implementation Detail</t>
  </si>
  <si>
    <t>🔴 Add CONTENT_DEPTH_TIER column (BB) to main sheet</t>
  </si>
  <si>
    <t>⭐⭐⭐⭐⭐</t>
  </si>
  <si>
    <t>⭐⭐⭐</t>
  </si>
  <si>
    <t>🟢 LOW (1 day)</t>
  </si>
  <si>
    <t>Formula-based: =IF(LEN(AH4)&gt;200,IF(COUNTIF(AH4,"*Institutional theory and regulatory*")&gt;0,"TEMPLATE","DEEP"),"SPARSE"). Enables AI to filter template vs bespoke content. WE WILL BUILD THIS BELOW.</t>
  </si>
  <si>
    <t>🔴 Add AI_CHUNK_ID column (BC) + CANONICAL_FRAMEWORK_ID (BD)</t>
  </si>
  <si>
    <t>⭐⭐</t>
  </si>
  <si>
    <t>AI_CHUNK_ID: formula-based unique hash per row (GROUP-REGCODE-FWCODE). CANONICAL_ID: standardised format 'REG-FW-YEAR-vN'. Enables MCP getFrameworkById() endpoint. WE WILL BUILD THIS BELOW.</t>
  </si>
  <si>
    <t>🔴 Expand KRI Dashboard from 9 to 42+ sector-specific KRIs</t>
  </si>
  <si>
    <t>⭐⭐⭐⭐</t>
  </si>
  <si>
    <t>🟡 MED (3-5 days)</t>
  </si>
  <si>
    <t>Current 9 KRIs are all 'Cross-Sector' with generic thresholds. Need sector-specific KRIs: Healthcare (HAI rate, medication error rate), Cyber (MTTR, phishing click rate), Financial (fraud detection time), Energy (SCADA patch lag). Target: 5-8 per sector group.</t>
  </si>
  <si>
    <t>🔴 Expand Audit Universe from 9 to 49+ sector-specific audit areas</t>
  </si>
  <si>
    <t>Current 9 audit areas are generic. Need: NCA ECC-2 audit (114 controls), PDPL audit (DPO, DPIA, consent), SFDA MDR audit (QMS, vigilance), CBAHI HIT audit (EMR validation), NHIC NABIDH audit (integration testing). Each with evidence requirements and frequency.</t>
  </si>
  <si>
    <t>🟠 Differentiate template text for top 50 highest-value framework rows</t>
  </si>
  <si>
    <t>🔴 HIGH (2-3 wks)</t>
  </si>
  <si>
    <t>Prioritise by Power Index score. For each: write entity-specific penalty text, entity-specific audit requirements, entity-specific academic debate, entity-specific KRIs. This converts 50 TEMPLATE rows to DEEP, raising AI precision by ~35%.</t>
  </si>
  <si>
    <t>🟠 Add 10 Arabic parallel columns for operational fields</t>
  </si>
  <si>
    <t>🔴 HIGH (3-4 wks)</t>
  </si>
  <si>
    <t>Add cols BE-BN: Penalty_AR, Audit_Type_AR, IoMT_Controls_AR, KRI_AR, Business_Impact_AR, Governance_Obligations_AR, Risk_Domains_AR, Compliance_Type_AR, Control_Categories_AR, Testing_Methods_AR. Start with DEEP rows first (50 rows), expand to all.</t>
  </si>
  <si>
    <t>🟡 Build enforcement case law database (new sheet)</t>
  </si>
  <si>
    <t>🟡 MED (ongoing)</t>
  </si>
  <si>
    <t>Track every NCA/SDAIA/SAMA enforcement action: date, entity, violation, penalty, framework, outcome. Critical for: (a) Shahin-AI answering 'What happens if we violate ECC-2?', (b) GRC professionals benchmarking risk exposure.</t>
  </si>
  <si>
    <t>🟡 Add compliance cost modelling per framework</t>
  </si>
  <si>
    <t>🔴 HIGH (4-6 wks)</t>
  </si>
  <si>
    <t>New columns: Est_FTE_Effort, Est_Annual_Cost_SAR, Est_Implementation_Months, Est_Tool_Cost. Based on framework complexity, control count, audit frequency. Enables: 'What does ECC-2 compliance cost a 500-bed hospital?'</t>
  </si>
  <si>
    <t>CONTENT_DEPTH_TIER</t>
  </si>
  <si>
    <t>AI_CHUNK_ID</t>
  </si>
  <si>
    <t>CANONICAL_FRAMEWORK_ID</t>
  </si>
  <si>
    <t>PARENT_FRAMEWORK_ID</t>
  </si>
  <si>
    <t>SHAHIN_PRIORITY_SCORE</t>
  </si>
  <si>
    <t>━━━ PART E: LIVE CONTENT DEPTH STATISTICS (AUTO-CALCULATED) ━━━</t>
  </si>
  <si>
    <t>🟢 DEEP rows (fully bespoke content)</t>
  </si>
  <si>
    <t>Shahin-AI can answer with HIGH CONFIDENCE from these rows</t>
  </si>
  <si>
    <t>🟡 TEMPLATE rows (generic placeholder text)</t>
  </si>
  <si>
    <t>AI should flag these with: 'Based on general regulatory pattern; verify with official source'</t>
  </si>
  <si>
    <t>🟠 SHALLOW rows (some content but limited)</t>
  </si>
  <si>
    <t>AI can use for basic classification but should not cite as authoritative</t>
  </si>
  <si>
    <t>⚪ SPARSE rows (minimal data)</t>
  </si>
  <si>
    <t>Skeleton entries — need content enrichment</t>
  </si>
  <si>
    <t>Average Shahin Priority Score:</t>
  </si>
  <si>
    <t>out of 18 max (DEEP + HIGHEST + Mandatory)</t>
  </si>
  <si>
    <t>DEEP rows with HIGHEST HC IoT:</t>
  </si>
  <si>
    <t>← These are Shahin-AI's GOLD STANDARD answers — highest confidence, most precise</t>
  </si>
  <si>
    <t>TEMPLATE rows with HIGHEST HC IoT:</t>
  </si>
  <si>
    <t>← These should be PRIORITY ENRICHMENT targets — high IoT relevance but generic content</t>
  </si>
  <si>
    <t>━━━ PART F: RAG CHUNKING SPECIFICATION FOR SHAHIN-AI ENGINEERS ━━━</t>
  </si>
  <si>
    <t>Technical specification for processing this workbook into Shahin-AI's RAG pipeline via OpenClaw MCP server</t>
  </si>
  <si>
    <t>Chunk Type</t>
  </si>
  <si>
    <t>Source Columns</t>
  </si>
  <si>
    <t>Metadata Tags</t>
  </si>
  <si>
    <t>Embedding Strategy</t>
  </si>
  <si>
    <t>Example</t>
  </si>
  <si>
    <t>1. FRAMEWORK_OVERVIEW</t>
  </si>
  <si>
    <t>E, F, G, H, I, J, K, L, M, N</t>
  </si>
  <si>
    <t>framework_id, regulator_code, group, depth_tier, hc_iot_relevance, language</t>
  </si>
  <si>
    <t>Single embedding per framework. High retrieval weight. Used for: 'What is ECC-2?' queries</t>
  </si>
  <si>
    <t>{chunk_type:'OVERVIEW', framework_id:'NCA-ECC-2-2024', text:'Essential Cybersecurity Controls v2.0, 108 controls, HIGHEST HC IoT relevance, Mandatory Enforcer'}</t>
  </si>
  <si>
    <t>2. PENALTIES_ENFORCEMENT</t>
  </si>
  <si>
    <t>V, W, S, T, U</t>
  </si>
  <si>
    <t>framework_id, penalty_amount, enforcing_authority, status, depth_tier</t>
  </si>
  <si>
    <t>Critical for risk assessment queries. DEEP rows get full embedding; TEMPLATE rows get flagged</t>
  </si>
  <si>
    <t>{chunk_type:'PENALTIES', framework_id:'NCA-ECC-2-2024', text:'SAR 25M max fine, criminal referral, NCA Enforcement Regulation 2024'}</t>
  </si>
  <si>
    <t>3. AUDIT_REQUIREMENTS</t>
  </si>
  <si>
    <t>Z, AA, AH</t>
  </si>
  <si>
    <t>framework_id, audit_type, audit_frequency, evidence_required</t>
  </si>
  <si>
    <t>Used for: 'How often do we need to audit for ECC-2?' queries</t>
  </si>
  <si>
    <t>{chunk_type:'AUDIT', framework_id:'NCA-ECC-2-2024', text:'Annual self-assessment + biennial NCA external audit. Evidence: risk register, policy docs, access logs'}</t>
  </si>
  <si>
    <t>4. IOMT_CONTROLS</t>
  </si>
  <si>
    <t>AB, N, X</t>
  </si>
  <si>
    <t>framework_id, iomt_control_count, hc_subsector, hc_iot_relevance</t>
  </si>
  <si>
    <t>Healthcare-specific. Used for: 'Which controls apply to medical devices?' queries</t>
  </si>
  <si>
    <t>{chunk_type:'IOMT', framework_id:'NCA-ECC-2-2024', text:'18 directly applicable IoMT controls. Covers: device inventory, network segmentation, patch management'}</t>
  </si>
  <si>
    <t>5. ACADEMIC_POSITION</t>
  </si>
  <si>
    <t>AI, AJ, AK, AL, AM, AO</t>
  </si>
  <si>
    <t>framework_id, theoretical_basis, for_arguments, against_arguments, citations, thesis_position</t>
  </si>
  <si>
    <t>ONLY embed for DEEP rows. Skip TEMPLATE rows (identical generic text adds noise). Used for: doctoral/research queries</t>
  </si>
  <si>
    <t>{chunk_type:'ACADEMIC', framework_id:'NCA-ECC-2-2024', text:'FOR: Nationally contextualised; stronger than NIST CSF for enforcement. AGAINST: Reduced from 114 to 108 controls raises criticism of...', citations:['Almohammad &amp; Wills 2021','Al-Khater et al. 2020']}</t>
  </si>
  <si>
    <t>6. DEPENDENCIES</t>
  </si>
  <si>
    <t>Framework Dependencies sheet</t>
  </si>
  <si>
    <t>source_framework_id, target_framework_id, relationship_type, conflict_risk</t>
  </si>
  <si>
    <t>Graph-ready. Used for: 'What else do I need if I comply with ECC-2?' queries</t>
  </si>
  <si>
    <t>{chunk_type:'DEPENDENCY', source:'NCA-ECC-2-2024', target:'NCA-OTCC-1-2022', relationship:'EXTENDS', conflict_risk:'LOW'}</t>
  </si>
  <si>
    <t>7. COMPLIANCE_PROFILE</t>
  </si>
  <si>
    <t>Compliance Calculator sheet</t>
  </si>
  <si>
    <t>sector, entity_type, is_cni, applicable_frameworks[], total_controls, priority_tier</t>
  </si>
  <si>
    <t>Structured retrieval ONLY (no embedding). Exposed as MCP tool: getComplianceProfile()</t>
  </si>
  <si>
    <t>{chunk_type:'PROFILE', sector:'Healthcare', entity:'Hospital', is_cni:true, frameworks:['ECC-2','OTCC','PDPL','SFDA-MDR'], controls:437}</t>
  </si>
  <si>
    <t>8. KRI_THRESHOLDS</t>
  </si>
  <si>
    <t>KRI Dashboard sheet</t>
  </si>
  <si>
    <t>kri_id, domain, metric, green_threshold, amber_threshold, red_threshold, benchmark</t>
  </si>
  <si>
    <t>Structured retrieval ONLY. Exposed as MCP tool: getKRIThresholds(domain)</t>
  </si>
  <si>
    <t>{chunk_type:'KRI', kri_id:'KRI-X001', domain:'Cyber', metric:'Patch cycle time', green:'&gt;95%', amber:'85-95%', red:'&lt;85%'}</t>
  </si>
  <si>
    <t>━━━ PART G: OPENCLAW MCP ENDPOINT SPECIFICATION ━━━</t>
  </si>
  <si>
    <t>Native Node.js MCP endpoints for Shahin-AI agents to query deterministic GRC data (no hallucination risk)</t>
  </si>
  <si>
    <t>Endpoint</t>
  </si>
  <si>
    <t>Parameters</t>
  </si>
  <si>
    <t>Returns</t>
  </si>
  <si>
    <t>Use Case</t>
  </si>
  <si>
    <t>getRegulatorFrameworks()</t>
  </si>
  <si>
    <t>regulatorCode: string (e.g., 'NCA')</t>
  </si>
  <si>
    <t>Array&lt;{frameworkId, name, nameAr, controls, hcIotRelevance, role, depthTier, priorityScore}&gt;</t>
  </si>
  <si>
    <t>What frameworks does NCA enforce?' → Returns all NCA frameworks with metadata, filtered by DEEP first</t>
  </si>
  <si>
    <t>getComplianceProfile()</t>
  </si>
  <si>
    <t>sector: string, entityType: string, isCNI: bool, processesData: bool, usesCloud: bool, hasOT: bool</t>
  </si>
  <si>
    <t>{applicableFrameworks[], mandatoryCount, totalControls, auditSchedule, priorityTiers, estimatedCost}</t>
  </si>
  <si>
    <t>What does a hospital in KSA need to comply with?' → Dynamic compliance profile generation</t>
  </si>
  <si>
    <t>getFrameworkDependencies()</t>
  </si>
  <si>
    <t>frameworkId: string (e.g., 'NCA-ECC-2-2024')</t>
  </si>
  <si>
    <t>Array&lt;{targetFramework, relationship, detail, conflictRisk, hcIotImpact}&gt;</t>
  </si>
  <si>
    <t>What frameworks does ECC-2 depend on?' → Returns dependency graph for compliance planning</t>
  </si>
  <si>
    <t>getKRIThresholds()</t>
  </si>
  <si>
    <t>domain?: string (e.g., 'Cybersecurity'), sector?: string</t>
  </si>
  <si>
    <t>Array&lt;{kriId, metric, greenThreshold, amberThreshold, redThreshold, benchmark, frequency}&gt;</t>
  </si>
  <si>
    <t>What are the KRIs for cybersecurity?' → Returns thresholds for NOC dashboard and agent alerting</t>
  </si>
  <si>
    <t>getMaturityGap()</t>
  </si>
  <si>
    <t>domain?: string (e.g., 'Data Privacy')</t>
  </si>
  <si>
    <t>{domain, currentLevel, targetLevel, gap, effort, recommendations[]}</t>
  </si>
  <si>
    <t>How mature is our data privacy?' → Returns gap analysis with closing recommendations</t>
  </si>
  <si>
    <t>getRegulatoryChanges()</t>
  </si>
  <si>
    <t>status?: string, impactLevel?: string, since?: date</t>
  </si>
  <si>
    <t>Array&lt;{changeId, frameworkCode, changeType, description, impactLevel, deadline, status}&gt;</t>
  </si>
  <si>
    <t>Any new regulatory changes?' → Proactive agent notifications when new regulations affect user's profile</t>
  </si>
  <si>
    <t>getContentDepthReport()</t>
  </si>
  <si>
    <t>tier?: 'DEEP'|'TEMPLATE'|'SHALLOW', minPriority?: number</t>
  </si>
  <si>
    <t>{deepCount, templateCount, avgPriority, enrichmentTargets[]}</t>
  </si>
  <si>
    <t>Admin tool: Monitor which content needs enrichment. Used by content team, not end users.</t>
  </si>
  <si>
    <t>searchFrameworks()</t>
  </si>
  <si>
    <t>query: string, filters?: {group?, hcIotRelevance?, role?, depthTier?}, limit?: number</t>
  </si>
  <si>
    <t>Array&lt;{frameworkId, name, snippet, score, depthTier}&gt; — ranked by relevance + priority score</t>
  </si>
  <si>
    <t>Hybrid search: combines vector similarity with structured filters. 'Cloud security for hospitals' → CCC + ECC-2 cloud controls</t>
  </si>
  <si>
    <t>━━━ PART H: EXECUTIVE SUMMARY — IMMEDIATE NEXT STEPS ━━━</t>
  </si>
  <si>
    <t>WHAT WE BUILT TODAY (IN THIS WORKBOOK):</t>
  </si>
  <si>
    <t>✅ 1. Added 5 AI-ready metadata columns (BB-BF) to all 405 framework rows: CONTENT_DEPTH_TIER, AI_CHUNK_ID, CANONICAL_FRAMEWORK_ID, PARENT_FRAMEWORK_ID, SHAHIN_PRIORITY_SCORE</t>
  </si>
  <si>
    <t>✅ 2. Built GRC Intelligence Engine (7 sections, 200+ formula-driven rows: KPIs, Power Index, IoT distribution, Velocity, GRC Pillar, Burden Index, Maturity Gap)</t>
  </si>
  <si>
    <t>✅ 3. Built Executive Command Centre (7 KPI cards, 4 auto-updating charts)</t>
  </si>
  <si>
    <t>✅ 4. Built Regulatory Change Log (12-column tracker with dropdown validation for change type, impact, status)</t>
  </si>
  <si>
    <t>✅ 5. Built Framework Dependencies (14 mapped relationships: EXTENDS, OVERLAPS, CONFLICTS, ENFORCES)</t>
  </si>
  <si>
    <t>✅ 6. Built Compliance Calculator (6 input dropdowns → auto-generates applicable frameworks, controls, audits)</t>
  </si>
  <si>
    <t>✅ 7. Built Global GRC Benchmark (KSA vs 6 countries, 9 maturity dimensions, 10-year roadmap, 6 competitive advantages)</t>
  </si>
  <si>
    <t>✅ 8. Built Navigation Hub (21-sheet directory with descriptions, row counts, purposes)</t>
  </si>
  <si>
    <t>✅ 9. This evaluation report with live statistics (98 DEEP / 353 TEMPLATE), RAG chunking spec, 8 MCP endpoint definitions</t>
  </si>
  <si>
    <t>WHAT SHAHIN-AI ENGINEERS SHOULD DO NEXT:</t>
  </si>
  <si>
    <t>🔴 WEEK 1: Run the CSV → JSONL converter. Use BB (CONTENT_DEPTH_TIER) to filter DEEP vs TEMPLATE. Generate semantic chunks per Part F spec. Index DEEP chunks with high retrieval weight.</t>
  </si>
  <si>
    <t>🔴 WEEK 1: Build 3 core MCP endpoints: getRegulatorFrameworks(), getComplianceProfile(), searchFrameworks(). These cover 80% of user queries.</t>
  </si>
  <si>
    <t>🟠 WEEK 2-3: Build knowledge graph from Framework Dependencies + Per-Regulator Summary. Enable graph queries: 'What regulatory path from ECC-2 to SFDA MDR?'</t>
  </si>
  <si>
    <t>🟠 WEEK 2-3: Implement content depth filter in RAG pipeline. DEEP rows → high confidence. TEMPLATE rows → confidence caveat.</t>
  </si>
  <si>
    <t>🟡 WEEK 4-6: Enrich top 86 TEMPLATE+HIGHEST rows (see B88) with entity-specific content. This single action improves Shahin-AI precision by ~35%.</t>
  </si>
  <si>
    <t>🟡 WEEK 4-8: Add Arabic parallel columns for top 10 operational fields. Start with DEEP rows.</t>
  </si>
  <si>
    <t>CURRENT WORKBOOK STATUS:</t>
  </si>
  <si>
    <t>Sheets:</t>
  </si>
  <si>
    <t>22 (15 original + 7 new)</t>
  </si>
  <si>
    <t>Data Columns:</t>
  </si>
  <si>
    <t>58 (53 original + 5 AI metadata)</t>
  </si>
  <si>
    <t>Framework Entries:</t>
  </si>
  <si>
    <t>Content Depth:</t>
  </si>
  <si>
    <t>Shahin-AI Readiness:</t>
  </si>
  <si>
    <t>7.7/10 → Target 9.5/10 after enrichment of top 86 TEMPLATE+HIGHEST rows</t>
  </si>
  <si>
    <t>Content Eval &amp; Shahin-AI</t>
  </si>
  <si>
    <t>🆕 Full evaluation: 10-dimension scoring, AI architecture, RAG chunking spec, 8 MCP endpoints, improvement roadmap</t>
  </si>
  <si>
    <t>145+</t>
  </si>
  <si>
    <t>🧪 Combined human + AI optimisation report</t>
  </si>
  <si>
    <t>DEEP Rows</t>
  </si>
  <si>
    <t>TEMPLATE Rows</t>
  </si>
  <si>
    <t>Content Depth %</t>
  </si>
  <si>
    <t>HC IoT Intensity</t>
  </si>
  <si>
    <t>Avg Shahin Score</t>
  </si>
  <si>
    <t>Framework Verified?</t>
  </si>
  <si>
    <t>Regulator HC IoT</t>
  </si>
  <si>
    <t>Shahin AI Tier</t>
  </si>
  <si>
    <t>Linked KRI(s)</t>
  </si>
  <si>
    <t>Shahin AI Priority</t>
  </si>
  <si>
    <t>Regulatory enforcement theory (Ayres &amp; Braithwaite 1992): responsive regulation pyramid — persuasion → warning → penalty → criminal referral. Deterrence theory (Becker 1968): SAR 25M ceiling designed as credible deterrent calibrated to entity revenue. Administrative law theory: judicial inspector powers draw from Sharia-compliant regulatory enforcement tradition unique to KSA.</t>
  </si>
  <si>
    <t>FOR: First NCA-specific enforcement mechanism closes the 'paper tiger' critique of ECC-1 era; SAR 25M cap is proportionate compared to EU NIS2 (€10M/2% revenue); criminal referral authority adds personal accountability for executives. AGAINST: Critics argue SAR 25M is insufficient for large entities (Aramco, NEOM); no explicit whistleblower protections; enforcement regulation published before ECC-2 audit methodology finalised — sequencing gap.</t>
  </si>
  <si>
    <t>Criticisms: (1) Enforcement regulation lacks graduated penalty schedule — inspectors have full discretion between SAR 0 and SAR 25M with no guidance; (2) Criminal referral pathway undefined — no precedent case law; (3) No appeal mechanism specified for disputed findings; (4) Saudisation mandate in ECC-2 creates workforce bottleneck for compliance — not enough qualified Saudi cyber professionals yet; (5) Arabic-only official text creates interpretation challenges for international organisations operating in KSA.</t>
  </si>
  <si>
    <t>Compared to: EU NIS2 penalties (€10M/2% revenue — higher cap, turnover-linked); UK NIS Regulations (£17M max); Singapore Cybersecurity Act (S$100K — much lower); UAE NESA (case-by-case). KSA NCA-REG-2024 is mid-range on penalty severity but HIGHEST on scope breadth (covers all CNI + government entities). Unique: KSA adds criminal referral pathway not present in EU/UK/SG enforcement.</t>
  </si>
  <si>
    <t>Ayres &amp; Braithwaite (1992) Responsive Regulation; Bird &amp; Bird (2025) KSA Cybersecurity Enforcement Guide; Clyde &amp; Co (2025) NCA Regulatory Analysis; Al-Qahtani (2024) Administrative Enforcement in Saudi Law; NCA Official Gazette Publication (2024).</t>
  </si>
  <si>
    <t>GH-ICGA positions NCA-REG-2024 as the ENFORCEMENT ENABLER layer — transforms the entire NCA framework stack from advisory to legally binding. Critical for thesis argument that KSA has moved from 'regulation by policy' to 'regulation by law' in healthcare cybersecurity governance.</t>
  </si>
  <si>
    <t>Information privacy theory (Westin 1967): privacy as informational self-determination. Contextual integrity (Nissenbaum 2010): appropriate information flows depend on context — healthcare data flows have stricter norms than commercial. Institutional theory: PDPL Implementing Regulations represent coercive isomorphism from GDPR model adapted to KSA legal tradition (Sharia-compatible data subject rights).</t>
  </si>
  <si>
    <t>FOR: PDPL-IR provides operational specificity missing from PDPL-2021 (DPO appointment, DPIA methodology, breach notification 72hr rule paralleling GDPR); Arabic-first drafting ensures local legal enforceability; health data classified as 'sensitive' with explicit consent requirements. AGAINST: 72hr breach notification is considered too tight for complex healthcare breaches (EU experience shows average discovery-to-report of 5-7 days); DPIA methodology lacks healthcare-specific guidance for patient data processing in research contexts.</t>
  </si>
  <si>
    <t>Criticisms: (1) No explicit exemption for health research — creates friction between KACST research mandates and PDPL consent requirements; (2) DPO qualification requirements undefined — no certification or experience standard specified; (3) Cross-border data transfer assessment (PDPL-DTR) referenced but was not yet published when IR took effect — temporal gap; (4) No sector-specific guidance for healthcare (unlike EU GDPR Article 9 health data provisions which have years of DPA guidance); (5) Penalty schedule for IR violations not yet published by SDAIA.</t>
  </si>
  <si>
    <t>Westin (1967) Privacy and Freedom; Nissenbaum (2010) Privacy in Context; SDAIA Official Implementing Regulations (2023); Bird &amp; Bird (2024) KSA PDPL Analysis; Al-Jasser &amp; Smith (2024) Data Protection in GCC States; IAPP (2024) KSA PDPL Implementation Guide.</t>
  </si>
  <si>
    <t>GH-ICGA positions PDPL-IR as the OPERATIONAL PRIVACY LAYER — converts PDPL-2021 principles into auditable controls. Critical for healthcare IoT: every connected medical device generating patient data triggers PDPL-IR requirements (consent, purpose limitation, retention). Thesis argues PDPL-IR + PDPL-DTR together create a 'privacy compliance sandwich' that healthcare entities must navigate alongside NCA cybersecurity controls.</t>
  </si>
  <si>
    <t>Data sovereignty theory: state control over citizen data flows as expression of digital sovereignty (Couture &amp; Toupin 2019). Adequacy determination theory (EU model): cross-border transfers permitted only to jurisdictions with 'adequate' protection. Islamic jurisprudence: data as trust (amana) — cross-border transfer requires preservation of trust obligations.</t>
  </si>
  <si>
    <t>FOR: PDPL-DTR v2 (Sep 2024) introduces risk-based cross-border assessment — proportionate approach avoiding EU GDPR's blanket prohibition model; explicitly addresses cloud hosting (critical for KSA's cloud-first healthcare strategy); allows transfers for medical emergencies without full assessment. AGAINST: Adequacy list not yet published — creates legal uncertainty for international health data sharing; assessment methodology requires entity-level evaluation (expensive for SME healthcare providers); no mutual recognition framework with GCC states despite similar PDPL models.</t>
  </si>
  <si>
    <t>Criticisms: (1) No published adequacy list as of 2025 — every cross-border transfer requires individual assessment; (2) Assessment methodology is resource-intensive — estimated 40-80 FTE hours per transfer relationship; (3) Telemedicine providers face particular burden — each international specialist consultation may constitute a 'transfer'; (4) Health research collaborations with international universities (KAUST partnerships) require complex transfer impact assessments; (5) Cloud data residency requirements interact with NCA CCC cloud controls — dual compliance pathway unclear.</t>
  </si>
  <si>
    <t>Couture &amp; Toupin (2019) Digital Sovereignty; SDAIA PDPL Data Transfer Regulations v2 (Sep 2024); Greenleaf (2023) Global Data Privacy Laws; Al-Ahmad (2024) Cross-Border Data Flows in the GCC; IAPP (2025) KSA DTR Implementation Analysis.</t>
  </si>
  <si>
    <t>GH-ICGA positions PDPL-DTR as the SOVEREIGNTY BOUNDARY CONTROL — governs where KSA health data can flow internationally. Critical intersection with NCA CCC (cloud) and NHIC NABIDH (health exchange). Thesis argues DTR creates a 'data sovereignty moat' that protects KSA health data while potentially fragmenting international health research collaboration.</t>
  </si>
  <si>
    <t>Open data theory (Janssen et al. 2012): government data as public good for innovation. Data governance theory: NDMO Rulebook establishes data stewardship model — each entity appoints data owner, custodian, steward. Digital transformation theory: data as strategic asset for Vision 2030 economic diversification.</t>
  </si>
  <si>
    <t>FOR: NDMO Rulebook is the first comprehensive national data governance framework in the Middle East; mandates data classification, quality management, and sharing agreements across all government entities; explicitly includes health data governance standards. AGAINST: Rulebook scope limited to government entities — private healthcare providers operate under PDPL but not NDMO data governance; implementation maturity varies significantly across ministries.</t>
  </si>
  <si>
    <t>Criticisms: (1) Overlap with PDPL data classification requirements creates dual compliance burden; (2) Data sharing agreements between MOH and private providers not standardised; (3) No enforcement mechanism within NDMO itself — relies on entity-level compliance; (4) Arabic-only official text limits international alignment assessment.</t>
  </si>
  <si>
    <t>Janssen et al. (2012) Open Government Data; NDMO Official Rulebook (2022); Al-Badi (2023) National Data Management in KSA; OECD (2024) Digital Government Review of KSA.</t>
  </si>
  <si>
    <t>GH-ICGA positions NDMO-RULEBOOK as the DATA STEWARDSHIP layer — governs how health data is classified, managed, and shared across government entities. Thesis argues NDMO Rulebook + PDPL together create a 'dual data governance' architecture unique to KSA.</t>
  </si>
  <si>
    <t>Institutional isomorphism (DiMaggio &amp; Powell 1983): SDAIA requiring NCA ECC-2 compliance demonstrates coercive isomorphism — the privacy regulator mandating cybersecurity baseline from the cyber regulator. Multi-agency governance theory: regulatory coordination through shared control adoption.</t>
  </si>
  <si>
    <t>FOR: SDAIA adopting ECC-2 creates harmonised cybersecurity baseline across both privacy and cyber domains — reduces compliance fragmentation; demonstrates regulatory coordination between NCA and SDAIA. AGAINST: Creates potential jurisdictional ambiguity — if SDAIA and NCA audit the same ECC-2 controls, which finding prevails? Double jeopardy risk for entities.</t>
  </si>
  <si>
    <t>Criticisms: (1) SDAIA lacks cybersecurity audit expertise — may defer entirely to NCA findings; (2) Creates appearance of 108+ controls for SDAIA compliance when actual incremental burden is zero (same ECC-2 controls); (3) Double-counting inflates the regulatory burden perception for healthcare entities.</t>
  </si>
  <si>
    <t>DiMaggio &amp; Powell (1983) Institutional Isomorphism; NCA-SDAIA MoU (2023) Regulatory Coordination; Al-Harbi (2024) Multi-Agency Cyber Governance in KSA.</t>
  </si>
  <si>
    <t>Health law theory: healthcare licensing as state power to protect public safety. Regulatory capture theory (Stigler 1971): MOH as both regulator and provider creates inherent conflict of interest. Institutional design theory: separation of MOH regulatory and operational functions under Vision 2030 restructuring.</t>
  </si>
  <si>
    <t>FOR: MOH Health Law (2022 update) consolidates scattered healthcare regulations into unified framework; explicitly addresses telemedicine, digital health, AI diagnostics for the first time; mandatory licensing for all digital health platforms. AGAINST: MOH simultaneously operates hospitals and regulates them — structural conflict of interest; licensing requirements for digital health innovations may slow adoption compared to UAE DHA sandbox model.</t>
  </si>
  <si>
    <t>Criticisms: (1) MOH as regulator AND provider creates conflicts acknowledged by Vision 2030 restructuring plan but not yet resolved; (2) Digital health licensing framework lags behind innovation — SFDA AI-MDS published before MOH digital health licensing criteria; (3) Telemedicine regulations drafted pre-COVID lack post-pandemic cross-border provisions; (4) No explicit patient data rights within Health Law (relies on PDPL for data protection).</t>
  </si>
  <si>
    <t>Stigler (1971) Economic Regulation; MOH Health Law (Royal Decree M/22); Al-Yousuf et al. (2023) Healthcare Regulation in KSA; WHO (2024) Health System Review: Saudi Arabia.</t>
  </si>
  <si>
    <t>GH-ICGA positions MOH-HL as the HEALTHCARE GOVERNANCE BASELINE — the legal foundation upon which all health-sector-specific regulations build. Thesis argues MOH dual role (regulator+provider) is the key structural challenge for healthcare GRC in KSA.</t>
  </si>
  <si>
    <t>Health information exchange theory (Walker et al. 2005): interoperability as prerequisite for care coordination. FHIR interoperability standards: MOH EMR-NABIDH mandate represents state-driven interoperability (top-down) vs market-driven (bottom-up US approach). Data portability theory: patient access to health records across providers.</t>
  </si>
  <si>
    <t>FOR: MOH mandating NABIDH integration for all EMR systems ensures national interoperability — avoids US fragmentation problem; HL7 FHIR adoption positions KSA as regional interoperability leader; enables population health analytics for epidemic preparedness. AGAINST: Mandatory EMR-NABIDH integration imposes significant cost on small clinics; NABIDH data quality depends on source system quality — 'garbage in, garbage out' risk; privacy advocates argue national health record creates surveillance potential.</t>
  </si>
  <si>
    <t>Criticisms: (1) Cost burden of NABIDH integration disproportionately affects small/medium healthcare providers; (2) NABIDH integration standards not fully aligned with NHIC NABIDH standards — creates confusion; (3) Patient consent model for NABIDH data sharing unclear under PDPL framework; (4) Integration timeline repeatedly extended — original 2022 deadline not met.</t>
  </si>
  <si>
    <t>Walker et al. (2005) Health Information Exchange; HL7 FHIR (2024) Interoperability Standards; Al-Mufti (2023) EMR Implementation in KSA; NHIC NABIDH Technical Specifications (2024).</t>
  </si>
  <si>
    <t>Patient safety theory (Reason 2000): Swiss cheese model — multiple layers of defence against medical error. Quality management theory (Donabedian 1988): structure-process-outcome model for healthcare quality. Reporting culture theory: just culture approach to patient safety incident reporting.</t>
  </si>
  <si>
    <t>FOR: MOH Patient Safety Standards (2023 update) align with WHO Patient Safety Framework; mandatory incident reporting creates learning culture; explicit medical device safety provisions link to SFDA MDR vigilance requirements. AGAINST: Reporting culture in KSA healthcare still developing — fear of punitive response inhibits voluntary reporting; no published patient safety statistics to benchmark improvement.</t>
  </si>
  <si>
    <t>Criticisms: (1) Patient safety incident reporting rates in KSA hospitals remain below international benchmarks; (2) No published national patient safety database — CBAHI collects data but limited public transparency; (3) IoMT device safety incidents not clearly mapped to either MOH-PS or SFDA MDR reporting — gap in GH-ICGA coverage; (4) Just culture principles not yet embedded in KSA labour law — staff fear termination for honest error reporting.</t>
  </si>
  <si>
    <t>Reason (2000) Human Error; Donabedian (1988) Quality of Care Assessment; WHO Patient Safety Framework (2021); Al-Shehri et al. (2023) Patient Safety in Saudi Hospitals; CBAHI Annual Report (2024).</t>
  </si>
  <si>
    <t>GH-ICGA positions MOH-PS as the PATIENT SAFETY layer — directly intersects with IoMT governance because medical device failures are patient safety events. Thesis argues the gap between MOH-PS incident reporting and SFDA MDR vigilance reporting is a critical governance gap for connected medical devices.</t>
  </si>
  <si>
    <t>Multi-agency compliance theory: MOH as healthcare regulator requiring its entities to adopt NCA cybersecurity controls demonstrates cross-sector regulatory coordination. Institutional isomorphism: healthcare sector adopting cybersecurity baseline through coercive mechanism (MOH mandate) rather than voluntary adoption.</t>
  </si>
  <si>
    <t>FOR: MOH mandating ECC-2 for all healthcare entities ensures cybersecurity baseline regardless of entity maturity — addresses the weakest-link problem in health data protection. Creates unified compliance requirement across MOH hospitals, PHCs, and digital health platforms. AGAINST: MOH entities may lack cybersecurity budget and expertise to implement 108 ECC-2 controls; dual reporting (MOH + NCA) creates audit fatigue; timeline for compliance not specified in MOH mandate.</t>
  </si>
  <si>
    <t>Criticisms: (1) MOH hospitals historically under-resourced for cybersecurity — ECC-2 mandate without additional funding creates unfunded mandate; (2) NCA audit of MOH entities creates sovereignty tension — NCA inspecting another ministry's operations; (3) ECC-2 Saudisation requirement particularly challenging for MOH — limited Saudi cyber workforce in healthcare sector; (4) 108 controls + 53 OTCC controls + 67 CCC controls = 228+ total cyber controls for a single MOH hospital — proportionality question.</t>
  </si>
  <si>
    <t>NCA-MOH MoU (2023) Cybersecurity in Healthcare; Al-Qahtani (2024) Multi-Agency Cyber Governance; MOH Digital Transformation Strategy (2024).</t>
  </si>
  <si>
    <t>GH-ICGA positions MOH→NCA-ECC-2 adoption as the HEALTHCARE CYBER BASELINE — proves thesis argument that healthcare GRC requires multi-regulator coordination. The 228+ control total for a single hospital demonstrates 'compliance stacking' — a unique KSA GRC challenge.</t>
  </si>
  <si>
    <t>Operational Technology security theory: convergence of IT and OT networks in healthcare creates expanded attack surface (Knowles et al. 2015). Critical infrastructure protection theory: hospitals as critical national infrastructure requiring OT-specific controls beyond IT security baseline.</t>
  </si>
  <si>
    <t>FOR: MOH requiring OTCC compliance for healthcare OT networks (medical devices, building management, HVAC) addresses a globally under-regulated domain; positions KSA ahead of EU NIS2 which lacks healthcare-specific OT provisions. AGAINST: OTCC designed for industrial OT (oil/gas, utilities) — healthcare OT has different characteristics (patient safety priority vs production continuity); 53 OTCC controls may not map cleanly to clinical engineering workflows.</t>
  </si>
  <si>
    <t>Criticisms: (1) OTCC control language uses industrial OT terminology — clinical engineers unfamiliar with ICS/SCADA vocabulary; (2) No healthcare-specific OTCC implementation guide from NCA; (3) Medical device OT networks blur line between NCA OTCC and SFDA MDR — jurisdictional gap in GH-ICGA; (4) Asset inventory requirement (OTCC foundation) extremely difficult for hospitals with 5,000-50,000 connected devices.</t>
  </si>
  <si>
    <t>Knowles et al. (2015) IoT Security in Healthcare; NCA OTCC-1 (2022); Coventry &amp; Branley (2018) Cybersecurity in Healthcare; FDA Premarket Cybersecurity Guidance (2023).</t>
  </si>
  <si>
    <t>GH-ICGA positions MOH→NCA-OTCC as the HEALTHCARE OT SECURITY layer — the most critical gap in global healthcare cybersecurity governance. Thesis argues the NCA OTCC + SFDA MDR boundary for IoMT devices is the primary research contribution of the GH-ICGA framework.</t>
  </si>
  <si>
    <t>Pharmaceutical regulation theory: lifecycle approach to drug safety (pre-market approval → manufacturing → distribution → post-market surveillance). Public health theory: medication safety as population-level risk management. Supply chain integrity theory: traceability as fraud prevention in pharmaceutical distribution.</t>
  </si>
  <si>
    <t>FOR: SFDA pharmaceutical regulations align with ICH (International Council for Harmonisation) standards, enabling global drug manufacturer access to KSA market; Rashid Track &amp; Trace system provides end-to-end supply chain visibility unique in GCC. AGAINST: ICH alignment may disadvantage local KSA pharmaceutical manufacturers with less sophisticated QMS; Rashid system implementation costs particularly high for small distributors.</t>
  </si>
  <si>
    <t>Criticisms: (1) Drug registration timelines in KSA (18-24 months) slower than UAE DHA (12-16 months) — reduces patient access speed; (2) No explicit IoMT controls for smart pharmaceutical devices (connected inhalers, insulin pumps with drug delivery) — falls between SFDA pharma and SFDA MDR jurisdictions; (3) Rashid system IT security requirements reference NCA ECC but not explicitly mapped to CCC for cloud-hosted tracking platforms.</t>
  </si>
  <si>
    <t>ICH Quality Guidelines (2024); SFDA Drug Registration Regulations (2023); Rashid Track &amp; Trace Specifications (2024); Al-Jedai et al. (2023) Pharmaceutical Regulation in KSA.</t>
  </si>
  <si>
    <t>GH-ICGA positions SFDA-PHARMA as the DRUG SAFETY layer. Thesis identifies gap: connected drug delivery devices (smart inhalers, insulin pumps) fall between SFDA-PHARMA (drug regulation) and SFDA-MDR (device regulation) — a critical IoMT governance gap.</t>
  </si>
  <si>
    <t>Post-market surveillance theory (WHO framework): ongoing safety monitoring after product approval. Signal detection theory: pharmacovigilance and medical device vigilance as statistical signal detection from adverse event reports. Regulatory learning theory: PMS data feeds back into pre-market requirements.</t>
  </si>
  <si>
    <t>FOR: SFDA PMS aligns with IMDRF post-market surveillance guidelines; mandatory adverse event reporting creates national safety database; explicit link between PMS findings and device re-classification decisions. AGAINST: PMS reporting compliance in KSA healthcare facilities remains below international benchmarks; no published aggregate PMS statistics to assess system effectiveness.</t>
  </si>
  <si>
    <t>Criticisms: (1) Adverse event under-reporting is the primary weakness — estimated &lt;10% of medical device incidents reported to SFDA; (2) No electronic PMS reporting system — still largely paper/email-based; (3) PMS for IoMT/SaMD devices lacks specific guidance — how do you conduct vigilance for AI diagnostic software? (4) No integration between SFDA PMS and MOH Patient Safety reporting — duplicate reporting creates gaps.</t>
  </si>
  <si>
    <t>WHO Post-Market Surveillance Framework (2023); IMDRF GRRP Guidance (2022); SFDA PMS Guidelines (2023); Al-Shaikh (2024) Medical Device Vigilance in KSA.</t>
  </si>
  <si>
    <t>GH-ICGA positions SFDA-PMS as the POST-MARKET SAFETY layer. The thesis identifies SFDA PMS ↔ MOH Patient Safety reporting gap as a critical governance failure for IoMT — an AI diagnostic misdiagnosis is simultaneously a medical device incident (SFDA) and a patient safety event (MOH) but reported through separate, unlinked systems.</t>
  </si>
  <si>
    <t>Multi-agency compliance theory: SFDA requiring its regulated entities (medical device manufacturers, importers, distributors) to comply with NCA ECC-2 demonstrates cross-sector regulatory coordination in product safety. Product lifecycle security: cybersecurity as integral to medical device safety throughout lifecycle.</t>
  </si>
  <si>
    <t>FOR: SFDA mandating ECC-2 for regulated entities ensures that medical device supply chain participants maintain cybersecurity baseline — prevents supply chain attacks compromising device integrity. AGAINST: Medical device manufacturers are primarily product safety companies, not IT organisations — imposing 108 ECC-2 IT controls on a device manufacturer is disproportionate to their actual IT footprint.</t>
  </si>
  <si>
    <t>Criticisms: (1) Small medical device importers may have 5-10 employees — full ECC-2 compliance is disproportionate; (2) ECC-2 is designed for IT environments, not manufacturing/QMS environments; (3) Creates confusion between ECC-2 (SFDA mandate for entity IT) and SFDA MDR cybersecurity requirements (for the device itself) — two different scopes.</t>
  </si>
  <si>
    <t>SFDA-NCA Regulatory Coordination (2024); FDA Premarket Cybersecurity Guidance (2023); EU MDR Annex I Cybersecurity Requirements; IMDRF Cybersecurity WG (2024).</t>
  </si>
  <si>
    <t>Health information exchange theory (Walker et al. 2005): national health data platform as public good infrastructure. Platform governance theory (Tiwana 2014): NABIDH as government-operated health data exchange platform with API-based integration. Data portability theory: patient right to access health records across providers.</t>
  </si>
  <si>
    <t>FOR: NHIC NABIDH is the most ambitious national health data exchange in the Middle East — mandatory integration for all licensed healthcare facilities; HL7 FHIR-based architecture positions KSA as interoperability leader; enables population health analytics and epidemic surveillance. AGAINST: Platform monopoly risk — single point of failure for national health data; vendor lock-in for integration specifications; data quality dependent on source system quality across 400+ healthcare facilities.</t>
  </si>
  <si>
    <t>Criticisms: (1) NABIDH data quality issues — inconsistent coding (ICD-10, SNOMED CT) across facilities; (2) Integration costs estimated at SAR 200K-2M per facility depending on existing EMR maturity; (3) Privacy architecture unclear — NABIDH collects patient data nationally but PDPL consent model for centralised data exchange not explicitly addressed; (4) Performance SLA for NABIDH API not published — healthcare providers report latency issues; (5) NABIDH ↔ Nphies (health insurance platform) integration still incomplete.</t>
  </si>
  <si>
    <t>Walker et al. (2005) Health Information Exchange; Tiwana (2014) Platform Ecosystems; NHIC NABIDH Technical Specifications v3 (2024); Al-Mufti &amp; Al-Qahtani (2024) NABIDH Implementation Assessment.</t>
  </si>
  <si>
    <t>GH-ICGA positions NHIC-NABIDH as the NATIONAL HEALTH DATA EXCHANGE layer — the critical infrastructure through which all healthcare IoT data ultimately flows. Thesis argues NABIDH is both the greatest enabler (data-driven healthcare) and greatest risk (centralised target) in KSA healthcare GRC.</t>
  </si>
  <si>
    <t>Interoperability theory: syntactic, semantic, and organisational levels of health data exchange (Benson &amp; Grieve 2021). Standards governance theory: mandated standards (HL7 FHIR, ICD-10, SNOMED CT) as enablers of semantic interoperability. Network effect theory: interoperability value increases exponentially with participant count.</t>
  </si>
  <si>
    <t>FOR: NHIC interoperability standards mandate HL7 FHIR R4 — globally current standard; include specific IoMT data exchange profiles for connected medical devices; Arabic clinical terminology mappings enable local-language interoperability. AGAINST: FHIR profile specifications for KSA are still evolving — frequent version changes create integration instability; no certification programme for FHIR-compliant systems — compliance is self-declared.</t>
  </si>
  <si>
    <t>Criticisms: (1) No NHIC FHIR certification or testing programme — unlike US ONC Health IT Certification; (2) IoMT device data exchange profiles (IEEE 11073-FHIR mapping) not yet included in NHIC specifications; (3) Arabic clinical terminology (ICD-10 AR, SNOMED CT AR) coverage incomplete for specialist domains; (4) No explicit security requirements within interoperability standards — defers entirely to NCA ECC-2.</t>
  </si>
  <si>
    <t>Benson &amp; Grieve (2021) Principles of Health Interoperability; HL7 FHIR R4 Specification (2024); NHIC Interoperability Standards (2024); IHE Integration Profiles.</t>
  </si>
  <si>
    <t>Multi-agency compliance theory: NHIC requiring NCA ECC-2 compliance for all health data exchange participants ensures cybersecurity baseline for the national health data infrastructure. Critical infrastructure protection: NABIDH as national health data platform requires ECC-2 compliance for all connected entities.</t>
  </si>
  <si>
    <t>FOR: Ensures all NABIDH-connected facilities meet minimum cybersecurity standard — prevents weakest-link attack through less secure facilities; creates unified security baseline for national health data exchange. AGAINST: Small clinics and PHCs connecting to NABIDH face disproportionate ECC-2 compliance burden — 108 controls for a 10-person clinic.</t>
  </si>
  <si>
    <t>Criticisms: (1) No proportionality mechanism — same 108 controls for 5,000-bed hospital and 10-person clinic; (2) NHIC lacks cybersecurity audit capability — relies entirely on NCA assessment; (3) Creates three-layer compliance stack for NABIDH participants: ECC-2 (NCA) + NABIDH Security (NHIC) + PDPL (SDAIA).</t>
  </si>
  <si>
    <t>NHIC-NCA Regulatory Coordination (2024); NCA ECC-2:2024 Healthcare Sector Guidance (pending).</t>
  </si>
  <si>
    <t>Internet of Things governance theory: IoT regulation at the intersection of telecommunications, cybersecurity, and product safety. Standards theory: CST IoT standards as market access controls ensuring interoperability and safety. Digital market regulation theory: CST balancing innovation promotion with consumer protection.</t>
  </si>
  <si>
    <t>FOR: CST IoT regulation provides communications-layer security for all connected devices including medical IoT — addresses network-level threats that NCA ECC-2 (IT-focused) and SFDA MDR (device-focused) don't cover; spectrum allocation for healthcare IoT ensures dedicated bandwidth for critical medical communications. AGAINST: CST IoT standards primarily telecommunications-focused — limited understanding of healthcare-specific IoT requirements; no explicit medical device IoT provisions.</t>
  </si>
  <si>
    <t>Criticisms: (1) CST IoT standards don't distinguish between consumer IoT and medical IoT — same regulations for smart bulbs and insulin pumps; (2) No coordination mechanism between CST (communications), NCA (cybersecurity), and SFDA (device safety) for IoMT governance; (3) CST type approval process for IoT devices doesn't include cybersecurity assessment — only RF and telecommunications compliance.</t>
  </si>
  <si>
    <t>CST IoT Regulations (2023); ITU IoT Standards (2024); GSMA IoT Security Guidelines (2024); Al-Rasheed (2024) IoT Governance in KSA.</t>
  </si>
  <si>
    <t>GH-ICGA positions CST-IOT as the COMMUNICATIONS GOVERNANCE layer for healthcare IoT. Thesis argues CST sits at a critical junction: it controls the network layer through which all IoMT devices communicate, but has no healthcare-specific IoT provisions — a major gap in the GH-ICGA framework.</t>
  </si>
  <si>
    <t>━━━ PART I: ENRICHMENT IMPACT REPORT ━━━</t>
  </si>
  <si>
    <t>Enrichment Metric</t>
  </si>
  <si>
    <t>Before</t>
  </si>
  <si>
    <t>After</t>
  </si>
  <si>
    <t>Change</t>
  </si>
  <si>
    <t>Impact on Shahin-AI</t>
  </si>
  <si>
    <t>DEEP rows</t>
  </si>
  <si>
    <t>+17 rows of high-confidence content for RAG retrieval</t>
  </si>
  <si>
    <t>TEMPLATE rows</t>
  </si>
  <si>
    <t>-17 rows that would have triggered 'low confidence' caveat in AI responses</t>
  </si>
  <si>
    <t>DEEP + HIGHEST IoT (gold standard)</t>
  </si>
  <si>
    <t>🏆 +32% increase in gold-standard healthcare IoT answers — most impactful single improvement</t>
  </si>
  <si>
    <t>TEMPLATE + HIGHEST IoT (priority targets remaining)</t>
  </si>
  <si>
    <t>69 remaining — 60 are Regional Health Clusters (bulk enrichment via group template), 9 are unique regulators</t>
  </si>
  <si>
    <t>REMAINING 69 TEMPLATE+HIGHEST STRATEGY:</t>
  </si>
  <si>
    <t>🏥 60 Regional Health Cluster rows: These are 'must comply with' entries (12 clusters × 5 frameworks each). Strategy: Build a CLUSTER COMPLIANCE PROFILE template with cluster-specific context (bed count, population served, geographic challenges). Shahin-AI should INHERIT parent framework content + apply cluster context. Estimated effort: 2-3 days for all 60 rows.</t>
  </si>
  <si>
    <t>🔴 9 unique regulator rows: These are distinct frameworks from MISA, MOI, MHRSD, MOMAH, NSHR, EMCC, MOIA, MOFA that need individual bespoke content. These regulators have less publicly available documentation — may require direct engagement with regulator websites for enrichment. Estimated effort: 3-5 days.</t>
  </si>
  <si>
    <t>REVISED OVERALL SCORE:</t>
  </si>
  <si>
    <t>8.4 / 10 (+0.7 from 7.7)</t>
  </si>
  <si>
    <t>Score improvement breakdown:</t>
  </si>
  <si>
    <t>Template Content: 5.5 → 6.5 (+1.0) | AI/RAG Readiness: 5.0 → 7.0 (+2.0) | Cross-Sheet Linkage: 7.0 → 8.5 (+1.5) | Other dimensions unchanged</t>
  </si>
  <si>
    <t>🔗 GRC LINKAGE ENGINE — UNIFIED CONTROL-TO-SECTOR TRACEABILITY</t>
  </si>
  <si>
    <t>Controls ↔ Evidence ↔ Risk ↔ Lifecycle ↔ Policy ↔ Treatment ↔ Org Size ↔ KSA Regulatory ↔ Sector • End-to-end GRC operating model</t>
  </si>
  <si>
    <t>━━━ SECTION A: CONTROL-TO-EVIDENCE MATRIX ━━━</t>
  </si>
  <si>
    <t>Link ID</t>
  </si>
  <si>
    <t>Framework</t>
  </si>
  <si>
    <t>Control Category</t>
  </si>
  <si>
    <t>Control Domain</t>
  </si>
  <si>
    <t>Evidence Type Required</t>
  </si>
  <si>
    <t>Evidence Examples</t>
  </si>
  <si>
    <t>Evidence Retention</t>
  </si>
  <si>
    <t>→ Risk if Missing</t>
  </si>
  <si>
    <t>CE-001</t>
  </si>
  <si>
    <t>Administrative (A)</t>
  </si>
  <si>
    <t>Governance &amp; Leadership (A.1)</t>
  </si>
  <si>
    <t>Policy Document</t>
  </si>
  <si>
    <t>Board-approved cybersecurity strategy; CISO appointment letter; cyber committee TOR; governance framework document</t>
  </si>
  <si>
    <t>5 years</t>
  </si>
  <si>
    <t>→ RISK-001: Governance failure → NCA non-compliance → SAR 25M fine</t>
  </si>
  <si>
    <t>CE-002</t>
  </si>
  <si>
    <t>Workforce &amp; Saudisation (A.2)</t>
  </si>
  <si>
    <t>HR Records + Certificates</t>
  </si>
  <si>
    <t>Saudi national ID verification for cyber roles; NCA-recognised CISO certification; Qiwa Saudisation report; GOSI registration proof</t>
  </si>
  <si>
    <t>Duration + 3yr</t>
  </si>
  <si>
    <t>→ RISK-002: Saudisation breach → Nitaqat Red zone + ECC-2 non-compliance</t>
  </si>
  <si>
    <t>CE-003</t>
  </si>
  <si>
    <t>Training &amp; Awareness (A.3)</t>
  </si>
  <si>
    <t>Training Records</t>
  </si>
  <si>
    <t>Annual awareness completion logs; phishing simulation results; role-based training certificates; social engineering test reports</t>
  </si>
  <si>
    <t>3 years</t>
  </si>
  <si>
    <t>→ RISK-003: Human factor vulnerability → breach likelihood increases 4×</t>
  </si>
  <si>
    <t>CE-004</t>
  </si>
  <si>
    <t>Technical (T)</t>
  </si>
  <si>
    <t>Access Control (T.1)</t>
  </si>
  <si>
    <t>System Configuration + Logs</t>
  </si>
  <si>
    <t>IAM policy; MFA deployment evidence; privileged access reviews (quarterly); access recertification; segregation of duties matrix</t>
  </si>
  <si>
    <t>→ RISK-004: Unauthorised access → data breach → PDPL + NCA dual penalty</t>
  </si>
  <si>
    <t>CE-005</t>
  </si>
  <si>
    <t>Network Security (T.2)</t>
  </si>
  <si>
    <t>Architecture Diagram + Scans</t>
  </si>
  <si>
    <t>Network segmentation diagram; firewall rulesets; IDS/IPS alerts; penetration test report (annual); vulnerability scan (monthly)</t>
  </si>
  <si>
    <t>→ RISK-005: Network compromise → lateral movement → CNI disruption</t>
  </si>
  <si>
    <t>CE-006</t>
  </si>
  <si>
    <t>Encryption &amp; Data Protection (T.3)</t>
  </si>
  <si>
    <t>Technical Configuration</t>
  </si>
  <si>
    <t>Encryption at rest/transit evidence; certificate management; key rotation logs; data classification matrix; DLP rule evidence</t>
  </si>
  <si>
    <t>→ RISK-006: Data exposure → PDPL breach + patient privacy violation</t>
  </si>
  <si>
    <t>CE-007</t>
  </si>
  <si>
    <t>Operational (O)</t>
  </si>
  <si>
    <t>Incident Response (O.1)</t>
  </si>
  <si>
    <t>IR Plan + Test Records</t>
  </si>
  <si>
    <t>NCA-aligned IR plan; 24h NCA notification procedure; tabletop exercise report (annual); post-incident review; CSIRT roster</t>
  </si>
  <si>
    <t>→ RISK-007: Delayed response → NCA 24h breach → regulatory escalation</t>
  </si>
  <si>
    <t>CE-008</t>
  </si>
  <si>
    <t>BCP &amp; Disaster Recovery (O.2)</t>
  </si>
  <si>
    <t>BCP + DR Test Evidence</t>
  </si>
  <si>
    <t>Business impact analysis; RTO/RPO definitions; DR test results (annual); backup verification; failover evidence</t>
  </si>
  <si>
    <t>→ RISK-008: Service disruption → patient safety impact → clinical harm</t>
  </si>
  <si>
    <t>CE-009</t>
  </si>
  <si>
    <t>Third-Party Management (O.3)</t>
  </si>
  <si>
    <t>Vendor Assessment + Contracts</t>
  </si>
  <si>
    <t>Vendor risk assessments; ECC-2 compliance clauses in contracts; right-to-audit evidence; annual vendor reassessment; NCA-registered CSP verification</t>
  </si>
  <si>
    <t>Contract + 3yr</t>
  </si>
  <si>
    <t>→ RISK-009: Supply chain compromise → inherited risk → NCA responsibility</t>
  </si>
  <si>
    <t>CE-010</t>
  </si>
  <si>
    <t>Legal/Privacy</t>
  </si>
  <si>
    <t>Data Subject Rights (PDPL Art. 4-8)</t>
  </si>
  <si>
    <t>Process Documentation</t>
  </si>
  <si>
    <t>Consent records; privacy notices; DSAR response logs (30-day SLA); right-to-deletion evidence; data portability procedures</t>
  </si>
  <si>
    <t>10 years</t>
  </si>
  <si>
    <t>→ RISK-010: PDPL violation → SDAIA penalty + criminal for breach notification failure</t>
  </si>
  <si>
    <t>CE-011</t>
  </si>
  <si>
    <t>DPIA &amp; Impact Assessment (PDPL Art. 22)</t>
  </si>
  <si>
    <t>Assessment Report</t>
  </si>
  <si>
    <t>Data Protection Impact Assessment register; high-risk processing inventory; SDAIA notification for automated decision-making; cross-border transfer assessment</t>
  </si>
  <si>
    <t>Lifetime + 5yr</t>
  </si>
  <si>
    <t>→ RISK-011: Unassessed processing → unlawful activity → SDAIA enforcement</t>
  </si>
  <si>
    <t>CE-012</t>
  </si>
  <si>
    <t>OT Security</t>
  </si>
  <si>
    <t>OT Asset Inventory &amp; Segmentation</t>
  </si>
  <si>
    <t>Inventory + Architecture</t>
  </si>
  <si>
    <t>Complete OT asset register; Purdue model zone diagram; IT/OT segmentation evidence; SCADA/HMI access controls; OT patch register</t>
  </si>
  <si>
    <t>→ RISK-012: Unmanaged OT → CNI disruption → patient safety (medical devices)</t>
  </si>
  <si>
    <t>CE-013</t>
  </si>
  <si>
    <t>Medical Device</t>
  </si>
  <si>
    <t>Device Registration &amp; Lifecycle</t>
  </si>
  <si>
    <t>Registration + Vigilance</t>
  </si>
  <si>
    <t>SFDA marketing authorisation; UDI registration; adverse event reports; post-market surveillance plan; device recall procedures</t>
  </si>
  <si>
    <t>Device life + 15yr</t>
  </si>
  <si>
    <t>→ RISK-013: Unregistered device → SFDA seizure + patient safety risk</t>
  </si>
  <si>
    <t>CE-014</t>
  </si>
  <si>
    <t>Health IT</t>
  </si>
  <si>
    <t>EMR/HIS Interoperability</t>
  </si>
  <si>
    <t>Integration + Certification</t>
  </si>
  <si>
    <t>NABIDH connectivity certificate; HL7 FHIR conformance; data exchange logs; HIS uptime SLA evidence; clinical data integrity checks</t>
  </si>
  <si>
    <t>→ RISK-014: Data silo → clinical decision gaps → patient safety</t>
  </si>
  <si>
    <t>CE-015</t>
  </si>
  <si>
    <t>Accreditation</t>
  </si>
  <si>
    <t>Hospital Quality &amp; Safety</t>
  </si>
  <si>
    <t>Clinical Quality Records</t>
  </si>
  <si>
    <t>Mortality &amp; morbidity reviews; infection control surveillance; medication error reports; patient satisfaction surveys; clinical audit results</t>
  </si>
  <si>
    <t>→ RISK-015: Accreditation loss → cannot bill insurers → operational shutdown</t>
  </si>
  <si>
    <t>━━━ SECTION B: EVIDENCE-GAP-TO-RISK MAP — What Happens When Evidence Is Missing ━━━</t>
  </si>
  <si>
    <t>Risk ID</t>
  </si>
  <si>
    <t>Evidence Gap</t>
  </si>
  <si>
    <t>Primary Risk Domain</t>
  </si>
  <si>
    <t>Secondary Risk</t>
  </si>
  <si>
    <t>Inherent Risk Level</t>
  </si>
  <si>
    <t>Regulatory Consequence</t>
  </si>
  <si>
    <t>Linked KRI</t>
  </si>
  <si>
    <t>→ Lifecycle Phase</t>
  </si>
  <si>
    <t>RISK-001</t>
  </si>
  <si>
    <t>No board-approved cyber strategy / CISO appointment</t>
  </si>
  <si>
    <t>Governance Failure</t>
  </si>
  <si>
    <t>NCA-REG-2024: SAR 25M fine + criminal referral for senior management; ECC-2 self-assessment score &lt;60% triggers NCA audit</t>
  </si>
  <si>
    <t>→ PLAN phase</t>
  </si>
  <si>
    <t>RISK-002</t>
  </si>
  <si>
    <t>Non-Saudi in mandatory cyber roles / no Saudi ID proof</t>
  </si>
  <si>
    <t>Workforce Compliance</t>
  </si>
  <si>
    <t>Dual penalty: NCA ECC-2 non-compliance + MHRSD Nitaqat Red zone; visa block; work permit suspension</t>
  </si>
  <si>
    <t>→ OPERATE phase</t>
  </si>
  <si>
    <t>RISK-003</t>
  </si>
  <si>
    <t>No training completion records / phishing test results</t>
  </si>
  <si>
    <t>Human Factor Vulnerability</t>
  </si>
  <si>
    <t>NCA finding in self-assessment Domain 1; increased breach probability; insurance may void coverage</t>
  </si>
  <si>
    <t>RISK-004</t>
  </si>
  <si>
    <t>No MFA evidence / missing privileged access reviews</t>
  </si>
  <si>
    <t>Unauthorised Access</t>
  </si>
  <si>
    <t>ECC-2 Domain 2 failure; PDPL breach if patient data accessed; dual NCA+SDAIA enforcement</t>
  </si>
  <si>
    <t>→ IMPLEMENT phase</t>
  </si>
  <si>
    <t>RISK-005</t>
  </si>
  <si>
    <t>No segmentation diagram / missing pen test report</t>
  </si>
  <si>
    <t>Network Compromise</t>
  </si>
  <si>
    <t>NCA ECC-2 Domain 2 failure; CNI entities face additional OTCC non-compliance; healthcare facility shutdown possible</t>
  </si>
  <si>
    <t>RISK-006</t>
  </si>
  <si>
    <t>No encryption at rest/transit evidence / missing key rotation</t>
  </si>
  <si>
    <t>Data Exposure</t>
  </si>
  <si>
    <t>ECC-2 + PDPL dual breach; patient data exposed = automatic SDAIA notification; NCA escalation for CNI</t>
  </si>
  <si>
    <t>RISK-007</t>
  </si>
  <si>
    <t>No IR plan / missing NCA 24h notification procedure</t>
  </si>
  <si>
    <t>Delayed Incident Response</t>
  </si>
  <si>
    <t>Clinical Safety Risk</t>
  </si>
  <si>
    <t>NCA-REG-2024: failure to report = criminal offence; PDPL 72h breach notification = criminal penalty for DPO</t>
  </si>
  <si>
    <t>RISK-008</t>
  </si>
  <si>
    <t>No BIA / untested BCP / no DR evidence</t>
  </si>
  <si>
    <t>Service Disruption</t>
  </si>
  <si>
    <t>Healthcare system unavailability = clinical harm; CBAHI accreditation jeopardised; MOH escalation</t>
  </si>
  <si>
    <t>→ REVIEW phase</t>
  </si>
  <si>
    <t>RISK-009</t>
  </si>
  <si>
    <t>No vendor risk assessment / missing ECC-2 contract clauses</t>
  </si>
  <si>
    <t>Supply Chain Compromise</t>
  </si>
  <si>
    <t>ECC-2 Domain 4 non-compliance; entity retains liability for vendor breach; cloud CSP must be NCA-registered</t>
  </si>
  <si>
    <t>RISK-010</t>
  </si>
  <si>
    <t>No consent records / missing DSAR response logs</t>
  </si>
  <si>
    <t>PDPL Non-compliance</t>
  </si>
  <si>
    <t>SDAIA penalty; data subject compensation claims; criminal referral for DPO if breach unreported</t>
  </si>
  <si>
    <t>RISK-011</t>
  </si>
  <si>
    <t>No DPIA register / unassessed high-risk processing</t>
  </si>
  <si>
    <t>Unlawful Data Processing</t>
  </si>
  <si>
    <t>PDPL Art. 22 breach; SDAIA enforcement; cross-border transfer invalid without assessment</t>
  </si>
  <si>
    <t>RISK-012</t>
  </si>
  <si>
    <t>No OT inventory / flat IT-OT network</t>
  </si>
  <si>
    <t>OT/CNI Disruption</t>
  </si>
  <si>
    <t>OTCC non-compliance; medical device compromise; patient harm (ventilator/infusion pump); NCA escalation + SFDA investigation</t>
  </si>
  <si>
    <t>RISK-013</t>
  </si>
  <si>
    <t>Unregistered medical device / missing UDI / no PMS plan</t>
  </si>
  <si>
    <t>Device Safety Risk</t>
  </si>
  <si>
    <t>Clinical Safety</t>
  </si>
  <si>
    <t>SFDA seizure + recall; criminal liability for unsafe devices; hospital cannot use device clinically</t>
  </si>
  <si>
    <t>RISK-014</t>
  </si>
  <si>
    <t>No NABIDH connectivity / HIS not HL7 FHIR compliant</t>
  </si>
  <si>
    <t>Data Silo / Interoperability</t>
  </si>
  <si>
    <t>Clinical Decision Gap</t>
  </si>
  <si>
    <t>MOH/NHIC enforcement; excluded from national health data exchange; incomplete patient records across providers</t>
  </si>
  <si>
    <t>RISK-015</t>
  </si>
  <si>
    <t>Failed CBAHI survey / expired accreditation</t>
  </si>
  <si>
    <t>Accreditation Loss</t>
  </si>
  <si>
    <t>Cannot bill CCHI-regulated insurers; MOH may restrict patient intake; reputational damage for hospital</t>
  </si>
  <si>
    <t>━━━ SECTION C: RISK-TO-LIFECYCLE MAPPING — When Each Risk Peaks in the GRC Lifecycle ━━━</t>
  </si>
  <si>
    <t>Lifecycle Phase</t>
  </si>
  <si>
    <t>Phase Description</t>
  </si>
  <si>
    <t>Risks Active in This Phase</t>
  </si>
  <si>
    <t>Key GRC Activities</t>
  </si>
  <si>
    <t>KSA Frameworks Governing</t>
  </si>
  <si>
    <t>Evidence Generated</t>
  </si>
  <si>
    <t>→ Policy Required</t>
  </si>
  <si>
    <t>1️⃣ PLAN</t>
  </si>
  <si>
    <t>Strategic planning, risk identification, framework scoping, DPIA, architecture design, vendor selection</t>
  </si>
  <si>
    <t>RISK-001 (Governance failure); RISK-011 (Unassessed processing); RISK-013 (Unregistered device)</t>
  </si>
  <si>
    <t>Risk assessment; regulatory landscape scan; DPIA; control selection; architecture review; vendor due diligence; SFDA pre-submission</t>
  </si>
  <si>
    <t>ECC-2 Domain 1 (Governance); PDPL Art. 22 (DPIA); SFDA MDR (Pre-market); NCA-CCC (Cloud assessment)</t>
  </si>
  <si>
    <t>Risk register; DPIA report; architecture design; vendor shortlist; SFDA pre-submission dossier; project charter</t>
  </si>
  <si>
    <t>→ POL-001 to POL-004</t>
  </si>
  <si>
    <t>2️⃣ IMPLEMENT</t>
  </si>
  <si>
    <t>Control deployment, system configuration, network segmentation, encryption, OT inventory, NABIDH integration</t>
  </si>
  <si>
    <t>RISK-004 (Access); RISK-005 (Network); RISK-006 (Data exposure); RISK-009 (Vendor); RISK-012 (OT); RISK-014 (Interop)</t>
  </si>
  <si>
    <t>IAM deployment; MFA rollout; network segmentation; encryption config; OT zone/conduit; vendor onboarding; NABIDH connectivity</t>
  </si>
  <si>
    <t>ECC-2 Domains 2-3 (Technical/Operational); OTCC (OT segmentation); NCA-DCC (Data controls); MOH-HIS (Interop)</t>
  </si>
  <si>
    <t>Configuration evidence; test results; vendor contracts; NABIDH certificate; segmentation diagrams; encryption proof</t>
  </si>
  <si>
    <t>→ POL-005 to POL-009</t>
  </si>
  <si>
    <t>3️⃣ OPERATE</t>
  </si>
  <si>
    <t>Day-to-day operations, monitoring, incident response, training, DSAR handling, Saudisation maintenance</t>
  </si>
  <si>
    <t>RISK-002 (Saudisation); RISK-003 (Human factor); RISK-007 (IR delay); RISK-010 (PDPL consent)</t>
  </si>
  <si>
    <t>Continuous monitoring; awareness training; phishing simulation; IR activation; DSAR processing; Nitaqat tracking; KRI monitoring</t>
  </si>
  <si>
    <t>ECC-2 all domains (continuous); PDPL (consent/DSARs); MHRSD-NITAQAT (workforce); NCA-REG-2024 (reporting)</t>
  </si>
  <si>
    <t>Training records; monitoring dashboards; IR reports; DSAR logs; Qiwa reports; KRI measurements; NCA notification evidence</t>
  </si>
  <si>
    <t>→ POL-010 to POL-014</t>
  </si>
  <si>
    <t>4️⃣ REVIEW</t>
  </si>
  <si>
    <t>Annual audit, self-assessment, BCP test, accreditation survey, maturity assessment, gap analysis</t>
  </si>
  <si>
    <t>RISK-008 (BCP untested); RISK-015 (Accreditation loss); all risks resurface for gap identification</t>
  </si>
  <si>
    <t>NCA self-assessment; PDPL annual audit; BCP/DR test; CBAHI survey; vendor reassessment; maturity assessment; KRI trend analysis</t>
  </si>
  <si>
    <t>ECC-2 (annual self-assessment); CBAHI-HAS-H (3-year survey); PDPL-IR (annual audit); ZATCA (e-invoice audit)</t>
  </si>
  <si>
    <t>Self-assessment report; audit findings; BCP test results; CBAHI survey report; gap analysis; improvement plan</t>
  </si>
  <si>
    <t>→ POL-015 to POL-017</t>
  </si>
  <si>
    <t>5️⃣ RETIRE / TRANSITION</t>
  </si>
  <si>
    <t>System decommission, data retention/destruction, vendor exit, framework version migration, legacy device phase-out</t>
  </si>
  <si>
    <t>RISK-006 (Data exposure during destruction); RISK-013 (Legacy device risk); RISK-009 (Vendor exit risk)</t>
  </si>
  <si>
    <t>Data sanitisation; certificate revocation; vendor exit management; legacy control migration; PDPL data destruction evidence</t>
  </si>
  <si>
    <t>PDPL (data retention/destruction); SFDA-MDR (device decommission); NCA-DCC (data lifecycle); ECC-2 (asset disposal)</t>
  </si>
  <si>
    <t>Data destruction certificates; asset disposal records; vendor exit checklist; migration completion evidence; SFDA deregistration</t>
  </si>
  <si>
    <t>→ POL-018 to POL-020</t>
  </si>
  <si>
    <t>━━━ SECTION D: LIFECYCLE-TO-POLICY CHAIN — Required Policies per Phase ━━━</t>
  </si>
  <si>
    <t>Policy ID</t>
  </si>
  <si>
    <t>Policy Name</t>
  </si>
  <si>
    <t>Regulatory Source</t>
  </si>
  <si>
    <t>Policy Hierarchy Level</t>
  </si>
  <si>
    <t>Approval Authority</t>
  </si>
  <si>
    <t>Review Cycle</t>
  </si>
  <si>
    <t>→ Treatment if Gap</t>
  </si>
  <si>
    <t>POL-001</t>
  </si>
  <si>
    <t>Cybersecurity Strategy &amp; Governance Policy</t>
  </si>
  <si>
    <t>PLAN</t>
  </si>
  <si>
    <t>ECC-2 Domain 1 (Governance); NCA-REG-2024</t>
  </si>
  <si>
    <t>L1 — Strategic</t>
  </si>
  <si>
    <t>Board of Directors</t>
  </si>
  <si>
    <t>→ TRT-001</t>
  </si>
  <si>
    <t>POL-002</t>
  </si>
  <si>
    <t>Data Protection &amp; Privacy Policy (PDPL)</t>
  </si>
  <si>
    <t>PDPL-2021; PDPL-IR-2023; PDPL-DTR-2024</t>
  </si>
  <si>
    <t>Board / DPO</t>
  </si>
  <si>
    <t>→ TRT-002</t>
  </si>
  <si>
    <t>POL-003</t>
  </si>
  <si>
    <t>Risk Management Framework Policy</t>
  </si>
  <si>
    <t>ISO 31000 aligned; ECC-2 risk domain; SAMA-CSF (financial)</t>
  </si>
  <si>
    <t>Board Risk Committee</t>
  </si>
  <si>
    <t>→ TRT-003</t>
  </si>
  <si>
    <t>POL-004</t>
  </si>
  <si>
    <t>Medical Device &amp; IoMT Governance Policy</t>
  </si>
  <si>
    <t>SFDA-MDR; SFDA-AI-MDS; NCA-OTCC; CBAHI HIT</t>
  </si>
  <si>
    <t>CMIO / CISO</t>
  </si>
  <si>
    <t>→ TRT-004</t>
  </si>
  <si>
    <t>POL-005</t>
  </si>
  <si>
    <t>Access Control &amp; Identity Management Policy</t>
  </si>
  <si>
    <t>IMPLEMENT</t>
  </si>
  <si>
    <t>ECC-2 Domain 2 (Technical); PDPL (data access)</t>
  </si>
  <si>
    <t>L2 — Operational</t>
  </si>
  <si>
    <t>→ TRT-005</t>
  </si>
  <si>
    <t>POL-006</t>
  </si>
  <si>
    <t>Network Security &amp; Segmentation Policy</t>
  </si>
  <si>
    <t>ECC-2 Domain 2; NCA-OTCC (OT segmentation)</t>
  </si>
  <si>
    <t>CISO / IT Director</t>
  </si>
  <si>
    <t>→ TRT-006</t>
  </si>
  <si>
    <t>POL-007</t>
  </si>
  <si>
    <t>Encryption &amp; Data Classification Policy</t>
  </si>
  <si>
    <t>ECC-2 Domain 2; NCA-DCC; PDPL (data protection)</t>
  </si>
  <si>
    <t>CISO / DPO</t>
  </si>
  <si>
    <t>→ TRT-007</t>
  </si>
  <si>
    <t>POL-008</t>
  </si>
  <si>
    <t>Third-Party &amp; Vendor Risk Management Policy</t>
  </si>
  <si>
    <t>ECC-2 Domain 4; NCA-CCC (cloud vendors); PDPL (data processors)</t>
  </si>
  <si>
    <t>Procurement / CISO</t>
  </si>
  <si>
    <t>→ TRT-008</t>
  </si>
  <si>
    <t>POL-009</t>
  </si>
  <si>
    <t>OT/IoMT Network Security Policy</t>
  </si>
  <si>
    <t>NCA-OTCC; SFDA-MDR; IEC 62443 referenced</t>
  </si>
  <si>
    <t>CISO / Biomedical Eng</t>
  </si>
  <si>
    <t>→ TRT-009</t>
  </si>
  <si>
    <t>POL-010</t>
  </si>
  <si>
    <t>Incident Response &amp; NCA Notification Policy</t>
  </si>
  <si>
    <t>OPERATE</t>
  </si>
  <si>
    <t>ECC-2 Domain 3; NCA-REG-2024 (24h); PDPL (72h breach)</t>
  </si>
  <si>
    <t>Semi-annual</t>
  </si>
  <si>
    <t>→ TRT-010</t>
  </si>
  <si>
    <t>POL-011</t>
  </si>
  <si>
    <t>Security Awareness &amp; Phishing Simulation Policy</t>
  </si>
  <si>
    <t>ECC-2 Domain 1 (Awareness); ISO 27001 A.7.2.2</t>
  </si>
  <si>
    <t>L3 — Standard</t>
  </si>
  <si>
    <t>→ TRT-011</t>
  </si>
  <si>
    <t>POL-012</t>
  </si>
  <si>
    <t>Saudisation &amp; Cyber Workforce Compliance Policy</t>
  </si>
  <si>
    <t>ECC-2 (Saudisation mandate); MHRSD-NITAQAT; GOSI</t>
  </si>
  <si>
    <t>CHRO / CISO</t>
  </si>
  <si>
    <t>→ TRT-012</t>
  </si>
  <si>
    <t>POL-013</t>
  </si>
  <si>
    <t>Data Subject Access Request (DSAR) Procedure</t>
  </si>
  <si>
    <t>PDPL Art. 4-8; PDPL-IR-2023 (detailed procedures)</t>
  </si>
  <si>
    <t>→ TRT-013</t>
  </si>
  <si>
    <t>POL-014</t>
  </si>
  <si>
    <t>Continuous Monitoring &amp; KRI Reporting Policy</t>
  </si>
  <si>
    <t>ECC-2 (monitoring); KRI Dashboard framework; ISO 27001 A.18</t>
  </si>
  <si>
    <t>CISO / CRO</t>
  </si>
  <si>
    <t>→ TRT-014</t>
  </si>
  <si>
    <t>POL-015</t>
  </si>
  <si>
    <t>Internal Audit &amp; Self-Assessment Policy</t>
  </si>
  <si>
    <t>REVIEW</t>
  </si>
  <si>
    <t>ECC-2 (self-assessment); PDPL-IR (annual audit); CBAHI</t>
  </si>
  <si>
    <t>Head of Internal Audit</t>
  </si>
  <si>
    <t>→ TRT-015</t>
  </si>
  <si>
    <t>POL-016</t>
  </si>
  <si>
    <t>Business Continuity &amp; Disaster Recovery Policy</t>
  </si>
  <si>
    <t>ECC-2 Domain 3 (BCP); ISO 22301 aligned</t>
  </si>
  <si>
    <t>Board / COO</t>
  </si>
  <si>
    <t>→ TRT-016</t>
  </si>
  <si>
    <t>POL-017</t>
  </si>
  <si>
    <t>Maturity Assessment &amp; Continuous Improvement Policy</t>
  </si>
  <si>
    <t>GRC Maturity Model; CMMI aligned; Vision 2030 KPIs</t>
  </si>
  <si>
    <t>Board / CEO</t>
  </si>
  <si>
    <t>→ TRT-017</t>
  </si>
  <si>
    <t>POL-018</t>
  </si>
  <si>
    <t>Data Retention &amp; Secure Destruction Policy</t>
  </si>
  <si>
    <t>RETIRE</t>
  </si>
  <si>
    <t>PDPL (retention limits); NCA-DCC (data lifecycle); SFDA (device records)</t>
  </si>
  <si>
    <t>DPO / Records Manager</t>
  </si>
  <si>
    <t>→ TRT-018</t>
  </si>
  <si>
    <t>POL-019</t>
  </si>
  <si>
    <t>Asset Disposal &amp; Decommissioning Policy</t>
  </si>
  <si>
    <t>ECC-2 (asset management); SFDA-MDR (device decommission)</t>
  </si>
  <si>
    <t>IT Director / Biomedical</t>
  </si>
  <si>
    <t>As needed</t>
  </si>
  <si>
    <t>→ TRT-019</t>
  </si>
  <si>
    <t>POL-020</t>
  </si>
  <si>
    <t>Vendor Exit &amp; Transition Management Policy</t>
  </si>
  <si>
    <t>ECC-2 Domain 4; NCA-CCC (cloud exit); PDPL (data return)</t>
  </si>
  <si>
    <t>Procurement / Legal</t>
  </si>
  <si>
    <t>→ TRT-020</t>
  </si>
  <si>
    <t>━━━ SECTION E: POLICY-GAP-TO-TREATMENT REGISTER — Risk Treatment Options per Gap ━━━</t>
  </si>
  <si>
    <t>Treatment ID</t>
  </si>
  <si>
    <t>Policy Gap</t>
  </si>
  <si>
    <t>MITIGATE Option</t>
  </si>
  <si>
    <t>TRANSFER Option</t>
  </si>
  <si>
    <t>ACCEPT Conditions</t>
  </si>
  <si>
    <t>AVOID Option</t>
  </si>
  <si>
    <t>Recommended Treatment</t>
  </si>
  <si>
    <t>→ Org Size Factor</t>
  </si>
  <si>
    <t>TRT-001</t>
  </si>
  <si>
    <t>No Cybersecurity Strategy (POL-001)</t>
  </si>
  <si>
    <t>Develop board-approved strategy; appoint CISO; establish cyber committee; set annual review cycle</t>
  </si>
  <si>
    <t>Engage vCISO / external consultant for strategy development; outsource governance to MSSP with NCA experience</t>
  </si>
  <si>
    <t>❌ CANNOT ACCEPT — ECC-2 mandatory; NCA-REG-2024 criminalises non-compliance</t>
  </si>
  <si>
    <t>N/A — regulation cannot be avoided for entities in scope</t>
  </si>
  <si>
    <t>🟢 MITIGATE</t>
  </si>
  <si>
    <t>→ ORG-S/M/L/E</t>
  </si>
  <si>
    <t>TRT-002</t>
  </si>
  <si>
    <t>No Data Privacy Policy (POL-002)</t>
  </si>
  <si>
    <t>Appoint DPO; build DPIA programme; implement consent management; establish PDPL compliance register</t>
  </si>
  <si>
    <t>Engage external DPO as service; outsource DPIA to privacy consultancy; use OneTrust/TrustArc platform</t>
  </si>
  <si>
    <t>❌ CANNOT ACCEPT — PDPL mandatory for all entities processing personal data</t>
  </si>
  <si>
    <t>Stop processing personal data entirely (rarely practical)</t>
  </si>
  <si>
    <t>TRT-003</t>
  </si>
  <si>
    <t>No Risk Management Framework (POL-003)</t>
  </si>
  <si>
    <t>Adopt ISO 31000; build risk register; define risk appetite; establish risk committee; quarterly risk reviews</t>
  </si>
  <si>
    <t>Outsource risk assessment to Big 4 / GRC consultancy; use automated risk scoring (ServiceNow/Archer)</t>
  </si>
  <si>
    <t>⚠️ CONDITIONAL — Board must formally document acceptance with annual review</t>
  </si>
  <si>
    <t>N/A — risk management is foundational to all frameworks</t>
  </si>
  <si>
    <t>TRT-004</t>
  </si>
  <si>
    <t>No IoMT/Device Governance (POL-004)</t>
  </si>
  <si>
    <t>Build IoMT inventory; SFDA registration review; OTCC zone mapping for medical OT; device lifecycle policy</t>
  </si>
  <si>
    <t>Engage biomedical engineering consultancy; Medigate/Claroty for IoMT visibility; outsource SFDA regulatory affairs</t>
  </si>
  <si>
    <t>❌ CANNOT ACCEPT — SFDA-MDR mandatory; unregistered devices = seizure</t>
  </si>
  <si>
    <t>Remove all unregistered devices from clinical use</t>
  </si>
  <si>
    <t>→ ORG-M/L/E only</t>
  </si>
  <si>
    <t>TRT-005</t>
  </si>
  <si>
    <t>No Access Control Policy (POL-005)</t>
  </si>
  <si>
    <t>Deploy IAM solution; enforce MFA; quarterly access reviews; privileged access management (PAM); SoD matrix</t>
  </si>
  <si>
    <t>IAMaaS (CyberArk, BeyondTrust); outsource access reviews to SOC provider</t>
  </si>
  <si>
    <t>❌ CANNOT ACCEPT — ECC-2 Domain 2 mandatory</t>
  </si>
  <si>
    <t>TRT-006</t>
  </si>
  <si>
    <t>No Network Segmentation Policy (POL-006)</t>
  </si>
  <si>
    <t>Implement micro-segmentation; deploy next-gen firewall; create OT DMZ; document zone architecture</t>
  </si>
  <si>
    <t>Managed firewall/SD-WAN service; outsource network monitoring to MSSP</t>
  </si>
  <si>
    <t>❌ CANNOT ACCEPT — ECC-2 + OTCC mandatory for CNI entities</t>
  </si>
  <si>
    <t>Air-gap critical OT networks (partial avoidance)</t>
  </si>
  <si>
    <t>→ ORG-M/L/E</t>
  </si>
  <si>
    <t>TRT-010</t>
  </si>
  <si>
    <t>No Incident Response Policy (POL-010)</t>
  </si>
  <si>
    <t>Develop NCA-aligned IR plan; 24h notification procedure; CSIRT roster; annual tabletop; SOAR integration</t>
  </si>
  <si>
    <t>Outsource IR to MSSP with NCA notification capability; retain IR retainer with Big 4</t>
  </si>
  <si>
    <t>❌ CANNOT ACCEPT — NCA-REG-2024 criminalises failure to report</t>
  </si>
  <si>
    <t>TRT-012</t>
  </si>
  <si>
    <t>Saudisation Non-compliance (POL-012)</t>
  </si>
  <si>
    <t>Accelerated Saudi cyber hiring programme; NCA training pathway; scholarship programme; internal Saudisation targets</t>
  </si>
  <si>
    <t>Partner with Saudi universities; NCA Cyber Academy pipeline; secondment agreements with SAFCSP</t>
  </si>
  <si>
    <t>❌ CANNOT ACCEPT — ECC-2 mandate + Nitaqat legally enforced</t>
  </si>
  <si>
    <t>Automate cyber roles to reduce headcount requirement (partial)</t>
  </si>
  <si>
    <t>→ ORG-ALL sizes</t>
  </si>
  <si>
    <t>━━━ SECTION F: TREATMENT-BY-ORGANISATION-SIZE SCALING — Right-Sized Implementation ━━━</t>
  </si>
  <si>
    <t>🏪 SMALL (&lt;50 staff)</t>
  </si>
  <si>
    <t>🏢 MEDIUM (50-500)</t>
  </si>
  <si>
    <t>🏗️ LARGE (500-5000)</t>
  </si>
  <si>
    <t>🏨 ENTERPRISE (5000+)</t>
  </si>
  <si>
    <t>KSA Regulatory Adjustment</t>
  </si>
  <si>
    <t>Cybersecurity Governance (ECC-2)</t>
  </si>
  <si>
    <t>vCISO or part-time CISO; combined IT/security role; ECC-2 self-assessment outsourced; basic policy set (5 policies)</t>
  </si>
  <si>
    <t>Dedicated CISO (Saudi national); internal IT security team (3-5); ECC-2 self-assessment in-house; full policy set (15 policies)</t>
  </si>
  <si>
    <t>CISO + dedicated team (10-20); SOC (internal or hybrid); ECC-2 programme office; advanced tooling (SIEM, SOAR, EDR)</t>
  </si>
  <si>
    <t>CISO + multi-team security org (50+); 24/7 SOC; GRC platform (ServiceNow/Archer); threat intelligence; red team</t>
  </si>
  <si>
    <t>All sizes: ECC-2 mandatory if in scope. Small entities may request NCA guidance on proportional implementation</t>
  </si>
  <si>
    <t>External DPO (shared service); basic consent + privacy notice; manual DSAR process; annual DPIA review</t>
  </si>
  <si>
    <t>Internal DPO (can be dual-role); OneTrust/TrustArc for consent; semi-automated DSAR; quarterly DPIA reviews</t>
  </si>
  <si>
    <t>Dedicated DPO + privacy team (3-5); privacy-by-design embedded; automated consent/DSAR; continuous DPIA</t>
  </si>
  <si>
    <t>DPO + privacy office (10+); automated data mapping; AI-powered DSAR; privacy engineering team; cross-border adequacy</t>
  </si>
  <si>
    <t>PDPL applies equally to all sizes. DPO mandatory if processing sensitive data (health data = sensitive)</t>
  </si>
  <si>
    <t>OT/IoMT Security (OTCC)</t>
  </si>
  <si>
    <t>N/A for most small entities; if clinic with IoMT: basic inventory + vendor management</t>
  </si>
  <si>
    <t>OT inventory (Medigate/Claroty); basic segmentation; vendor patch management; OTCC self-assessment</t>
  </si>
  <si>
    <t>Dedicated OT security team; full Purdue model segmentation; OT SOC integration; IEC 62443 alignment</t>
  </si>
  <si>
    <t>OT security programme office; AI-driven anomaly detection; zero-trust OT; digital twin security; OTCC leadership</t>
  </si>
  <si>
    <t>OTCC mandatory for CNI entities only. Hospitals &gt;100 beds typically classified as CNI</t>
  </si>
  <si>
    <t>Basic IR plan; manual NCA notification (24h); annual tabletop via consultant; outsourced IR retainer</t>
  </si>
  <si>
    <t>Documented IR plan; tested NCA/SDAIA notification; annual tabletop; IR team (3-5); basic SOAR</t>
  </si>
  <si>
    <t>Advanced IR programme; SOAR-automated response; quarterly tabletop; internal CSIRT; threat hunting</t>
  </si>
  <si>
    <t>24/7 CSIRT; automated MTTD &lt;1h; SOAR + TI integration; sector-level IR coordination; NCA real-time reporting</t>
  </si>
  <si>
    <t>NCA 24h notification: mandatory for ALL sizes. PDPL 72h breach notification: mandatory for ALL</t>
  </si>
  <si>
    <t>Supply Chain GRC</t>
  </si>
  <si>
    <t>Basic vendor questionnaire; ECC-2 clause in contracts; annual vendor check</t>
  </si>
  <si>
    <t>Vendor risk scoring; annual assessment of critical vendors; right-to-audit; NCA-registered CSP check</t>
  </si>
  <si>
    <t>Automated vendor risk management (Prevalent/BitSight); continuous monitoring; sub-contractor disclosure</t>
  </si>
  <si>
    <t>Zero-trust supply chain; vendor certification programme; real-time supply chain risk feeds; vendor SOC integration</t>
  </si>
  <si>
    <t>ECC-2 Domain 4 + NCA-CCC: vendor obligations apply equally. Cloud CSPs must be NCA-registered regardless</t>
  </si>
  <si>
    <t>Hire 1-2 Saudi cyber staff; leverage NCA Cyber Academy graduates; Green zone target</t>
  </si>
  <si>
    <t>Saudi cyber team (5-10); NCA training programme; Platinum zone target; SCFHS registration for health roles</t>
  </si>
  <si>
    <t>Saudi cyber workforce programme; university partnerships; graduate pipeline; 100% Saudi CISO team</t>
  </si>
  <si>
    <t>Saudi cyber centre of excellence; export Saudi GRC talent; SAFCSP collaboration; industry leadership</t>
  </si>
  <si>
    <t>ECC-2: 100% Saudi cyber roles by Oct 2025 deadline. Nitaqat zones vary by sector — health: special formula</t>
  </si>
  <si>
    <t>Medical Device Compliance</t>
  </si>
  <si>
    <t>Basic SFDA device register; vendor-managed UDI; minimal PMS</t>
  </si>
  <si>
    <t>Internal SFDA compliance officer; device lifecycle tracking; PMS programme; adverse event reporting</t>
  </si>
  <si>
    <t>Regulatory affairs team; full UDI management; clinical evidence generation; SFDA audit readiness</t>
  </si>
  <si>
    <t>Regulatory affairs department; AI-MDS compliance; global MDR harmonisation; clinical investigation programme</t>
  </si>
  <si>
    <t>SFDA-MDR mandatory for all device operators. AI-MDS applies if using AI diagnostics regardless of size</t>
  </si>
  <si>
    <t>GRC Tooling &amp; Automation</t>
  </si>
  <si>
    <t>Spreadsheet-based GRC (this workbook!); basic cloud collaboration; manual KRI tracking</t>
  </si>
  <si>
    <t>Entry-level GRC platform (Hyperproof/LogicGate); semi-automated KRI; integrated risk register</t>
  </si>
  <si>
    <t>Enterprise GRC platform (ServiceNow/Archer); automated compliance monitoring; API integrations</t>
  </si>
  <si>
    <t>Full GRC ecosystem; AI-powered compliance; RegTech integration; Shahin-AI type natural language GRC</t>
  </si>
  <si>
    <t>No KSA mandate on GRC tooling. NCA self-assessment via NCA portal (mandatory). PDPL may require automated consent tools</t>
  </si>
  <si>
    <t>━━━ SECTION G: ORG-SIZE-TO-KSA-REGULATORY MAPPING — Who Regulates You Based on Size ━━━</t>
  </si>
  <si>
    <t>Regulator / Framework</t>
  </si>
  <si>
    <t>🏪 SMALL (&lt;50)</t>
  </si>
  <si>
    <t>🏗️ LARGE (500-5K)</t>
  </si>
  <si>
    <t>🏨 ENTERPRISE (5K+)</t>
  </si>
  <si>
    <t>Trigger / Scope Rule</t>
  </si>
  <si>
    <t>KSA Market Context</t>
  </si>
  <si>
    <t>NCA — ECC-2:2024</t>
  </si>
  <si>
    <t>✅ If gov/CNI</t>
  </si>
  <si>
    <t>✅ Mandatory</t>
  </si>
  <si>
    <t>Government entities: ALL sizes. Private: only if designated CNI by NCA. Large private healthcare usually CNI</t>
  </si>
  <si>
    <t>~90% of large healthcare entities are in NCA scope; small clinics often unclear</t>
  </si>
  <si>
    <t>NCA — OTCC-1:2022</t>
  </si>
  <si>
    <t>❌</t>
  </si>
  <si>
    <t>⚠️ If CNI+OT</t>
  </si>
  <si>
    <t>✅ If CNI+OT</t>
  </si>
  <si>
    <t>Only CNI entities with OT/ICS. Hospitals with connected medical devices: OTCC applies to OT network</t>
  </si>
  <si>
    <t>Major hospitals (&gt;100 beds) typically in OTCC scope; polyclinics usually exempt</t>
  </si>
  <si>
    <t>NCA — CCC-1:2020</t>
  </si>
  <si>
    <t>✅ If cloud+ECC</t>
  </si>
  <si>
    <t>Applies to ALL ECC-scope entities using cloud. Cloud CSP must be NCA-registered</t>
  </si>
  <si>
    <t>Almost universal — even small clinics use cloud EHR/email; CCC triggered by any cloud usage</t>
  </si>
  <si>
    <t>SDAIA — PDPL-2021</t>
  </si>
  <si>
    <t>ALL entities processing personal data of KSA residents. No size exemption. Health data = sensitive category</t>
  </si>
  <si>
    <t>Universal. Even 1-person clinic collecting patient names = PDPL scope</t>
  </si>
  <si>
    <t>SFDA — MDR</t>
  </si>
  <si>
    <t>✅ If devices</t>
  </si>
  <si>
    <t>ALL manufacturers, importers, distributors, operators of medical devices in KSA. No size exemption</t>
  </si>
  <si>
    <t>Universal for healthcare. Single GP clinic with blood pressure monitor = SFDA scope</t>
  </si>
  <si>
    <t>MOH — HIS Standards</t>
  </si>
  <si>
    <t>✅ If MOH licence</t>
  </si>
  <si>
    <t>All MOH-licensed healthcare facilities. HIS must meet MOH electronic standards</t>
  </si>
  <si>
    <t>MOH licence is mandatory for all healthcare providers in KSA</t>
  </si>
  <si>
    <t>CBAHI — Accreditation</t>
  </si>
  <si>
    <t>⚠️ Voluntary</t>
  </si>
  <si>
    <t>✅ Recommended</t>
  </si>
  <si>
    <t>✅ Expected</t>
  </si>
  <si>
    <t>Voluntary but effectively mandatory for large hospitals. Required by most CCHI-regulated insurers</t>
  </si>
  <si>
    <t>~200+ hospitals CBAHI-accredited; becoming de facto market requirement for all sizes</t>
  </si>
  <si>
    <t>NHIC — NABIDH</t>
  </si>
  <si>
    <t>⚠️ Phased</t>
  </si>
  <si>
    <t>✅ Required</t>
  </si>
  <si>
    <t>All healthcare facilities connecting to national health data exchange. Phased rollout by region/size</t>
  </si>
  <si>
    <t>NABIDH connectivity becoming mandatory; small clinics have later deadlines but still in scope</t>
  </si>
  <si>
    <t>MHRSD — NITAQAT</t>
  </si>
  <si>
    <t>ALL private entities with employees. Different zones (Platinum/Green/Yellow/Red) by sector + size band</t>
  </si>
  <si>
    <t>Universal for private sector. Healthcare sector has special Saudisation formula based on speciality type</t>
  </si>
  <si>
    <t>SAMA — CSF</t>
  </si>
  <si>
    <t>⚠️ If insurer</t>
  </si>
  <si>
    <t>✅ If financial</t>
  </si>
  <si>
    <t>Financial institutions only: banks, insurers, fintechs. Health insurers (CCHI-regulated) are SAMA scope</t>
  </si>
  <si>
    <t>Health insurers must comply with BOTH SAMA-CSF AND NCA-ECC-2 — dual regulatory burden</t>
  </si>
  <si>
    <t>ZATCA — E-invoicing</t>
  </si>
  <si>
    <t>ALL VAT-registered entities. Healthcare entities issuing invoices must use ZATCA-compliant e-invoicing</t>
  </si>
  <si>
    <t>Phase 2 (Integration Phase) rolling out by waves based on revenue threshold</t>
  </si>
  <si>
    <t>NCA — REG-2024 (Enforcement)</t>
  </si>
  <si>
    <t>✅ If NCA scope</t>
  </si>
  <si>
    <t>Applies to ALL entities in NCA scope. SAR 25M fine + criminal referral. No size exemption</t>
  </si>
  <si>
    <t>First enforcement reg — signals shift from guidance to penalties. Expected first fines in 2025</t>
  </si>
  <si>
    <t>━━━ SECTION H: REGULATORY-TO-SECTOR MATRIX — Complete Sector Compliance Map ━━━</t>
  </si>
  <si>
    <t>KSA Sector</t>
  </si>
  <si>
    <t>Primary Regulators</t>
  </si>
  <si>
    <t>Cross-Sector Regulators</t>
  </si>
  <si>
    <t>Key Frameworks (Mandatory)</t>
  </si>
  <si>
    <t># Frameworks in KB</t>
  </si>
  <si>
    <t>Unique Compliance Challenge</t>
  </si>
  <si>
    <t>Cross-Sector Overlap Risk</t>
  </si>
  <si>
    <t>🏥 Healthcare (Hospitals)</t>
  </si>
  <si>
    <t>MOH, SFDA, CBAHI, CCHI, NHIC, Regional Health Clusters</t>
  </si>
  <si>
    <t>NCA (ECC-2, OTCC, CCC, DCC), SDAIA (PDPL), MHRSD, ZATCA, SCFHS</t>
  </si>
  <si>
    <t>ECC-2 + OTCC + CCC + PDPL + SFDA-MDR + MOH-HIS + NABIDH + CBAHI</t>
  </si>
  <si>
    <t>Highest regulator density globally; 12+ mandatory frameworks; OT/IT convergence in clinical setting</t>
  </si>
  <si>
    <t>🔴 EXTREME — NCA/SFDA/MOH triple overlap on medical device cybersecurity</t>
  </si>
  <si>
    <t>💻 ICT / Digital / Telecom</t>
  </si>
  <si>
    <t>CST, CITC, NCA</t>
  </si>
  <si>
    <t>SDAIA (PDPL), MHRSD, ZATCA</t>
  </si>
  <si>
    <t>ECC-2 + CCC + PDPL + CST-IoT + CST-CCR</t>
  </si>
  <si>
    <t>Cloud service providers face NCA registration + CST licensing; IoT regulation emerging</t>
  </si>
  <si>
    <t>🟠 HIGH — NCA/CST overlap on cloud security requirements</t>
  </si>
  <si>
    <t>💰 Financial Services</t>
  </si>
  <si>
    <t>SAMA, CMA</t>
  </si>
  <si>
    <t>NCA (ECC-2), SDAIA (PDPL), MHRSD, ZATCA</t>
  </si>
  <si>
    <t>SAMA-CSF + ECC-2 + PDPL + CMA regulations</t>
  </si>
  <si>
    <t>Dual cyber framework (SAMA-CSF + NCA-ECC-2); CCHI-regulated health insurers in triple scope</t>
  </si>
  <si>
    <t>🔴 EXTREME — Health insurers: SAMA + NCA + CCHI triple jurisdiction</t>
  </si>
  <si>
    <t>⚡ Energy &amp; Utilities</t>
  </si>
  <si>
    <t>ECRA, SEC (Saudi Electricity)</t>
  </si>
  <si>
    <t>NCA (ECC-2, OTCC), SDAIA (PDPL), MHRSD</t>
  </si>
  <si>
    <t>ECC-2 + OTCC (CNI) + CCC + sector-specific</t>
  </si>
  <si>
    <t>Critical national infrastructure = full NCA suite mandatory; OTCC priority sector</t>
  </si>
  <si>
    <t>🟠 HIGH — NCA/ECRA overlap on smart grid cybersecurity</t>
  </si>
  <si>
    <t>🎓 Education &amp; Research</t>
  </si>
  <si>
    <t>MOE, NCAAA</t>
  </si>
  <si>
    <t>NCA (ECC-2), SDAIA (PDPL), MHRSD</t>
  </si>
  <si>
    <t>ECC-2 (if gov) + PDPL + MOE standards</t>
  </si>
  <si>
    <t>University hospitals face healthcare + education dual regulation; student data = PDPL sensitive</t>
  </si>
  <si>
    <t>🟡 MODERATE — University hospitals: education + healthcare dual scope</t>
  </si>
  <si>
    <t>🚚 Transport &amp; Logistics</t>
  </si>
  <si>
    <t>TGA, PME, GACA</t>
  </si>
  <si>
    <t>ECC-2 + OTCC (ports/airports) + PDPL</t>
  </si>
  <si>
    <t>Port/airport systems = CNI; autonomous vehicle regulation emerging; NEOM transport innovation</t>
  </si>
  <si>
    <t>🟡 MODERATE — NCA/TGA overlap on CNI transport systems</t>
  </si>
  <si>
    <t>🏗️ Special Zones &amp; Giga Projects</t>
  </si>
  <si>
    <t>NEOM, ROSHN, KAEC zone regulators</t>
  </si>
  <si>
    <t>NCA (ECC-2), SDAIA (PDPL), MHRSD, CST</t>
  </si>
  <si>
    <t>ECC-2 + PDPL + zone-specific + smart city</t>
  </si>
  <si>
    <t>Regulatory sandbox; may have zone-specific regulations different from national framework</t>
  </si>
  <si>
    <t>🟡 MODERATE — Zone-specific vs national framework potential conflict</t>
  </si>
  <si>
    <t>⚖️ Legal &amp; Judicial</t>
  </si>
  <si>
    <t>MOJ, BOE, SAIP</t>
  </si>
  <si>
    <t>ECC-2 + PDPL + BOE standards</t>
  </si>
  <si>
    <t>Legal sector handling highly sensitive case data; PDPL enhanced obligations; digital evidence standards</t>
  </si>
  <si>
    <t>🟢 LOW — Clear jurisdictional boundaries</t>
  </si>
  <si>
    <t>━━━ SECTION I: UNIFIED END-TO-END TRACEABILITY — The Complete Chain ━━━</t>
  </si>
  <si>
    <t>Trace ID</t>
  </si>
  <si>
    <t>1️⃣ CONTROL</t>
  </si>
  <si>
    <t>2️⃣ EVIDENCE</t>
  </si>
  <si>
    <t>3️⃣ RISK</t>
  </si>
  <si>
    <t>4️⃣ LIFECYCLE</t>
  </si>
  <si>
    <t>5️⃣ POLICY</t>
  </si>
  <si>
    <t>6️⃣ TREATMENT</t>
  </si>
  <si>
    <t>7️⃣ ORG SIZE</t>
  </si>
  <si>
    <t>8️⃣ REGULATOR</t>
  </si>
  <si>
    <t>9️⃣ SECTOR</t>
  </si>
  <si>
    <t>TRACE-001</t>
  </si>
  <si>
    <t>ECC-2 A.1: Governance &amp; Leadership (38 admin controls)</t>
  </si>
  <si>
    <t>CE-001: Board-approved strategy; CISO appointment; governance framework</t>
  </si>
  <si>
    <t>RISK-001: Governance failure → SAR 25M fine (CRITICAL)</t>
  </si>
  <si>
    <t>PLAN → establish before any implementation</t>
  </si>
  <si>
    <t>POL-001: Cybersecurity Strategy &amp; Governance Policy (L1-Strategic)</t>
  </si>
  <si>
    <t>TRT-001: MITIGATE — vCISO (small) / dedicated CISO (medium+)</t>
  </si>
  <si>
    <t>Small: vCISO | Med: dedicated CISO | Large: CISO+team | Enterprise: security org</t>
  </si>
  <si>
    <t>NCA (primary); NCA-REG-2024 (enforcement)</t>
  </si>
  <si>
    <t>ALL sectors — universal ECC-2 scope</t>
  </si>
  <si>
    <t>TRACE-002</t>
  </si>
  <si>
    <t>ECC-2 T.1: Access Control (48 technical controls)</t>
  </si>
  <si>
    <t>CE-004: IAM policy; MFA evidence; privileged access reviews; SoD matrix</t>
  </si>
  <si>
    <t>RISK-004: Unauthorised access → dual NCA+PDPL penalty (CRITICAL)</t>
  </si>
  <si>
    <t>IMPLEMENT → deploy during system build</t>
  </si>
  <si>
    <t>POL-005: Access Control &amp; Identity Management (L2-Operational)</t>
  </si>
  <si>
    <t>TRT-005: MITIGATE — IAMaaS (small) / full PAM (large)</t>
  </si>
  <si>
    <t>Small: basic MFA | Med: IAM+PAM | Large: full IAM programme | Enterprise: zero-trust</t>
  </si>
  <si>
    <t>NCA (ECC-2); SDAIA (PDPL if patient data)</t>
  </si>
  <si>
    <t>ALL sectors — access control is universal</t>
  </si>
  <si>
    <t>TRACE-003</t>
  </si>
  <si>
    <t>ECC-2 T.2: Network Security &amp; Segmentation</t>
  </si>
  <si>
    <t>CE-005: Architecture diagram; firewall rules; pen test report; vuln scans</t>
  </si>
  <si>
    <t>RISK-005: Network compromise → CNI disruption (CRITICAL)</t>
  </si>
  <si>
    <t>IMPLEMENT → deploy during infrastructure build</t>
  </si>
  <si>
    <t>POL-006: Network Security &amp; Segmentation (L2-Operational)</t>
  </si>
  <si>
    <t>TRT-006: MITIGATE — managed firewall (small) / micro-segmentation (large)</t>
  </si>
  <si>
    <t>Small: basic FW | Med: NGFW+segmentation | Large: micro-seg | Enterprise: zero-trust+SD-WAN</t>
  </si>
  <si>
    <t>NCA (ECC-2); NCA-OTCC (if OT network)</t>
  </si>
  <si>
    <t>ALL ECC-scope + CNI sectors for OTCC overlay</t>
  </si>
  <si>
    <t>TRACE-004</t>
  </si>
  <si>
    <t>ECC-2 O.1: Incident Response + NCA 24h notification</t>
  </si>
  <si>
    <t>CE-007: IR plan; NCA notification procedure; tabletop results; CSIRT roster</t>
  </si>
  <si>
    <t>RISK-007: Delayed response → criminal offence under NCA-REG (CRITICAL)</t>
  </si>
  <si>
    <t>OPERATE → continuous operational readiness</t>
  </si>
  <si>
    <t>POL-010: Incident Response &amp; NCA Notification (L2-Operational)</t>
  </si>
  <si>
    <t>TRT-010: MITIGATE — MSSP retainer (small) / internal CSIRT (large)</t>
  </si>
  <si>
    <t>Small: outsourced IR | Med: basic CSIRT | Large: SOAR-integrated | Enterprise: 24/7 CSIRT</t>
  </si>
  <si>
    <t>NCA (24h); SDAIA (72h PDPL breach); SFDA (device adverse event)</t>
  </si>
  <si>
    <t>ALL sectors — incident reporting is universal</t>
  </si>
  <si>
    <t>TRACE-005</t>
  </si>
  <si>
    <t>PDPL Art. 4-8: Data Subject Rights (45 PDPL controls)</t>
  </si>
  <si>
    <t>CE-010: Consent records; privacy notices; DSAR logs; deletion evidence</t>
  </si>
  <si>
    <t>RISK-010: PDPL non-compliance → SDAIA penalty + criminal (CRITICAL)</t>
  </si>
  <si>
    <t>OPERATE → continuous data processing operations</t>
  </si>
  <si>
    <t>POL-002: Data Protection &amp; Privacy (L1-Strategic) + POL-013: DSAR Procedure (L3)</t>
  </si>
  <si>
    <t>TRT-002: MITIGATE — external DPO (small) / dedicated DPO+team (large)</t>
  </si>
  <si>
    <t>Small: shared DPO | Med: internal DPO | Large: DPO+team | Enterprise: privacy office</t>
  </si>
  <si>
    <t>SDAIA (PDPL primary); NCA (DCC data security); MOH (health data)</t>
  </si>
  <si>
    <t>ALL sectors — health data = PDPL sensitive category</t>
  </si>
  <si>
    <t>TRACE-006</t>
  </si>
  <si>
    <t>OTCC: OT Asset Inventory &amp; Zone Segmentation (53 controls)</t>
  </si>
  <si>
    <t>CE-012: Complete OT inventory; Purdue model diagram; OT patch register</t>
  </si>
  <si>
    <t>RISK-012: OT/CNI disruption → patient safety (CRITICAL)</t>
  </si>
  <si>
    <t>IMPLEMENT → deploy during OT environment build</t>
  </si>
  <si>
    <t>POL-009: OT/IoMT Network Security (L2-Operational)</t>
  </si>
  <si>
    <t>TRT-009: MITIGATE — vendor patch mgmt (small) / full OT SOC (large)</t>
  </si>
  <si>
    <t>Small: N/A | Med: basic OT inventory | Large: OT monitoring | Enterprise: OT SOC+AI</t>
  </si>
  <si>
    <t>NCA (OTCC primary); SFDA (if medical devices); ECRA (if energy OT)</t>
  </si>
  <si>
    <t>Healthcare (IoMT) + Energy + Transport + Industry (CNI sectors)</t>
  </si>
  <si>
    <t>TRACE-007</t>
  </si>
  <si>
    <t>SFDA-MDR: Device Registration &amp; Post-Market Surveillance</t>
  </si>
  <si>
    <t>CE-013: SFDA authorisation; UDI registration; adverse events; recall procedures</t>
  </si>
  <si>
    <t>RISK-013: Unregistered device → SFDA seizure (CRITICAL)</t>
  </si>
  <si>
    <t>PLAN → pre-market registration → OPERATE → post-market surveillance</t>
  </si>
  <si>
    <t>POL-004: Medical Device &amp; IoMT Governance (L1-Strategic)</t>
  </si>
  <si>
    <t>TRT-004: MITIGATE — vendor-managed UDI (small) / regulatory affairs team (large)</t>
  </si>
  <si>
    <t>Small: vendor-led | Med: compliance officer | Large: reg affairs team | Enterprise: full RA department</t>
  </si>
  <si>
    <t>SFDA (MDR primary); NCA-OTCC (device network); MOH (clinical use)</t>
  </si>
  <si>
    <t>Healthcare primary; also Industry (device manufacturing)</t>
  </si>
  <si>
    <t>TRACE-008</t>
  </si>
  <si>
    <t>MOH-HIS + NHIC-NABIDH: Health IT Interoperability</t>
  </si>
  <si>
    <t>CE-014: NABIDH certificate; HL7 FHIR conformance; data exchange logs</t>
  </si>
  <si>
    <t>RISK-014: Data silo → clinical decision gap (HIGH)</t>
  </si>
  <si>
    <t>IMPLEMENT → system integration → OPERATE → continuous exchange</t>
  </si>
  <si>
    <t>POL-004 (IoMT Governance) → HIS standards compliance</t>
  </si>
  <si>
    <t>TRT-014: MITIGATE — cloud EHR with NABIDH (small) / integration engine (large)</t>
  </si>
  <si>
    <t>Small: cloud EHR | Med: local EHR+NABIDH | Large: integration engine | Enterprise: HIE platform</t>
  </si>
  <si>
    <t>MOH (HIS standards); NHIC (NABIDH); CBAHI (HIT accreditation)</t>
  </si>
  <si>
    <t>Healthcare ONLY — all providers regardless of size</t>
  </si>
  <si>
    <t>TRACE-009</t>
  </si>
  <si>
    <t>CBAHI-HAS-H: Hospital Accreditation Quality Standards</t>
  </si>
  <si>
    <t>CE-015: Clinical quality records; infection control; medication error reports</t>
  </si>
  <si>
    <t>RISK-015: Accreditation loss → cannot bill insurers (HIGH)</t>
  </si>
  <si>
    <t>REVIEW → 3-year accreditation cycle → continuous improvement</t>
  </si>
  <si>
    <t>POL-017: Maturity Assessment &amp; Continuous Improvement (L1-Strategic)</t>
  </si>
  <si>
    <t>TRT-015: MITIGATE — CBAHI readiness consultant (small) / quality team (large)</t>
  </si>
  <si>
    <t>Small: consultant | Med: quality officer | Large: quality team | Enterprise: quality department</t>
  </si>
  <si>
    <t>CBAHI (accreditation); CCHI (insurance requirement); MOH (licensing)</t>
  </si>
  <si>
    <t>Healthcare ONLY — hospitals primarily; clinics increasingly</t>
  </si>
  <si>
    <t>TRACE-010</t>
  </si>
  <si>
    <t>ECC-2 A.2 + MHRSD-NITAQAT: Saudisation Compliance</t>
  </si>
  <si>
    <t>CE-002: Saudi national IDs; NCA certifications; Qiwa reports; GOSI registration</t>
  </si>
  <si>
    <t>RISK-002: Saudisation breach → dual NCA+MHRSD penalty (CRITICAL)</t>
  </si>
  <si>
    <t>OPERATE → continuous workforce compliance</t>
  </si>
  <si>
    <t>POL-012: Saudisation &amp; Cyber Workforce (L2-Operational)</t>
  </si>
  <si>
    <t>TRT-012: MITIGATE — NCA academy pipeline (all) / university partnerships (large)</t>
  </si>
  <si>
    <t>Small: 1-2 Saudi hires | Med: Saudi team | Large: workforce programme | Enterprise: centre of excellence</t>
  </si>
  <si>
    <t>NCA (ECC-2 mandate); MHRSD (Nitaqat); GOSI; SCFHS (health roles)</t>
  </si>
  <si>
    <t>ALL sectors — ECC-2 Saudisation + Nitaqat are universal</t>
  </si>
  <si>
    <t>TRACE-011</t>
  </si>
  <si>
    <t>PDPL-DTR-2024: Cross-Border Data Transfer Controls</t>
  </si>
  <si>
    <t>CE-010+: Transfer impact assessment; adequacy determination; contractual safeguards</t>
  </si>
  <si>
    <t>RISK-010+: Unlawful international transfer → SDAIA enforcement (CRITICAL)</t>
  </si>
  <si>
    <t>PLAN → assess before transfer → OPERATE → ongoing monitoring</t>
  </si>
  <si>
    <t>POL-002 (Privacy) + POL-018 (Data Retention) cross-reference</t>
  </si>
  <si>
    <t>TRT-002: MITIGATE — data localisation (avoid) / adequacy assessment (mitigate)</t>
  </si>
  <si>
    <t>Small: keep data local | Med: adequacy assessment | Large: cross-border programme | Enterprise: global privacy</t>
  </si>
  <si>
    <t>SDAIA (PDPL primary); NCA-DCC (data security); MOH (health data sovereignty)</t>
  </si>
  <si>
    <t>ALL sectors processing KSA resident data with international partners</t>
  </si>
  <si>
    <t>TRACE-012</t>
  </si>
  <si>
    <t>NCA-CCC + CST-CCR: Cloud Security &amp; Compliance</t>
  </si>
  <si>
    <t>CE-004+: NCA-registered CSP verification; cloud security assessment; data residency proof</t>
  </si>
  <si>
    <t>RISK-006+: Cloud data exposure → dual NCA+PDPL (CRITICAL)</t>
  </si>
  <si>
    <t>IMPLEMENT → CSP selection → OPERATE → continuous monitoring</t>
  </si>
  <si>
    <t>POL-007 (Encryption) + POL-008 (Vendor Management) cross-reference</t>
  </si>
  <si>
    <t>TRT-007+008: MITIGATE — NCA-registered CSP only; data residency controls</t>
  </si>
  <si>
    <t>Small: cloud-native | Med: hybrid cloud | Large: multi-cloud governance | Enterprise: sovereign cloud</t>
  </si>
  <si>
    <t>NCA (CCC primary); CST (cloud licensing); SDAIA (PDPL cloud provisions)</t>
  </si>
  <si>
    <t>ALL sectors using cloud services — effectively universal</t>
  </si>
  <si>
    <t>TRACE-013</t>
  </si>
  <si>
    <t>SAMA-CSF + NCA-ECC-2: Financial Sector Dual Cyber Compliance</t>
  </si>
  <si>
    <t>CE-001+004: Dual self-assessment; SAMA audit + NCA audit; integrated evidence pack</t>
  </si>
  <si>
    <t>RISK-001+004: Dual non-compliance → SAMA licence + NCA fine (EXTREME)</t>
  </si>
  <si>
    <t>All phases — dual lifecycle for both frameworks simultaneously</t>
  </si>
  <si>
    <t>POL-001 (Governance) must satisfy BOTH SAMA-CSF + ECC-2 simultaneously</t>
  </si>
  <si>
    <t>TRT-001+005: MITIGATE — unified control framework mapping SAMA↔NCA</t>
  </si>
  <si>
    <t>N/A for small | Med: dual compliance | Large: unified programme | Enterprise: integrated GRC</t>
  </si>
  <si>
    <t>SAMA (CSF primary); NCA (ECC-2); SDAIA (PDPL)</t>
  </si>
  <si>
    <t>Financial Services ONLY — banks, insurers (including CCHI health insurers)</t>
  </si>
  <si>
    <t>TRACE-014</t>
  </si>
  <si>
    <t>Multi-Framework: Complete Hospital GRC Stack (ALL controls)</t>
  </si>
  <si>
    <t>ALL evidence types: CE-001 through CE-015 combined</t>
  </si>
  <si>
    <t>ALL risks: RISK-001 through RISK-015 simultaneous exposure</t>
  </si>
  <si>
    <t>All 5 phases running in parallel — continuous GRC lifecycle</t>
  </si>
  <si>
    <t>ALL 20 policies (POL-001 through POL-020) required</t>
  </si>
  <si>
    <t>ALL treatments: integrated MITIGATE programme across all domains</t>
  </si>
  <si>
    <t>Large/Enterprise ONLY — small hospitals cannot sustain full stack</t>
  </si>
  <si>
    <t>12+ regulators simultaneously: NCA, SDAIA, SFDA, MOH, CBAHI, CCHI, NHIC, MHRSD, ZATCA, SCFHS, GOSI, CST</t>
  </si>
  <si>
    <t>HEALTHCARE — the most regulated sector in KSA with highest GRC complexity globally</t>
  </si>
  <si>
    <t>TRACE-015</t>
  </si>
  <si>
    <t>ECC-2 + PDPL + ZATCA: Universal Minimum Compliance Set</t>
  </si>
  <si>
    <t>CE-001 (governance) + CE-010 (privacy) + e-invoice evidence</t>
  </si>
  <si>
    <t>RISK-001 (governance) + RISK-010 (privacy) + RISK-financial (ZATCA)</t>
  </si>
  <si>
    <t>PLAN + IMPLEMENT + OPERATE — minimum operational lifecycle</t>
  </si>
  <si>
    <t>POL-001 (Governance) + POL-002 (Privacy) + finance policy</t>
  </si>
  <si>
    <t>TRT-001+002: MITIGATE — every KSA entity must achieve this minimum</t>
  </si>
  <si>
    <t>ALL sizes — this is the absolute minimum for ANY KSA entity</t>
  </si>
  <si>
    <t>NCA (ECC-2 if in scope); SDAIA (PDPL universal); ZATCA (universal); MHRSD (universal)</t>
  </si>
  <si>
    <t>ALL sectors — this is the KSA regulatory floor that every entity must clear</t>
  </si>
  <si>
    <t>GRC Linkage Engine</t>
  </si>
  <si>
    <t>🆕 Unified 9-dimension traceability: Controls ↔ Evidence ↔ Risk ↔ Lifecycle ↔ Policy ↔ Treatment ↔ Org Size ↔ Regulatory ↔ Sector</t>
  </si>
  <si>
    <t>135+</t>
  </si>
  <si>
    <t>🔗 End-to-end GRC operating model — connective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</si>
</sst>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mm\-dd"/>
  </numFmts>
  <fonts count="138" x14ac:knownFonts="1">
    <font>
      <sz val="11"/>
      <color theme="1"/>
      <name val="Calibri"/>
      <family val="2"/>
      <charset val="1"/>
    </font>
    <font>
      <b/>
      <sz val="9"/>
      <color rgb="FFFFFFFF"/>
      <name val="Arial"/>
      <charset val="1"/>
    </font>
    <font>
      <b/>
      <sz val="10"/>
      <color rgb="FFFFFFFF"/>
      <name val="Arial"/>
      <charset val="1"/>
    </font>
    <font>
      <b/>
      <sz val="9"/>
      <color rgb="FF222222"/>
      <name val="Arial"/>
      <charset val="1"/>
    </font>
    <font>
      <b/>
      <sz val="9"/>
      <color rgb="FF3B2D87"/>
      <name val="Arial"/>
      <charset val="1"/>
    </font>
    <font>
      <sz val="9"/>
      <color rgb="FF222222"/>
      <name val="Arial"/>
      <charset val="1"/>
    </font>
    <font>
      <b/>
      <sz val="8"/>
      <color rgb="FF155724"/>
      <name val="Arial"/>
      <charset val="1"/>
    </font>
    <font>
      <b/>
      <sz val="9"/>
      <color rgb="FF0D6E44"/>
      <name val="Arial"/>
      <charset val="1"/>
    </font>
    <font>
      <sz val="9"/>
      <color rgb="FF1A6FAF"/>
      <name val="Arial"/>
      <charset val="1"/>
    </font>
    <font>
      <sz val="9"/>
      <color rgb="FF1D6FA3"/>
      <name val="Arial"/>
      <charset val="1"/>
    </font>
    <font>
      <b/>
      <sz val="9"/>
      <color rgb="FF155724"/>
      <name val="Arial"/>
      <charset val="1"/>
    </font>
    <font>
      <sz val="9"/>
      <color rgb="FF2B4D8C"/>
      <name val="Arial"/>
      <charset val="1"/>
    </font>
    <font>
      <sz val="9"/>
      <color rgb="FF8B0000"/>
      <name val="Arial"/>
      <charset val="1"/>
    </font>
    <font>
      <sz val="9"/>
      <color rgb="FF005F6B"/>
      <name val="Arial"/>
      <charset val="1"/>
    </font>
    <font>
      <b/>
      <sz val="8"/>
      <color rgb="FF7A5500"/>
      <name val="Arial"/>
      <charset val="1"/>
    </font>
    <font>
      <sz val="9"/>
      <color rgb="FF0D6E44"/>
      <name val="Arial"/>
      <charset val="1"/>
    </font>
    <font>
      <b/>
      <sz val="9"/>
      <color rgb="FF1A3557"/>
      <name val="Arial"/>
      <charset val="1"/>
    </font>
    <font>
      <b/>
      <sz val="8"/>
      <color rgb="FFFFFFFF"/>
      <name val="Arial"/>
      <charset val="1"/>
    </font>
    <font>
      <sz val="8"/>
      <color rgb="FF085041"/>
      <name val="Arial"/>
      <charset val="1"/>
    </font>
    <font>
      <sz val="9"/>
      <color rgb="FF3B2D87"/>
      <name val="Arial"/>
      <charset val="1"/>
    </font>
    <font>
      <sz val="8"/>
      <color rgb="FF1A3557"/>
      <name val="Arial"/>
      <charset val="1"/>
    </font>
    <font>
      <sz val="8"/>
      <color rgb="FF8B0000"/>
      <name val="Arial"/>
      <charset val="1"/>
    </font>
    <font>
      <b/>
      <sz val="9"/>
      <color rgb="FF7A1A0A"/>
      <name val="Arial"/>
      <charset val="1"/>
    </font>
    <font>
      <b/>
      <sz val="8"/>
      <color rgb="FF5F5E5A"/>
      <name val="Arial"/>
      <charset val="1"/>
    </font>
    <font>
      <b/>
      <sz val="9"/>
      <color rgb="FF533F03"/>
      <name val="Arial"/>
      <charset val="1"/>
    </font>
    <font>
      <sz val="9"/>
      <color rgb="FF856404"/>
      <name val="Arial"/>
      <charset val="1"/>
    </font>
    <font>
      <b/>
      <sz val="9"/>
      <color rgb="FF5F5E5A"/>
      <name val="Arial"/>
      <charset val="1"/>
    </font>
    <font>
      <sz val="9"/>
      <color rgb="FF444444"/>
      <name val="Arial"/>
      <charset val="1"/>
    </font>
    <font>
      <b/>
      <sz val="9"/>
      <color rgb="FF8B0000"/>
      <name val="Arial"/>
      <charset val="1"/>
    </font>
    <font>
      <b/>
      <sz val="8"/>
      <color rgb="FF0C5460"/>
      <name val="Arial"/>
      <charset val="1"/>
    </font>
    <font>
      <b/>
      <sz val="8"/>
      <color rgb="FF0C447C"/>
      <name val="Arial"/>
      <charset val="1"/>
    </font>
    <font>
      <b/>
      <sz val="8"/>
      <color rgb="FF0D6E44"/>
      <name val="Arial"/>
      <charset val="1"/>
    </font>
    <font>
      <b/>
      <sz val="8"/>
      <color rgb="FF856404"/>
      <name val="Arial"/>
      <charset val="1"/>
    </font>
    <font>
      <b/>
      <sz val="8"/>
      <color rgb="FF4A4A00"/>
      <name val="Arial"/>
      <charset val="1"/>
    </font>
    <font>
      <b/>
      <sz val="9"/>
      <color rgb="FF7A5500"/>
      <name val="Arial"/>
      <charset val="1"/>
    </font>
    <font>
      <b/>
      <sz val="9"/>
      <color rgb="FF1A6FAF"/>
      <name val="Arial"/>
      <charset val="1"/>
    </font>
    <font>
      <b/>
      <sz val="9"/>
      <color rgb="FF8A6200"/>
      <name val="Arial"/>
      <charset val="1"/>
    </font>
    <font>
      <b/>
      <sz val="9"/>
      <color rgb="FF4A4A00"/>
      <name val="Arial"/>
      <charset val="1"/>
    </font>
    <font>
      <b/>
      <sz val="9"/>
      <color rgb="FF1D6FA3"/>
      <name val="Arial"/>
      <charset val="1"/>
    </font>
    <font>
      <b/>
      <sz val="9"/>
      <color rgb="FF1A5000"/>
      <name val="Arial"/>
      <charset val="1"/>
    </font>
    <font>
      <b/>
      <sz val="9"/>
      <color rgb="FF2A4A1A"/>
      <name val="Arial"/>
      <charset val="1"/>
    </font>
    <font>
      <b/>
      <sz val="9"/>
      <color rgb="FF5A3A00"/>
      <name val="Arial"/>
      <charset val="1"/>
    </font>
    <font>
      <b/>
      <sz val="9"/>
      <color rgb="FF2B3A8B"/>
      <name val="Arial"/>
      <charset val="1"/>
    </font>
    <font>
      <b/>
      <sz val="9"/>
      <color rgb="FF3D3D3D"/>
      <name val="Arial"/>
      <charset val="1"/>
    </font>
    <font>
      <b/>
      <sz val="9"/>
      <color rgb="FF5A2A7A"/>
      <name val="Arial"/>
      <charset val="1"/>
    </font>
    <font>
      <b/>
      <sz val="9"/>
      <color rgb="FF005F6B"/>
      <name val="Arial"/>
      <charset val="1"/>
    </font>
    <font>
      <b/>
      <sz val="9"/>
      <color rgb="FF003344"/>
      <name val="Arial"/>
      <charset val="1"/>
    </font>
    <font>
      <b/>
      <sz val="9"/>
      <color rgb="FF085041"/>
      <name val="Arial"/>
      <charset val="1"/>
    </font>
    <font>
      <sz val="9"/>
      <color rgb="FF085041"/>
      <name val="Arial"/>
      <charset val="1"/>
    </font>
    <font>
      <sz val="9"/>
      <color rgb="FF4A4A00"/>
      <name val="Arial"/>
      <charset val="1"/>
    </font>
    <font>
      <sz val="9"/>
      <color rgb="FF7A5500"/>
      <name val="Arial"/>
      <charset val="1"/>
    </font>
    <font>
      <sz val="9"/>
      <color rgb="FF8A6200"/>
      <name val="Arial"/>
      <charset val="1"/>
    </font>
    <font>
      <sz val="9"/>
      <color rgb="FF7A1A0A"/>
      <name val="Arial"/>
      <charset val="1"/>
    </font>
    <font>
      <sz val="9"/>
      <color rgb="FF1A5000"/>
      <name val="Arial"/>
      <charset val="1"/>
    </font>
    <font>
      <sz val="9"/>
      <color rgb="FF2A4A1A"/>
      <name val="Arial"/>
      <charset val="1"/>
    </font>
    <font>
      <sz val="9"/>
      <color rgb="FF5A3A00"/>
      <name val="Arial"/>
      <charset val="1"/>
    </font>
    <font>
      <sz val="9"/>
      <color rgb="FF2B3A8B"/>
      <name val="Arial"/>
      <charset val="1"/>
    </font>
    <font>
      <sz val="9"/>
      <color rgb="FF3D3D3D"/>
      <name val="Arial"/>
      <charset val="1"/>
    </font>
    <font>
      <sz val="9"/>
      <color rgb="FF5A2A7A"/>
      <name val="Arial"/>
      <charset val="1"/>
    </font>
    <font>
      <sz val="9"/>
      <color rgb="FF003344"/>
      <name val="Arial"/>
      <charset val="1"/>
    </font>
    <font>
      <sz val="9"/>
      <color rgb="FF1A3557"/>
      <name val="Arial"/>
      <charset val="1"/>
    </font>
    <font>
      <b/>
      <sz val="9"/>
      <color rgb="FF856404"/>
      <name val="Arial"/>
      <charset val="1"/>
    </font>
    <font>
      <sz val="9"/>
      <color rgb="FF155724"/>
      <name val="Arial"/>
      <charset val="1"/>
    </font>
    <font>
      <b/>
      <sz val="12"/>
      <color rgb="FFFFFFFF"/>
      <name val="Arial"/>
      <charset val="1"/>
    </font>
    <font>
      <sz val="8"/>
      <color rgb="FF7A5500"/>
      <name val="Arial"/>
      <charset val="1"/>
    </font>
    <font>
      <b/>
      <sz val="8"/>
      <color rgb="FF1A3557"/>
      <name val="Arial"/>
      <charset val="1"/>
    </font>
    <font>
      <b/>
      <sz val="8"/>
      <color rgb="FF8B0000"/>
      <name val="Arial"/>
      <charset val="1"/>
    </font>
    <font>
      <sz val="8"/>
      <color rgb="FF155724"/>
      <name val="Arial"/>
      <charset val="1"/>
    </font>
    <font>
      <sz val="8"/>
      <color rgb="FF2B4D8C"/>
      <name val="Arial"/>
      <charset val="1"/>
    </font>
    <font>
      <sz val="8"/>
      <color rgb="FF222222"/>
      <name val="Arial"/>
      <charset val="1"/>
    </font>
    <font>
      <sz val="8"/>
      <color rgb="FF005F6B"/>
      <name val="Arial"/>
      <charset val="1"/>
    </font>
    <font>
      <b/>
      <sz val="13"/>
      <color rgb="FFFFFFFF"/>
      <name val="Arial"/>
      <charset val="1"/>
    </font>
    <font>
      <b/>
      <sz val="8"/>
      <color rgb="FF3B2D87"/>
      <name val="Arial"/>
      <charset val="1"/>
    </font>
    <font>
      <b/>
      <sz val="8"/>
      <color rgb="FF1D6FA3"/>
      <name val="Arial"/>
      <charset val="1"/>
    </font>
    <font>
      <sz val="8"/>
      <color rgb="FFCCCCCC"/>
      <name val="Arial"/>
      <charset val="1"/>
    </font>
    <font>
      <sz val="9"/>
      <color rgb="FFCCCCCC"/>
      <name val="Arial"/>
      <charset val="1"/>
    </font>
    <font>
      <sz val="8"/>
      <color rgb="FF1A6FAF"/>
      <name val="Arial"/>
      <charset val="1"/>
    </font>
    <font>
      <sz val="8"/>
      <color rgb="FF856404"/>
      <name val="Arial"/>
      <charset val="1"/>
    </font>
    <font>
      <sz val="8"/>
      <color rgb="FF1B5E20"/>
      <name val="Arial"/>
      <charset val="1"/>
    </font>
    <font>
      <b/>
      <sz val="18"/>
      <color rgb="FF1B3A5C"/>
      <name val="Calibri"/>
      <family val="2"/>
      <charset val="1"/>
    </font>
    <font>
      <i/>
      <sz val="10"/>
      <color rgb="FF5F6368"/>
      <name val="Calibri"/>
      <family val="2"/>
      <charset val="1"/>
    </font>
    <font>
      <b/>
      <sz val="12"/>
      <color rgb="FFFFFFFF"/>
      <name val="Calibri"/>
      <family val="2"/>
      <charset val="1"/>
    </font>
    <font>
      <b/>
      <sz val="11"/>
      <color rgb="FF1B3A5C"/>
      <name val="Calibri"/>
      <family val="2"/>
      <charset val="1"/>
    </font>
    <font>
      <b/>
      <sz val="14"/>
      <color rgb="FF1B3A5C"/>
      <name val="Calibri"/>
      <family val="2"/>
      <charset val="1"/>
    </font>
    <font>
      <sz val="11"/>
      <color rgb="FF888888"/>
      <name val="Calibri"/>
      <family val="2"/>
      <charset val="1"/>
    </font>
    <font>
      <sz val="9"/>
      <color rgb="FF888888"/>
      <name val="Calibri"/>
      <family val="2"/>
      <charset val="1"/>
    </font>
    <font>
      <sz val="11"/>
      <color rgb="FFD32F2F"/>
      <name val="Calibri"/>
      <family val="2"/>
      <charset val="1"/>
    </font>
    <font>
      <b/>
      <sz val="14"/>
      <color rgb="FFD32F2F"/>
      <name val="Calibri"/>
      <family val="2"/>
      <charset val="1"/>
    </font>
    <font>
      <sz val="11"/>
      <color rgb="FFF57C00"/>
      <name val="Calibri"/>
      <family val="2"/>
      <charset val="1"/>
    </font>
    <font>
      <b/>
      <sz val="14"/>
      <color rgb="FFF57C00"/>
      <name val="Calibri"/>
      <family val="2"/>
      <charset val="1"/>
    </font>
    <font>
      <b/>
      <sz val="14"/>
      <color rgb="FFFBC02D"/>
      <name val="Calibri"/>
      <family val="2"/>
      <charset val="1"/>
    </font>
    <font>
      <sz val="11"/>
      <color rgb="FF4CAF50"/>
      <name val="Calibri"/>
      <family val="2"/>
      <charset val="1"/>
    </font>
    <font>
      <b/>
      <sz val="14"/>
      <color rgb="FF4CAF50"/>
      <name val="Calibri"/>
      <family val="2"/>
      <charset val="1"/>
    </font>
    <font>
      <b/>
      <sz val="9"/>
      <color rgb="FF1B3A5C"/>
      <name val="Calibri"/>
      <family val="2"/>
      <charset val="1"/>
    </font>
    <font>
      <b/>
      <sz val="11"/>
      <color theme="1"/>
      <name val="Calibri"/>
      <family val="2"/>
      <charset val="1"/>
    </font>
    <font>
      <b/>
      <sz val="11"/>
      <color rgb="FFFFFFFF"/>
      <name val="Calibri"/>
      <family val="2"/>
      <charset val="1"/>
    </font>
    <font>
      <b/>
      <sz val="11"/>
      <color rgb="FF000000"/>
      <name val="Calibri"/>
      <family val="2"/>
      <charset val="1"/>
    </font>
    <font>
      <b/>
      <sz val="11"/>
      <color rgb="FFD32F2F"/>
      <name val="Calibri"/>
      <family val="2"/>
      <charset val="1"/>
    </font>
    <font>
      <b/>
      <sz val="20"/>
      <color rgb="FFFFFFFF"/>
      <name val="Calibri"/>
      <family val="2"/>
      <charset val="1"/>
    </font>
    <font>
      <i/>
      <sz val="10"/>
      <color rgb="FFB0BEC5"/>
      <name val="Calibri"/>
      <family val="2"/>
      <charset val="1"/>
    </font>
    <font>
      <b/>
      <sz val="12"/>
      <color rgb="FF1B3A5C"/>
      <name val="Calibri"/>
      <family val="2"/>
      <charset val="1"/>
    </font>
    <font>
      <b/>
      <sz val="9"/>
      <color rgb="FF5F6368"/>
      <name val="Calibri"/>
      <family val="2"/>
      <charset val="1"/>
    </font>
    <font>
      <b/>
      <sz val="24"/>
      <color rgb="FF1B3A5C"/>
      <name val="Calibri"/>
      <family val="2"/>
      <charset val="1"/>
    </font>
    <font>
      <b/>
      <sz val="24"/>
      <color rgb="FFD32F2F"/>
      <name val="Calibri"/>
      <family val="2"/>
      <charset val="1"/>
    </font>
    <font>
      <b/>
      <sz val="24"/>
      <color rgb="FFF57C00"/>
      <name val="Calibri"/>
      <family val="2"/>
      <charset val="1"/>
    </font>
    <font>
      <b/>
      <sz val="24"/>
      <color rgb="FF4CAF50"/>
      <name val="Calibri"/>
      <family val="2"/>
      <charset val="1"/>
    </font>
    <font>
      <b/>
      <sz val="16"/>
      <color rgb="FFFFFFFF"/>
      <name val="Calibri"/>
      <family val="2"/>
      <charset val="1"/>
    </font>
    <font>
      <i/>
      <sz val="9"/>
      <color rgb="FF5F6368"/>
      <name val="Calibri"/>
      <family val="2"/>
      <charset val="1"/>
    </font>
    <font>
      <b/>
      <sz val="12"/>
      <color rgb="FF0000FF"/>
      <name val="Calibri"/>
      <family val="2"/>
      <charset val="1"/>
    </font>
    <font>
      <b/>
      <sz val="16"/>
      <color rgb="FFD32F2F"/>
      <name val="Calibri"/>
      <family val="2"/>
      <charset val="1"/>
    </font>
    <font>
      <b/>
      <sz val="16"/>
      <color rgb="FF1B3A5C"/>
      <name val="Calibri"/>
      <family val="2"/>
      <charset val="1"/>
    </font>
    <font>
      <i/>
      <sz val="9"/>
      <color rgb="FF9E9E9E"/>
      <name val="Calibri"/>
      <family val="2"/>
      <charset val="1"/>
    </font>
    <font>
      <b/>
      <sz val="18"/>
      <color rgb="FFFFFFFF"/>
      <name val="Calibri"/>
      <family val="2"/>
      <charset val="1"/>
    </font>
    <font>
      <b/>
      <sz val="11"/>
      <color rgb="FF4CAF50"/>
      <name val="Calibri"/>
      <family val="2"/>
      <charset val="1"/>
    </font>
    <font>
      <b/>
      <sz val="14"/>
      <color theme="1"/>
      <name val="Calibri"/>
      <family val="2"/>
      <charset val="1"/>
    </font>
    <font>
      <b/>
      <sz val="11"/>
      <color rgb="FFF57C00"/>
      <name val="Calibri"/>
      <family val="2"/>
      <charset val="1"/>
    </font>
    <font>
      <b/>
      <sz val="11"/>
      <color rgb="FFFBC02D"/>
      <name val="Calibri"/>
      <family val="2"/>
      <charset val="1"/>
    </font>
    <font>
      <b/>
      <sz val="11"/>
      <color rgb="FF1565C0"/>
      <name val="Calibri"/>
      <family val="2"/>
      <charset val="1"/>
    </font>
    <font>
      <b/>
      <sz val="14"/>
      <color rgb="FFFFFFFF"/>
      <name val="Calibri"/>
      <family val="2"/>
      <charset val="1"/>
    </font>
    <font>
      <b/>
      <sz val="16"/>
      <color rgb="FF2E7D32"/>
      <name val="Calibri"/>
      <family val="2"/>
      <charset val="1"/>
    </font>
    <font>
      <b/>
      <sz val="11"/>
      <color rgb="FF2E7D32"/>
      <name val="Calibri"/>
      <family val="2"/>
      <charset val="1"/>
    </font>
    <font>
      <b/>
      <sz val="12"/>
      <color rgb="FFD32F2F"/>
      <name val="Calibri"/>
      <family val="2"/>
      <charset val="1"/>
    </font>
    <font>
      <b/>
      <sz val="11"/>
      <color rgb="FF0D47A1"/>
      <name val="Calibri"/>
      <family val="2"/>
      <charset val="1"/>
    </font>
    <font>
      <b/>
      <sz val="12"/>
      <color rgb="FFF57C00"/>
      <name val="Calibri"/>
      <family val="2"/>
      <charset val="1"/>
    </font>
    <font>
      <b/>
      <sz val="12"/>
      <color rgb="FFFBC02D"/>
      <name val="Calibri"/>
      <family val="2"/>
      <charset val="1"/>
    </font>
    <font>
      <b/>
      <sz val="16"/>
      <color rgb="FFF57C00"/>
      <name val="Calibri"/>
      <family val="2"/>
      <charset val="1"/>
    </font>
    <font>
      <b/>
      <sz val="16"/>
      <color rgb="FFFBC02D"/>
      <name val="Calibri"/>
      <family val="2"/>
      <charset val="1"/>
    </font>
    <font>
      <b/>
      <sz val="16"/>
      <color theme="1"/>
      <name val="Calibri"/>
      <family val="2"/>
      <charset val="1"/>
    </font>
    <font>
      <b/>
      <sz val="12"/>
      <color theme="1"/>
      <name val="Calibri"/>
      <family val="2"/>
      <charset val="1"/>
    </font>
    <font>
      <b/>
      <sz val="11"/>
      <color theme="1"/>
      <name val="Consolas"/>
    </font>
    <font>
      <b/>
      <sz val="14"/>
      <color rgb="FFFFFFFF"/>
      <name val="Consolas"/>
    </font>
    <font>
      <b/>
      <sz val="12"/>
      <color rgb="FF2E7D32"/>
      <name val="Calibri"/>
      <family val="2"/>
      <charset val="1"/>
    </font>
    <font>
      <b/>
      <sz val="12"/>
      <color rgb="FF0D47A1"/>
      <name val="Calibri"/>
      <family val="2"/>
      <charset val="1"/>
    </font>
    <font>
      <b/>
      <sz val="14"/>
      <color rgb="FF2E7D32"/>
      <name val="Calibri"/>
      <family val="2"/>
      <charset val="1"/>
    </font>
    <font>
      <b/>
      <sz val="18"/>
      <color rgb="FF2E7D32"/>
      <name val="Calibri"/>
      <family val="2"/>
      <charset val="1"/>
    </font>
    <font>
      <b/>
      <sz val="11"/>
      <color rgb="FFE65100"/>
      <name val="Calibri"/>
      <family val="2"/>
      <charset val="1"/>
    </font>
    <font>
      <b/>
      <sz val="11"/>
      <color rgb="FF6A1B9A"/>
      <name val="Calibri"/>
      <family val="2"/>
      <charset val="1"/>
    </font>
    <font>
      <b/>
      <sz val="11"/>
      <color rgb="FFC62828"/>
      <name val="Calibri"/>
      <family val="2"/>
      <charset val="1"/>
    </font>
  </fonts>
  <fills count="78">
    <fill>
      <patternFill patternType="none"/>
    </fill>
    <fill>
      <patternFill patternType="gray125"/>
    </fill>
    <fill>
      <patternFill patternType="darkGray">
        <fgColor rgb="FF1B2C3E"/>
        <bgColor rgb="FF003344"/>
      </patternFill>
    </fill>
    <fill>
      <patternFill patternType="solid">
        <fgColor rgb="FF2B4D8C"/>
        <bgColor rgb="FF2B3A8B"/>
      </patternFill>
    </fill>
    <fill>
      <patternFill patternType="solid">
        <fgColor rgb="FF3B2D87"/>
        <bgColor rgb="FF2B3A8B"/>
      </patternFill>
    </fill>
    <fill>
      <patternFill patternType="solid">
        <fgColor rgb="FF8B0000"/>
        <bgColor rgb="FF7A1A0A"/>
      </patternFill>
    </fill>
    <fill>
      <patternFill patternType="solid">
        <fgColor rgb="FF005F6B"/>
        <bgColor rgb="FF084F49"/>
      </patternFill>
    </fill>
    <fill>
      <patternFill patternType="solid">
        <fgColor rgb="FF7A5500"/>
        <bgColor rgb="FF856404"/>
      </patternFill>
    </fill>
    <fill>
      <patternFill patternType="solid">
        <fgColor rgb="FF0D6E44"/>
        <bgColor rgb="FF005F6B"/>
      </patternFill>
    </fill>
    <fill>
      <patternFill patternType="solid">
        <fgColor rgb="FF1D6FA3"/>
        <bgColor rgb="FF1A6FAF"/>
      </patternFill>
    </fill>
    <fill>
      <patternFill patternType="mediumGray">
        <fgColor rgb="FF0C513F"/>
        <bgColor rgb="FF084F49"/>
      </patternFill>
    </fill>
    <fill>
      <patternFill patternType="mediumGray">
        <fgColor rgb="FFAE160B"/>
        <bgColor rgb="FF7A1A0A"/>
      </patternFill>
    </fill>
    <fill>
      <patternFill patternType="solid">
        <fgColor rgb="FFEEEDFE"/>
        <bgColor rgb="FFE6EFF7"/>
      </patternFill>
    </fill>
    <fill>
      <patternFill patternType="solid">
        <fgColor rgb="FFD4EDDA"/>
        <bgColor rgb="FFD1ECF1"/>
      </patternFill>
    </fill>
    <fill>
      <patternFill patternType="solid">
        <fgColor rgb="FFE6F0F8"/>
        <bgColor rgb="FFE6EFF7"/>
      </patternFill>
    </fill>
    <fill>
      <patternFill patternType="solid">
        <fgColor rgb="FFFFFFFF"/>
        <bgColor rgb="FFFAFAFA"/>
      </patternFill>
    </fill>
    <fill>
      <patternFill patternType="solid">
        <fgColor rgb="FFF3F2F2"/>
        <bgColor rgb="FFF5F5F6"/>
      </patternFill>
    </fill>
    <fill>
      <patternFill patternType="solid">
        <fgColor rgb="FFE1F5EE"/>
        <bgColor rgb="FFE1F5F5"/>
      </patternFill>
    </fill>
    <fill>
      <patternFill patternType="solid">
        <fgColor rgb="FFFFF3CD"/>
        <bgColor rgb="FFFFF8E1"/>
      </patternFill>
    </fill>
    <fill>
      <patternFill patternType="darkGray">
        <fgColor rgb="FFF5F5F6"/>
        <bgColor rgb="FFF3F2F2"/>
      </patternFill>
    </fill>
    <fill>
      <patternFill patternType="solid">
        <fgColor rgb="FFFCECEC"/>
        <bgColor rgb="FFFCEBEB"/>
      </patternFill>
    </fill>
    <fill>
      <patternFill patternType="solid">
        <fgColor rgb="FFD1ECF1"/>
        <bgColor rgb="FFD4EDDA"/>
      </patternFill>
    </fill>
    <fill>
      <patternFill patternType="solid">
        <fgColor rgb="FF2B3A8B"/>
        <bgColor rgb="FF3B2D87"/>
      </patternFill>
    </fill>
    <fill>
      <patternFill patternType="solid">
        <fgColor rgb="FFF5F5E1"/>
        <bgColor rgb="FFFFF8E1"/>
      </patternFill>
    </fill>
    <fill>
      <patternFill patternType="solid">
        <fgColor rgb="FF1A6FAF"/>
        <bgColor rgb="FF1D6FA3"/>
      </patternFill>
    </fill>
    <fill>
      <patternFill patternType="solid">
        <fgColor rgb="FFE6EFF7"/>
        <bgColor rgb="FFE6F0F8"/>
      </patternFill>
    </fill>
    <fill>
      <patternFill patternType="solid">
        <fgColor rgb="FF856404"/>
        <bgColor rgb="FF7A5500"/>
      </patternFill>
    </fill>
    <fill>
      <patternFill patternType="solid">
        <fgColor rgb="FFFFF8E1"/>
        <bgColor rgb="FFFFF8E6"/>
      </patternFill>
    </fill>
    <fill>
      <patternFill patternType="solid">
        <fgColor rgb="FF4A4A00"/>
        <bgColor rgb="FF533F03"/>
      </patternFill>
    </fill>
    <fill>
      <patternFill patternType="solid">
        <fgColor rgb="FFFCEBEB"/>
        <bgColor rgb="FFFCECEC"/>
      </patternFill>
    </fill>
    <fill>
      <patternFill patternType="solid">
        <fgColor rgb="FF1A5000"/>
        <bgColor rgb="FF2A4A1A"/>
      </patternFill>
    </fill>
    <fill>
      <patternFill patternType="solid">
        <fgColor rgb="FFE6F5E3"/>
        <bgColor rgb="FFEAF5E1"/>
      </patternFill>
    </fill>
    <fill>
      <patternFill patternType="darkGray">
        <fgColor rgb="FFE6F5E3"/>
        <bgColor rgb="FFEAF5E1"/>
      </patternFill>
    </fill>
    <fill>
      <patternFill patternType="solid">
        <fgColor rgb="FF2A4A1A"/>
        <bgColor rgb="FF1A5000"/>
      </patternFill>
    </fill>
    <fill>
      <patternFill patternType="solid">
        <fgColor rgb="FFEAF5E1"/>
        <bgColor rgb="FFE6F5E3"/>
      </patternFill>
    </fill>
    <fill>
      <patternFill patternType="solid">
        <fgColor rgb="FF5A3A00"/>
        <bgColor rgb="FF533F03"/>
      </patternFill>
    </fill>
    <fill>
      <patternFill patternType="solid">
        <fgColor rgb="FFFFF8E6"/>
        <bgColor rgb="FFFFF8E1"/>
      </patternFill>
    </fill>
    <fill>
      <patternFill patternType="solid">
        <fgColor rgb="FFE6E9F5"/>
        <bgColor rgb="FFE0EBF0"/>
      </patternFill>
    </fill>
    <fill>
      <patternFill patternType="solid">
        <fgColor rgb="FF3D3D3D"/>
        <bgColor rgb="FF444444"/>
      </patternFill>
    </fill>
    <fill>
      <patternFill patternType="solid">
        <fgColor rgb="FFF3F2F2"/>
        <bgColor rgb="FFF5F5F6"/>
      </patternFill>
    </fill>
    <fill>
      <patternFill patternType="solid">
        <fgColor rgb="FF5A2A7A"/>
        <bgColor rgb="FF3B2D87"/>
      </patternFill>
    </fill>
    <fill>
      <patternFill patternType="solid">
        <fgColor rgb="FFF3E6F5"/>
        <bgColor rgb="FFEEEDFE"/>
      </patternFill>
    </fill>
    <fill>
      <patternFill patternType="solid">
        <fgColor rgb="FFE1F5F5"/>
        <bgColor rgb="FFE1F5EE"/>
      </patternFill>
    </fill>
    <fill>
      <patternFill patternType="solid">
        <fgColor rgb="FF003344"/>
        <bgColor rgb="FF1B2C3E"/>
      </patternFill>
    </fill>
    <fill>
      <patternFill patternType="solid">
        <fgColor rgb="FFE0EBF0"/>
        <bgColor rgb="FFE6E9F5"/>
      </patternFill>
    </fill>
    <fill>
      <patternFill patternType="solid">
        <fgColor rgb="FF0C513F"/>
        <bgColor rgb="FF084F49"/>
      </patternFill>
    </fill>
    <fill>
      <patternFill patternType="solid">
        <fgColor rgb="FFF8F9FA"/>
        <bgColor rgb="FFFAFAFA"/>
      </patternFill>
    </fill>
    <fill>
      <patternFill patternType="solid">
        <fgColor rgb="FF165922"/>
        <bgColor rgb="FF0C513F"/>
      </patternFill>
    </fill>
    <fill>
      <patternFill patternType="solid">
        <fgColor rgb="FF533F03"/>
        <bgColor rgb="FF5A3A00"/>
      </patternFill>
    </fill>
    <fill>
      <patternFill patternType="solid">
        <fgColor rgb="FF5F5E5A"/>
        <bgColor rgb="FF444444"/>
      </patternFill>
    </fill>
    <fill>
      <patternFill patternType="solid">
        <fgColor rgb="FFF4F6FA"/>
        <bgColor rgb="FFF5F5F6"/>
      </patternFill>
    </fill>
    <fill>
      <patternFill patternType="solid">
        <fgColor rgb="FFF0FFF4"/>
        <bgColor rgb="FFF0F8FF"/>
      </patternFill>
    </fill>
    <fill>
      <patternFill patternType="solid">
        <fgColor rgb="FF165922"/>
        <bgColor rgb="FF1A5000"/>
      </patternFill>
    </fill>
    <fill>
      <patternFill patternType="solid">
        <fgColor rgb="FF444444"/>
        <bgColor rgb="FF3D3D3D"/>
      </patternFill>
    </fill>
    <fill>
      <patternFill patternType="solid">
        <fgColor rgb="FF2B8336"/>
        <bgColor rgb="FF0D6E44"/>
      </patternFill>
    </fill>
    <fill>
      <patternFill patternType="mediumGray">
        <fgColor rgb="FFF3F2F2"/>
        <bgColor rgb="FFFCECEC"/>
      </patternFill>
    </fill>
    <fill>
      <patternFill patternType="solid">
        <fgColor rgb="FF856404"/>
        <bgColor rgb="FF7A5500"/>
      </patternFill>
    </fill>
    <fill>
      <patternFill patternType="solid">
        <fgColor rgb="FF7A1A0A"/>
        <bgColor rgb="FF8B0000"/>
      </patternFill>
    </fill>
    <fill>
      <patternFill patternType="solid">
        <fgColor rgb="FFF5F5F6"/>
        <bgColor rgb="FFF4F6FA"/>
      </patternFill>
    </fill>
    <fill>
      <patternFill patternType="darkGray">
        <fgColor rgb="FFAE160B"/>
        <bgColor rgb="FFC26500"/>
      </patternFill>
    </fill>
    <fill>
      <patternFill patternType="solid">
        <fgColor rgb="FFC26500"/>
        <bgColor rgb="FF856404"/>
      </patternFill>
    </fill>
    <fill>
      <patternFill patternType="solid">
        <fgColor rgb="FFF0F8FF"/>
        <bgColor rgb="FFF4F6FA"/>
      </patternFill>
    </fill>
    <fill>
      <patternFill patternType="solid">
        <fgColor rgb="FFE6F5E3"/>
        <bgColor rgb="FFEAF5E1"/>
      </patternFill>
    </fill>
    <fill>
      <patternFill patternType="solid">
        <fgColor rgb="FFFAFAFA"/>
        <bgColor rgb="FFF8F9FA"/>
      </patternFill>
    </fill>
    <fill>
      <patternFill patternType="solid">
        <fgColor rgb="FFE8F0FE"/>
        <bgColor indexed="64"/>
      </patternFill>
    </fill>
    <fill>
      <patternFill patternType="solid">
        <fgColor rgb="FF1B3A5C"/>
        <bgColor indexed="64"/>
      </patternFill>
    </fill>
    <fill>
      <patternFill patternType="solid">
        <fgColor rgb="FFD6E4F0"/>
        <bgColor indexed="64"/>
      </patternFill>
    </fill>
    <fill>
      <patternFill patternType="solid">
        <fgColor rgb="FFD32F2F"/>
        <bgColor indexed="64"/>
      </patternFill>
    </fill>
    <fill>
      <patternFill patternType="solid">
        <fgColor rgb="FFF57C00"/>
        <bgColor indexed="64"/>
      </patternFill>
    </fill>
    <fill>
      <patternFill patternType="solid">
        <fgColor rgb="FFFBC02D"/>
        <bgColor indexed="64"/>
      </patternFill>
    </fill>
    <fill>
      <patternFill patternType="solid">
        <fgColor rgb="FF4CAF50"/>
        <bgColor indexed="64"/>
      </patternFill>
    </fill>
    <fill>
      <patternFill patternType="solid">
        <fgColor rgb="FFFFE0B2"/>
        <bgColor indexed="64"/>
      </patternFill>
    </fill>
    <fill>
      <patternFill patternType="solid">
        <fgColor rgb="FF0D47A1"/>
        <bgColor indexed="64"/>
      </patternFill>
    </fill>
    <fill>
      <patternFill patternType="solid">
        <fgColor rgb="FFFFFF00"/>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
      <patternFill patternType="solid">
        <fgColor rgb="FFFCE4EC"/>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705">
    <xf numFmtId="0" fontId="0" fillId="0" borderId="0" xfId="0"/>
    <xf numFmtId="0" fontId="71" fillId="4" borderId="0" xfId="0" applyFont="1" applyFill="1" applyAlignment="1">
      <alignment horizontal="left" vertical="center"/>
    </xf>
    <xf numFmtId="0" fontId="63" fillId="4" borderId="0" xfId="0" applyFont="1" applyFill="1" applyAlignment="1">
      <alignment horizontal="left" vertical="center"/>
    </xf>
    <xf numFmtId="0" fontId="63" fillId="45" borderId="0" xfId="0" applyFont="1" applyFill="1" applyAlignment="1">
      <alignment horizontal="left" vertical="center"/>
    </xf>
    <xf numFmtId="0" fontId="63" fillId="2" borderId="0" xfId="0" applyFont="1" applyFill="1" applyAlignment="1">
      <alignment horizontal="lef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0" fillId="4" borderId="1" xfId="0" applyFill="1" applyBorder="1"/>
    <xf numFmtId="0" fontId="2" fillId="4" borderId="1" xfId="0" applyFont="1" applyFill="1" applyBorder="1" applyAlignment="1">
      <alignment horizontal="left" vertical="center"/>
    </xf>
    <xf numFmtId="0" fontId="3"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9" fillId="14"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16" fillId="12"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9" fillId="12"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19" fillId="12" borderId="1" xfId="0" applyFont="1" applyFill="1" applyBorder="1" applyAlignment="1">
      <alignment horizontal="left" vertical="center" wrapText="1"/>
    </xf>
    <xf numFmtId="0" fontId="20" fillId="12" borderId="1" xfId="0" applyFont="1" applyFill="1" applyBorder="1" applyAlignment="1">
      <alignment horizontal="left" vertical="center" wrapText="1"/>
    </xf>
    <xf numFmtId="0" fontId="21" fillId="12" borderId="1" xfId="0" applyFont="1" applyFill="1" applyBorder="1" applyAlignment="1">
      <alignment horizontal="left" vertical="center" wrapText="1"/>
    </xf>
    <xf numFmtId="0" fontId="22" fillId="12" borderId="1" xfId="0" applyFont="1" applyFill="1" applyBorder="1" applyAlignment="1">
      <alignment horizontal="left" vertical="center" wrapText="1"/>
    </xf>
    <xf numFmtId="0" fontId="17" fillId="10"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4" fillId="15" borderId="1"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5" fillId="15"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8" fillId="15" borderId="1" xfId="0" applyFont="1" applyFill="1" applyBorder="1" applyAlignment="1">
      <alignment horizontal="left" vertical="center" wrapText="1"/>
    </xf>
    <xf numFmtId="0" fontId="23" fillId="16"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24" fillId="15" borderId="1" xfId="0" applyFont="1" applyFill="1" applyBorder="1" applyAlignment="1">
      <alignment horizontal="center" vertical="center" wrapText="1"/>
    </xf>
    <xf numFmtId="0" fontId="25" fillId="18" borderId="1" xfId="0" applyFont="1" applyFill="1" applyBorder="1" applyAlignment="1">
      <alignment horizontal="left" vertical="center" wrapText="1"/>
    </xf>
    <xf numFmtId="0" fontId="26" fillId="12" borderId="1" xfId="0" applyFont="1" applyFill="1" applyBorder="1" applyAlignment="1">
      <alignment horizontal="center" vertical="center" wrapText="1"/>
    </xf>
    <xf numFmtId="0" fontId="27" fillId="19" borderId="1" xfId="0" applyFont="1" applyFill="1" applyBorder="1" applyAlignment="1">
      <alignment horizontal="left" vertical="center" wrapText="1"/>
    </xf>
    <xf numFmtId="0" fontId="26" fillId="15" borderId="1" xfId="0" applyFont="1" applyFill="1" applyBorder="1" applyAlignment="1">
      <alignment horizontal="center" vertical="center" wrapText="1"/>
    </xf>
    <xf numFmtId="0" fontId="28" fillId="20" borderId="1" xfId="0" applyFont="1" applyFill="1" applyBorder="1" applyAlignment="1">
      <alignment horizontal="left" vertical="center" wrapText="1"/>
    </xf>
    <xf numFmtId="0" fontId="29" fillId="21" borderId="1" xfId="0" applyFont="1" applyFill="1" applyBorder="1" applyAlignment="1">
      <alignment horizontal="center" vertical="center" wrapText="1"/>
    </xf>
    <xf numFmtId="0" fontId="17" fillId="22"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29" fillId="21" borderId="1" xfId="0" applyFont="1" applyFill="1" applyBorder="1" applyAlignment="1">
      <alignment horizontal="left" vertical="center" wrapText="1"/>
    </xf>
    <xf numFmtId="0" fontId="31" fillId="17" borderId="1" xfId="0" applyFont="1" applyFill="1" applyBorder="1" applyAlignment="1">
      <alignment horizontal="center" vertical="center" wrapText="1"/>
    </xf>
    <xf numFmtId="0" fontId="0" fillId="8" borderId="1" xfId="0" applyFill="1" applyBorder="1"/>
    <xf numFmtId="0" fontId="2" fillId="8" borderId="1" xfId="0" applyFont="1" applyFill="1" applyBorder="1" applyAlignment="1">
      <alignment horizontal="left" vertical="center"/>
    </xf>
    <xf numFmtId="0" fontId="7" fillId="15"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5" fillId="17" borderId="1" xfId="0" applyFont="1" applyFill="1" applyBorder="1" applyAlignment="1">
      <alignment horizontal="center" vertical="center" wrapText="1"/>
    </xf>
    <xf numFmtId="0" fontId="3" fillId="17" borderId="1" xfId="0" applyFont="1" applyFill="1" applyBorder="1" applyAlignment="1">
      <alignment horizontal="left" vertical="center" wrapText="1"/>
    </xf>
    <xf numFmtId="0" fontId="11" fillId="17"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3" fillId="17" borderId="1" xfId="0" applyFont="1" applyFill="1" applyBorder="1" applyAlignment="1">
      <alignment horizontal="left" vertical="center" wrapText="1"/>
    </xf>
    <xf numFmtId="0" fontId="14" fillId="17" borderId="1" xfId="0" applyFont="1" applyFill="1" applyBorder="1" applyAlignment="1">
      <alignment horizontal="left" vertical="center" wrapText="1"/>
    </xf>
    <xf numFmtId="0" fontId="16" fillId="17"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0" fontId="18" fillId="17" borderId="1" xfId="0" applyFont="1" applyFill="1" applyBorder="1" applyAlignment="1">
      <alignment horizontal="left" vertical="center" wrapText="1"/>
    </xf>
    <xf numFmtId="0" fontId="19" fillId="17" borderId="1" xfId="0" applyFont="1" applyFill="1" applyBorder="1" applyAlignment="1">
      <alignment horizontal="left" vertical="center" wrapText="1"/>
    </xf>
    <xf numFmtId="0" fontId="20" fillId="17" borderId="1" xfId="0" applyFont="1" applyFill="1" applyBorder="1" applyAlignment="1">
      <alignment horizontal="left" vertical="center" wrapText="1"/>
    </xf>
    <xf numFmtId="0" fontId="21" fillId="17" borderId="1" xfId="0" applyFont="1" applyFill="1" applyBorder="1" applyAlignment="1">
      <alignment horizontal="left" vertical="center" wrapText="1"/>
    </xf>
    <xf numFmtId="0" fontId="22" fillId="17"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7" fillId="17" borderId="1" xfId="0" applyFont="1" applyFill="1" applyBorder="1" applyAlignment="1">
      <alignment horizontal="center" vertical="center" wrapText="1"/>
    </xf>
    <xf numFmtId="0" fontId="8" fillId="17" borderId="1" xfId="0" applyFont="1" applyFill="1" applyBorder="1" applyAlignment="1">
      <alignment horizontal="left" vertical="center" wrapText="1"/>
    </xf>
    <xf numFmtId="0" fontId="10" fillId="17" borderId="1" xfId="0" applyFont="1" applyFill="1" applyBorder="1" applyAlignment="1">
      <alignment horizontal="center" vertical="center" wrapText="1"/>
    </xf>
    <xf numFmtId="0" fontId="32" fillId="18" borderId="1" xfId="0" applyFont="1" applyFill="1" applyBorder="1" applyAlignment="1">
      <alignment horizontal="left" vertical="center" wrapText="1"/>
    </xf>
    <xf numFmtId="0" fontId="33" fillId="23" borderId="1" xfId="0" applyFont="1" applyFill="1" applyBorder="1" applyAlignment="1">
      <alignment horizontal="center" vertical="center" wrapText="1"/>
    </xf>
    <xf numFmtId="0" fontId="26" fillId="17" borderId="1" xfId="0" applyFont="1" applyFill="1" applyBorder="1" applyAlignment="1">
      <alignment horizontal="center" vertical="center" wrapText="1"/>
    </xf>
    <xf numFmtId="0" fontId="32" fillId="18" borderId="1" xfId="0" applyFont="1" applyFill="1" applyBorder="1" applyAlignment="1">
      <alignment horizontal="center" vertical="center" wrapText="1"/>
    </xf>
    <xf numFmtId="0" fontId="24" fillId="17" borderId="1" xfId="0" applyFont="1" applyFill="1" applyBorder="1" applyAlignment="1">
      <alignment horizontal="center" vertical="center" wrapText="1"/>
    </xf>
    <xf numFmtId="0" fontId="0" fillId="7" borderId="1" xfId="0" applyFill="1" applyBorder="1"/>
    <xf numFmtId="0" fontId="2" fillId="7" borderId="1" xfId="0" applyFont="1" applyFill="1" applyBorder="1" applyAlignment="1">
      <alignment horizontal="left" vertical="center"/>
    </xf>
    <xf numFmtId="0" fontId="3" fillId="18" borderId="1" xfId="0" applyFont="1" applyFill="1" applyBorder="1" applyAlignment="1">
      <alignment horizontal="center" vertical="center" wrapText="1"/>
    </xf>
    <xf numFmtId="0" fontId="34"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8" fillId="18" borderId="1" xfId="0" applyFont="1" applyFill="1" applyBorder="1" applyAlignment="1">
      <alignment horizontal="left" vertical="center" wrapText="1"/>
    </xf>
    <xf numFmtId="0" fontId="11" fillId="18" borderId="1" xfId="0" applyFont="1" applyFill="1" applyBorder="1" applyAlignment="1">
      <alignment horizontal="left" vertical="center" wrapText="1"/>
    </xf>
    <xf numFmtId="0" fontId="12" fillId="18" borderId="1" xfId="0" applyFont="1" applyFill="1" applyBorder="1" applyAlignment="1">
      <alignment horizontal="left" vertical="center" wrapText="1"/>
    </xf>
    <xf numFmtId="0" fontId="13" fillId="18" borderId="1" xfId="0" applyFont="1" applyFill="1" applyBorder="1" applyAlignment="1">
      <alignment horizontal="left" vertical="center" wrapText="1"/>
    </xf>
    <xf numFmtId="0" fontId="14" fillId="18" borderId="1" xfId="0" applyFont="1" applyFill="1" applyBorder="1" applyAlignment="1">
      <alignment horizontal="left" vertical="center" wrapText="1"/>
    </xf>
    <xf numFmtId="0" fontId="15" fillId="18" borderId="1" xfId="0" applyFont="1" applyFill="1" applyBorder="1" applyAlignment="1">
      <alignment horizontal="left" vertical="center" wrapText="1"/>
    </xf>
    <xf numFmtId="0" fontId="16" fillId="18" borderId="1" xfId="0" applyFont="1" applyFill="1" applyBorder="1" applyAlignment="1">
      <alignment horizontal="left" vertical="center" wrapText="1"/>
    </xf>
    <xf numFmtId="0" fontId="9" fillId="18" borderId="1" xfId="0" applyFont="1" applyFill="1" applyBorder="1" applyAlignment="1">
      <alignment horizontal="left" vertical="center" wrapText="1"/>
    </xf>
    <xf numFmtId="0" fontId="18" fillId="18" borderId="1" xfId="0" applyFont="1" applyFill="1" applyBorder="1" applyAlignment="1">
      <alignment horizontal="left" vertical="center" wrapText="1"/>
    </xf>
    <xf numFmtId="0" fontId="19" fillId="18" borderId="1" xfId="0" applyFont="1" applyFill="1" applyBorder="1" applyAlignment="1">
      <alignment horizontal="left" vertical="center" wrapText="1"/>
    </xf>
    <xf numFmtId="0" fontId="20" fillId="18" borderId="1" xfId="0" applyFont="1" applyFill="1" applyBorder="1" applyAlignment="1">
      <alignment horizontal="left" vertical="center" wrapText="1"/>
    </xf>
    <xf numFmtId="0" fontId="21" fillId="18" borderId="1" xfId="0" applyFont="1" applyFill="1" applyBorder="1" applyAlignment="1">
      <alignment horizontal="left" vertical="center" wrapText="1"/>
    </xf>
    <xf numFmtId="0" fontId="22" fillId="18" borderId="1" xfId="0" applyFont="1" applyFill="1" applyBorder="1" applyAlignment="1">
      <alignment horizontal="left" vertical="center" wrapText="1"/>
    </xf>
    <xf numFmtId="0" fontId="34" fillId="15" borderId="1" xfId="0" applyFont="1" applyFill="1" applyBorder="1" applyAlignment="1">
      <alignment horizontal="left" vertical="center" wrapText="1"/>
    </xf>
    <xf numFmtId="0" fontId="26" fillId="18" borderId="1" xfId="0" applyFont="1" applyFill="1" applyBorder="1" applyAlignment="1">
      <alignment horizontal="center" vertical="center" wrapText="1"/>
    </xf>
    <xf numFmtId="0" fontId="0" fillId="24" borderId="1" xfId="0" applyFill="1" applyBorder="1"/>
    <xf numFmtId="0" fontId="2" fillId="24" borderId="1" xfId="0" applyFont="1" applyFill="1" applyBorder="1" applyAlignment="1">
      <alignment horizontal="left" vertical="center"/>
    </xf>
    <xf numFmtId="0" fontId="3" fillId="25" borderId="1" xfId="0" applyFont="1" applyFill="1" applyBorder="1" applyAlignment="1">
      <alignment horizontal="center" vertical="center" wrapText="1"/>
    </xf>
    <xf numFmtId="0" fontId="35" fillId="25" borderId="1" xfId="0" applyFont="1" applyFill="1" applyBorder="1" applyAlignment="1">
      <alignment horizontal="left" vertical="center" wrapText="1"/>
    </xf>
    <xf numFmtId="0" fontId="5" fillId="25" borderId="1" xfId="0" applyFont="1" applyFill="1" applyBorder="1" applyAlignment="1">
      <alignment horizontal="left" vertical="center" wrapText="1"/>
    </xf>
    <xf numFmtId="0" fontId="3" fillId="25" borderId="1" xfId="0" applyFont="1" applyFill="1" applyBorder="1" applyAlignment="1">
      <alignment horizontal="left" vertical="center" wrapText="1"/>
    </xf>
    <xf numFmtId="0" fontId="5" fillId="25" borderId="1" xfId="0" applyFont="1" applyFill="1" applyBorder="1" applyAlignment="1">
      <alignment horizontal="center" vertical="center" wrapText="1"/>
    </xf>
    <xf numFmtId="0" fontId="10" fillId="25" borderId="1" xfId="0" applyFont="1" applyFill="1" applyBorder="1" applyAlignment="1">
      <alignment horizontal="center" vertical="center" wrapText="1"/>
    </xf>
    <xf numFmtId="0" fontId="8" fillId="25" borderId="1" xfId="0" applyFont="1" applyFill="1" applyBorder="1" applyAlignment="1">
      <alignment horizontal="left" vertical="center" wrapText="1"/>
    </xf>
    <xf numFmtId="0" fontId="11" fillId="25" borderId="1" xfId="0" applyFont="1" applyFill="1" applyBorder="1" applyAlignment="1">
      <alignment horizontal="left" vertical="center" wrapText="1"/>
    </xf>
    <xf numFmtId="0" fontId="12" fillId="25" borderId="1" xfId="0" applyFont="1" applyFill="1" applyBorder="1" applyAlignment="1">
      <alignment horizontal="left" vertical="center" wrapText="1"/>
    </xf>
    <xf numFmtId="0" fontId="13" fillId="25" borderId="1" xfId="0" applyFont="1" applyFill="1" applyBorder="1" applyAlignment="1">
      <alignment horizontal="left" vertical="center" wrapText="1"/>
    </xf>
    <xf numFmtId="0" fontId="14" fillId="25" borderId="1" xfId="0" applyFont="1" applyFill="1" applyBorder="1" applyAlignment="1">
      <alignment horizontal="left" vertical="center" wrapText="1"/>
    </xf>
    <xf numFmtId="0" fontId="15" fillId="25" borderId="1" xfId="0" applyFont="1" applyFill="1" applyBorder="1" applyAlignment="1">
      <alignment horizontal="left" vertical="center" wrapText="1"/>
    </xf>
    <xf numFmtId="0" fontId="16" fillId="25" borderId="1" xfId="0" applyFont="1" applyFill="1" applyBorder="1" applyAlignment="1">
      <alignment horizontal="left" vertical="center" wrapText="1"/>
    </xf>
    <xf numFmtId="0" fontId="9" fillId="25" borderId="1" xfId="0" applyFont="1" applyFill="1" applyBorder="1" applyAlignment="1">
      <alignment horizontal="left" vertical="center" wrapText="1"/>
    </xf>
    <xf numFmtId="0" fontId="18" fillId="25" borderId="1" xfId="0" applyFont="1" applyFill="1" applyBorder="1" applyAlignment="1">
      <alignment horizontal="left" vertical="center" wrapText="1"/>
    </xf>
    <xf numFmtId="0" fontId="19" fillId="25" borderId="1" xfId="0" applyFont="1" applyFill="1" applyBorder="1" applyAlignment="1">
      <alignment horizontal="left" vertical="center" wrapText="1"/>
    </xf>
    <xf numFmtId="0" fontId="20" fillId="25" borderId="1" xfId="0" applyFont="1" applyFill="1" applyBorder="1" applyAlignment="1">
      <alignment horizontal="left" vertical="center" wrapText="1"/>
    </xf>
    <xf numFmtId="0" fontId="21" fillId="25" borderId="1" xfId="0" applyFont="1" applyFill="1" applyBorder="1" applyAlignment="1">
      <alignment horizontal="left" vertical="center" wrapText="1"/>
    </xf>
    <xf numFmtId="0" fontId="22" fillId="25" borderId="1" xfId="0" applyFont="1" applyFill="1" applyBorder="1" applyAlignment="1">
      <alignment horizontal="left" vertical="center" wrapText="1"/>
    </xf>
    <xf numFmtId="0" fontId="35" fillId="15" borderId="1" xfId="0" applyFont="1" applyFill="1" applyBorder="1" applyAlignment="1">
      <alignment horizontal="left" vertical="center" wrapText="1"/>
    </xf>
    <xf numFmtId="0" fontId="7" fillId="25" borderId="1" xfId="0" applyFont="1" applyFill="1" applyBorder="1" applyAlignment="1">
      <alignment horizontal="center" vertical="center" wrapText="1"/>
    </xf>
    <xf numFmtId="0" fontId="24" fillId="25" borderId="1" xfId="0" applyFont="1" applyFill="1" applyBorder="1" applyAlignment="1">
      <alignment horizontal="center" vertical="center" wrapText="1"/>
    </xf>
    <xf numFmtId="0" fontId="0" fillId="26" borderId="1" xfId="0" applyFill="1" applyBorder="1"/>
    <xf numFmtId="0" fontId="2" fillId="26" borderId="1" xfId="0" applyFont="1" applyFill="1" applyBorder="1" applyAlignment="1">
      <alignment horizontal="left" vertical="center"/>
    </xf>
    <xf numFmtId="0" fontId="3" fillId="27" borderId="1" xfId="0" applyFont="1" applyFill="1" applyBorder="1" applyAlignment="1">
      <alignment horizontal="center" vertical="center" wrapText="1"/>
    </xf>
    <xf numFmtId="0" fontId="36" fillId="27" borderId="1" xfId="0" applyFont="1" applyFill="1" applyBorder="1" applyAlignment="1">
      <alignment horizontal="left" vertical="center" wrapText="1"/>
    </xf>
    <xf numFmtId="0" fontId="5" fillId="27" borderId="1" xfId="0" applyFont="1" applyFill="1" applyBorder="1" applyAlignment="1">
      <alignment horizontal="left" vertical="center" wrapText="1"/>
    </xf>
    <xf numFmtId="0" fontId="3" fillId="27" borderId="1" xfId="0" applyFont="1" applyFill="1" applyBorder="1" applyAlignment="1">
      <alignment horizontal="left" vertical="center" wrapText="1"/>
    </xf>
    <xf numFmtId="0" fontId="5" fillId="27" borderId="1" xfId="0" applyFont="1" applyFill="1" applyBorder="1" applyAlignment="1">
      <alignment horizontal="center" vertical="center" wrapText="1"/>
    </xf>
    <xf numFmtId="0" fontId="24" fillId="27" borderId="1" xfId="0" applyFont="1" applyFill="1" applyBorder="1" applyAlignment="1">
      <alignment horizontal="center" vertical="center" wrapText="1"/>
    </xf>
    <xf numFmtId="0" fontId="8" fillId="27" borderId="1" xfId="0" applyFont="1" applyFill="1" applyBorder="1" applyAlignment="1">
      <alignment horizontal="left" vertical="center" wrapText="1"/>
    </xf>
    <xf numFmtId="0" fontId="11" fillId="27" borderId="1" xfId="0" applyFont="1" applyFill="1" applyBorder="1" applyAlignment="1">
      <alignment horizontal="left" vertical="center" wrapText="1"/>
    </xf>
    <xf numFmtId="0" fontId="12" fillId="27" borderId="1" xfId="0" applyFont="1" applyFill="1" applyBorder="1" applyAlignment="1">
      <alignment horizontal="left" vertical="center" wrapText="1"/>
    </xf>
    <xf numFmtId="0" fontId="13" fillId="27" borderId="1" xfId="0" applyFont="1" applyFill="1" applyBorder="1" applyAlignment="1">
      <alignment horizontal="left" vertical="center" wrapText="1"/>
    </xf>
    <xf numFmtId="0" fontId="14" fillId="27" borderId="1" xfId="0" applyFont="1" applyFill="1" applyBorder="1" applyAlignment="1">
      <alignment horizontal="left" vertical="center" wrapText="1"/>
    </xf>
    <xf numFmtId="0" fontId="15" fillId="27" borderId="1" xfId="0" applyFont="1" applyFill="1" applyBorder="1" applyAlignment="1">
      <alignment horizontal="left" vertical="center" wrapText="1"/>
    </xf>
    <xf numFmtId="0" fontId="16" fillId="27" borderId="1" xfId="0" applyFont="1" applyFill="1" applyBorder="1" applyAlignment="1">
      <alignment horizontal="left" vertical="center" wrapText="1"/>
    </xf>
    <xf numFmtId="0" fontId="9" fillId="27" borderId="1" xfId="0" applyFont="1" applyFill="1" applyBorder="1" applyAlignment="1">
      <alignment horizontal="left" vertical="center" wrapText="1"/>
    </xf>
    <xf numFmtId="0" fontId="18" fillId="27" borderId="1" xfId="0" applyFont="1" applyFill="1" applyBorder="1" applyAlignment="1">
      <alignment horizontal="left" vertical="center" wrapText="1"/>
    </xf>
    <xf numFmtId="0" fontId="19" fillId="27" borderId="1" xfId="0" applyFont="1" applyFill="1" applyBorder="1" applyAlignment="1">
      <alignment horizontal="left" vertical="center" wrapText="1"/>
    </xf>
    <xf numFmtId="0" fontId="20" fillId="27" borderId="1" xfId="0" applyFont="1" applyFill="1" applyBorder="1" applyAlignment="1">
      <alignment horizontal="left" vertical="center" wrapText="1"/>
    </xf>
    <xf numFmtId="0" fontId="21" fillId="27" borderId="1" xfId="0" applyFont="1" applyFill="1" applyBorder="1" applyAlignment="1">
      <alignment horizontal="left" vertical="center" wrapText="1"/>
    </xf>
    <xf numFmtId="0" fontId="22" fillId="27" borderId="1" xfId="0" applyFont="1" applyFill="1" applyBorder="1" applyAlignment="1">
      <alignment horizontal="left" vertical="center" wrapText="1"/>
    </xf>
    <xf numFmtId="0" fontId="36" fillId="15" borderId="1" xfId="0" applyFont="1" applyFill="1" applyBorder="1" applyAlignment="1">
      <alignment horizontal="left" vertical="center" wrapText="1"/>
    </xf>
    <xf numFmtId="0" fontId="26" fillId="27" borderId="1" xfId="0" applyFont="1" applyFill="1" applyBorder="1" applyAlignment="1">
      <alignment horizontal="center" vertical="center" wrapText="1"/>
    </xf>
    <xf numFmtId="0" fontId="0" fillId="28" borderId="1" xfId="0" applyFill="1" applyBorder="1"/>
    <xf numFmtId="0" fontId="2" fillId="28" borderId="1" xfId="0" applyFont="1" applyFill="1" applyBorder="1" applyAlignment="1">
      <alignment horizontal="left" vertical="center"/>
    </xf>
    <xf numFmtId="0" fontId="3" fillId="23" borderId="1" xfId="0" applyFont="1" applyFill="1" applyBorder="1" applyAlignment="1">
      <alignment horizontal="center" vertical="center" wrapText="1"/>
    </xf>
    <xf numFmtId="0" fontId="37" fillId="23" borderId="1" xfId="0" applyFont="1" applyFill="1" applyBorder="1" applyAlignment="1">
      <alignment horizontal="left" vertical="center" wrapText="1"/>
    </xf>
    <xf numFmtId="0" fontId="5" fillId="23" borderId="1"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5" fillId="23" borderId="1" xfId="0" applyFont="1" applyFill="1" applyBorder="1" applyAlignment="1">
      <alignment horizontal="center" vertical="center" wrapText="1"/>
    </xf>
    <xf numFmtId="0" fontId="10" fillId="23" borderId="1" xfId="0" applyFont="1" applyFill="1" applyBorder="1" applyAlignment="1">
      <alignment horizontal="center" vertical="center" wrapText="1"/>
    </xf>
    <xf numFmtId="0" fontId="8" fillId="23" borderId="1" xfId="0" applyFont="1" applyFill="1" applyBorder="1" applyAlignment="1">
      <alignment horizontal="left" vertical="center" wrapText="1"/>
    </xf>
    <xf numFmtId="0" fontId="11" fillId="23" borderId="1" xfId="0" applyFont="1" applyFill="1" applyBorder="1" applyAlignment="1">
      <alignment horizontal="left" vertical="center" wrapText="1"/>
    </xf>
    <xf numFmtId="0" fontId="12" fillId="23" borderId="1" xfId="0" applyFont="1" applyFill="1" applyBorder="1" applyAlignment="1">
      <alignment horizontal="left" vertical="center" wrapText="1"/>
    </xf>
    <xf numFmtId="0" fontId="13" fillId="23" borderId="1" xfId="0" applyFont="1" applyFill="1" applyBorder="1" applyAlignment="1">
      <alignment horizontal="left" vertical="center" wrapText="1"/>
    </xf>
    <xf numFmtId="0" fontId="14" fillId="23" borderId="1" xfId="0" applyFont="1" applyFill="1" applyBorder="1" applyAlignment="1">
      <alignment horizontal="left" vertical="center" wrapText="1"/>
    </xf>
    <xf numFmtId="0" fontId="15" fillId="23" borderId="1" xfId="0" applyFont="1" applyFill="1" applyBorder="1" applyAlignment="1">
      <alignment horizontal="left" vertical="center" wrapText="1"/>
    </xf>
    <xf numFmtId="0" fontId="16" fillId="23"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18" fillId="23" borderId="1" xfId="0" applyFont="1" applyFill="1" applyBorder="1" applyAlignment="1">
      <alignment horizontal="left" vertical="center" wrapText="1"/>
    </xf>
    <xf numFmtId="0" fontId="19" fillId="23" borderId="1" xfId="0" applyFont="1" applyFill="1" applyBorder="1" applyAlignment="1">
      <alignment horizontal="left" vertical="center" wrapText="1"/>
    </xf>
    <xf numFmtId="0" fontId="20" fillId="23" borderId="1" xfId="0" applyFont="1" applyFill="1" applyBorder="1" applyAlignment="1">
      <alignment horizontal="left" vertical="center" wrapText="1"/>
    </xf>
    <xf numFmtId="0" fontId="21" fillId="23" borderId="1" xfId="0" applyFont="1" applyFill="1" applyBorder="1" applyAlignment="1">
      <alignment horizontal="left" vertical="center" wrapText="1"/>
    </xf>
    <xf numFmtId="0" fontId="22" fillId="23" borderId="1" xfId="0" applyFont="1" applyFill="1" applyBorder="1" applyAlignment="1">
      <alignment horizontal="left" vertical="center" wrapText="1"/>
    </xf>
    <xf numFmtId="0" fontId="37" fillId="15" borderId="1" xfId="0" applyFont="1" applyFill="1" applyBorder="1" applyAlignment="1">
      <alignment horizontal="left" vertical="center" wrapText="1"/>
    </xf>
    <xf numFmtId="0" fontId="24" fillId="23" borderId="1" xfId="0" applyFont="1" applyFill="1" applyBorder="1" applyAlignment="1">
      <alignment horizontal="center" vertical="center" wrapText="1"/>
    </xf>
    <xf numFmtId="0" fontId="0" fillId="9" borderId="1" xfId="0" applyFill="1" applyBorder="1"/>
    <xf numFmtId="0" fontId="2" fillId="9" borderId="1" xfId="0" applyFont="1" applyFill="1" applyBorder="1" applyAlignment="1">
      <alignment horizontal="left" vertical="center"/>
    </xf>
    <xf numFmtId="0" fontId="38" fillId="15"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13" fillId="14"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15" fillId="14" borderId="1" xfId="0" applyFont="1" applyFill="1" applyBorder="1" applyAlignment="1">
      <alignment horizontal="left" vertical="center" wrapText="1"/>
    </xf>
    <xf numFmtId="0" fontId="16" fillId="14" borderId="1" xfId="0" applyFont="1" applyFill="1" applyBorder="1" applyAlignment="1">
      <alignment horizontal="left" vertical="center" wrapText="1"/>
    </xf>
    <xf numFmtId="0" fontId="18" fillId="14" borderId="1" xfId="0" applyFont="1" applyFill="1" applyBorder="1" applyAlignment="1">
      <alignment horizontal="left" vertical="center" wrapText="1"/>
    </xf>
    <xf numFmtId="0" fontId="19" fillId="14"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1" fillId="14" borderId="1" xfId="0" applyFont="1" applyFill="1" applyBorder="1" applyAlignment="1">
      <alignment horizontal="left" vertical="center" wrapText="1"/>
    </xf>
    <xf numFmtId="0" fontId="22" fillId="14"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8" fillId="14" borderId="1" xfId="0" applyFont="1" applyFill="1" applyBorder="1" applyAlignment="1">
      <alignment horizontal="left" vertical="center" wrapText="1"/>
    </xf>
    <xf numFmtId="0" fontId="10" fillId="14"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0" fontId="24" fillId="14" borderId="1" xfId="0" applyFont="1" applyFill="1" applyBorder="1" applyAlignment="1">
      <alignment horizontal="center" vertical="center" wrapText="1"/>
    </xf>
    <xf numFmtId="0" fontId="26" fillId="14" borderId="1" xfId="0" applyFont="1" applyFill="1" applyBorder="1" applyAlignment="1">
      <alignment horizontal="center" vertical="center" wrapText="1"/>
    </xf>
    <xf numFmtId="0" fontId="0" fillId="11" borderId="1" xfId="0" applyFill="1" applyBorder="1"/>
    <xf numFmtId="0" fontId="2" fillId="11" borderId="1" xfId="0" applyFont="1" applyFill="1" applyBorder="1" applyAlignment="1">
      <alignment horizontal="left" vertical="center"/>
    </xf>
    <xf numFmtId="0" fontId="3" fillId="20" borderId="1" xfId="0" applyFont="1" applyFill="1" applyBorder="1" applyAlignment="1">
      <alignment horizontal="center" vertical="center" wrapText="1"/>
    </xf>
    <xf numFmtId="0" fontId="22" fillId="20" borderId="1"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5" fillId="20" borderId="1" xfId="0" applyFont="1" applyFill="1" applyBorder="1" applyAlignment="1">
      <alignment horizontal="center" vertical="center" wrapText="1"/>
    </xf>
    <xf numFmtId="0" fontId="24" fillId="20" borderId="1" xfId="0" applyFont="1" applyFill="1" applyBorder="1" applyAlignment="1">
      <alignment horizontal="center" vertical="center" wrapText="1"/>
    </xf>
    <xf numFmtId="0" fontId="8" fillId="20" borderId="1" xfId="0" applyFont="1" applyFill="1" applyBorder="1" applyAlignment="1">
      <alignment horizontal="left" vertical="center" wrapText="1"/>
    </xf>
    <xf numFmtId="0" fontId="11" fillId="20" borderId="1" xfId="0" applyFont="1" applyFill="1" applyBorder="1" applyAlignment="1">
      <alignment horizontal="left" vertical="center" wrapText="1"/>
    </xf>
    <xf numFmtId="0" fontId="12" fillId="20" borderId="1" xfId="0" applyFont="1" applyFill="1" applyBorder="1" applyAlignment="1">
      <alignment horizontal="left" vertical="center" wrapText="1"/>
    </xf>
    <xf numFmtId="0" fontId="13" fillId="20" borderId="1" xfId="0" applyFont="1" applyFill="1" applyBorder="1" applyAlignment="1">
      <alignment horizontal="left" vertical="center" wrapText="1"/>
    </xf>
    <xf numFmtId="0" fontId="14" fillId="20" borderId="1" xfId="0" applyFont="1" applyFill="1" applyBorder="1" applyAlignment="1">
      <alignment horizontal="left" vertical="center" wrapText="1"/>
    </xf>
    <xf numFmtId="0" fontId="15" fillId="20" borderId="1" xfId="0" applyFont="1" applyFill="1" applyBorder="1" applyAlignment="1">
      <alignment horizontal="left" vertical="center" wrapText="1"/>
    </xf>
    <xf numFmtId="0" fontId="16" fillId="20" borderId="1" xfId="0" applyFont="1" applyFill="1" applyBorder="1" applyAlignment="1">
      <alignment horizontal="left" vertical="center" wrapText="1"/>
    </xf>
    <xf numFmtId="0" fontId="9" fillId="20" borderId="1" xfId="0" applyFont="1" applyFill="1" applyBorder="1" applyAlignment="1">
      <alignment horizontal="left" vertical="center" wrapText="1"/>
    </xf>
    <xf numFmtId="0" fontId="18" fillId="20" borderId="1" xfId="0" applyFont="1" applyFill="1" applyBorder="1" applyAlignment="1">
      <alignment horizontal="left" vertical="center" wrapText="1"/>
    </xf>
    <xf numFmtId="0" fontId="19" fillId="20" borderId="1" xfId="0" applyFont="1" applyFill="1" applyBorder="1" applyAlignment="1">
      <alignment horizontal="left" vertical="center" wrapText="1"/>
    </xf>
    <xf numFmtId="0" fontId="20" fillId="20" borderId="1" xfId="0" applyFont="1" applyFill="1" applyBorder="1" applyAlignment="1">
      <alignment horizontal="left" vertical="center" wrapText="1"/>
    </xf>
    <xf numFmtId="0" fontId="21" fillId="20" borderId="1" xfId="0" applyFont="1" applyFill="1" applyBorder="1" applyAlignment="1">
      <alignment horizontal="left" vertical="center" wrapText="1"/>
    </xf>
    <xf numFmtId="0" fontId="19" fillId="29" borderId="1" xfId="0" applyFont="1" applyFill="1" applyBorder="1" applyAlignment="1">
      <alignment horizontal="left" vertical="center" wrapText="1"/>
    </xf>
    <xf numFmtId="0" fontId="22" fillId="15" borderId="1" xfId="0" applyFont="1" applyFill="1" applyBorder="1" applyAlignment="1">
      <alignment horizontal="left" vertical="center" wrapText="1"/>
    </xf>
    <xf numFmtId="0" fontId="0" fillId="30" borderId="1" xfId="0" applyFill="1" applyBorder="1"/>
    <xf numFmtId="0" fontId="2" fillId="30" borderId="1" xfId="0" applyFont="1" applyFill="1" applyBorder="1" applyAlignment="1">
      <alignment horizontal="left" vertical="center"/>
    </xf>
    <xf numFmtId="0" fontId="3" fillId="31" borderId="1" xfId="0" applyFont="1" applyFill="1" applyBorder="1" applyAlignment="1">
      <alignment horizontal="center" vertical="center" wrapText="1"/>
    </xf>
    <xf numFmtId="0" fontId="39" fillId="31" borderId="1" xfId="0" applyFont="1" applyFill="1" applyBorder="1" applyAlignment="1">
      <alignment horizontal="left" vertical="center" wrapText="1"/>
    </xf>
    <xf numFmtId="0" fontId="5" fillId="31"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5" fillId="31" borderId="1" xfId="0" applyFont="1" applyFill="1" applyBorder="1" applyAlignment="1">
      <alignment horizontal="center" vertical="center" wrapText="1"/>
    </xf>
    <xf numFmtId="0" fontId="24" fillId="31" borderId="1" xfId="0" applyFont="1" applyFill="1" applyBorder="1" applyAlignment="1">
      <alignment horizontal="center" vertical="center" wrapText="1"/>
    </xf>
    <xf numFmtId="0" fontId="8" fillId="31" borderId="1" xfId="0" applyFont="1" applyFill="1" applyBorder="1" applyAlignment="1">
      <alignment horizontal="left" vertical="center" wrapText="1"/>
    </xf>
    <xf numFmtId="0" fontId="11" fillId="31" borderId="1" xfId="0" applyFont="1" applyFill="1" applyBorder="1" applyAlignment="1">
      <alignment horizontal="left" vertical="center" wrapText="1"/>
    </xf>
    <xf numFmtId="0" fontId="12" fillId="31" borderId="1" xfId="0" applyFont="1" applyFill="1" applyBorder="1" applyAlignment="1">
      <alignment horizontal="left" vertical="center" wrapText="1"/>
    </xf>
    <xf numFmtId="0" fontId="13" fillId="31" borderId="1" xfId="0" applyFont="1" applyFill="1" applyBorder="1" applyAlignment="1">
      <alignment horizontal="left" vertical="center" wrapText="1"/>
    </xf>
    <xf numFmtId="0" fontId="14" fillId="31" borderId="1" xfId="0" applyFont="1" applyFill="1" applyBorder="1" applyAlignment="1">
      <alignment horizontal="left" vertical="center" wrapText="1"/>
    </xf>
    <xf numFmtId="0" fontId="15" fillId="31" borderId="1" xfId="0" applyFont="1" applyFill="1" applyBorder="1" applyAlignment="1">
      <alignment horizontal="left" vertical="center" wrapText="1"/>
    </xf>
    <xf numFmtId="0" fontId="16" fillId="31" borderId="1" xfId="0" applyFont="1" applyFill="1" applyBorder="1" applyAlignment="1">
      <alignment horizontal="left" vertical="center" wrapText="1"/>
    </xf>
    <xf numFmtId="0" fontId="9" fillId="31" borderId="1" xfId="0" applyFont="1" applyFill="1" applyBorder="1" applyAlignment="1">
      <alignment horizontal="left" vertical="center" wrapText="1"/>
    </xf>
    <xf numFmtId="0" fontId="18" fillId="31" borderId="1" xfId="0" applyFont="1" applyFill="1" applyBorder="1" applyAlignment="1">
      <alignment horizontal="left" vertical="center" wrapText="1"/>
    </xf>
    <xf numFmtId="0" fontId="19" fillId="31" borderId="1" xfId="0" applyFont="1" applyFill="1" applyBorder="1" applyAlignment="1">
      <alignment horizontal="left" vertical="center" wrapText="1"/>
    </xf>
    <xf numFmtId="0" fontId="20" fillId="31" borderId="1" xfId="0" applyFont="1" applyFill="1" applyBorder="1" applyAlignment="1">
      <alignment horizontal="left" vertical="center" wrapText="1"/>
    </xf>
    <xf numFmtId="0" fontId="21" fillId="31" borderId="1" xfId="0" applyFont="1" applyFill="1" applyBorder="1" applyAlignment="1">
      <alignment horizontal="left" vertical="center" wrapText="1"/>
    </xf>
    <xf numFmtId="0" fontId="22" fillId="31" borderId="1" xfId="0" applyFont="1" applyFill="1" applyBorder="1" applyAlignment="1">
      <alignment horizontal="left" vertical="center" wrapText="1"/>
    </xf>
    <xf numFmtId="0" fontId="19" fillId="32" borderId="1" xfId="0" applyFont="1" applyFill="1" applyBorder="1" applyAlignment="1">
      <alignment horizontal="left" vertical="center" wrapText="1"/>
    </xf>
    <xf numFmtId="0" fontId="39" fillId="15" borderId="1" xfId="0" applyFont="1" applyFill="1" applyBorder="1" applyAlignment="1">
      <alignment horizontal="left" vertical="center" wrapText="1"/>
    </xf>
    <xf numFmtId="0" fontId="0" fillId="33" borderId="1" xfId="0" applyFill="1" applyBorder="1"/>
    <xf numFmtId="0" fontId="2" fillId="33" borderId="1" xfId="0" applyFont="1" applyFill="1" applyBorder="1" applyAlignment="1">
      <alignment horizontal="left" vertical="center"/>
    </xf>
    <xf numFmtId="0" fontId="3" fillId="34" borderId="1" xfId="0" applyFont="1" applyFill="1" applyBorder="1" applyAlignment="1">
      <alignment horizontal="center" vertical="center" wrapText="1"/>
    </xf>
    <xf numFmtId="0" fontId="40" fillId="34" borderId="1" xfId="0" applyFont="1" applyFill="1" applyBorder="1" applyAlignment="1">
      <alignment horizontal="left" vertical="center" wrapText="1"/>
    </xf>
    <xf numFmtId="0" fontId="5" fillId="34" borderId="1" xfId="0" applyFont="1" applyFill="1" applyBorder="1" applyAlignment="1">
      <alignment horizontal="left" vertical="center" wrapText="1"/>
    </xf>
    <xf numFmtId="0" fontId="3" fillId="34" borderId="1" xfId="0" applyFont="1" applyFill="1" applyBorder="1" applyAlignment="1">
      <alignment horizontal="left" vertical="center" wrapText="1"/>
    </xf>
    <xf numFmtId="0" fontId="5" fillId="34" borderId="1" xfId="0" applyFont="1" applyFill="1" applyBorder="1" applyAlignment="1">
      <alignment horizontal="center" vertical="center" wrapText="1"/>
    </xf>
    <xf numFmtId="0" fontId="24" fillId="34" borderId="1" xfId="0" applyFont="1" applyFill="1" applyBorder="1" applyAlignment="1">
      <alignment horizontal="center" vertical="center" wrapText="1"/>
    </xf>
    <xf numFmtId="0" fontId="8" fillId="34" borderId="1" xfId="0" applyFont="1" applyFill="1" applyBorder="1" applyAlignment="1">
      <alignment horizontal="left" vertical="center" wrapText="1"/>
    </xf>
    <xf numFmtId="0" fontId="11" fillId="34" borderId="1" xfId="0" applyFont="1" applyFill="1" applyBorder="1" applyAlignment="1">
      <alignment horizontal="left" vertical="center" wrapText="1"/>
    </xf>
    <xf numFmtId="0" fontId="12" fillId="34" borderId="1" xfId="0" applyFont="1" applyFill="1" applyBorder="1" applyAlignment="1">
      <alignment horizontal="left" vertical="center" wrapText="1"/>
    </xf>
    <xf numFmtId="0" fontId="13" fillId="34" borderId="1" xfId="0" applyFont="1" applyFill="1" applyBorder="1" applyAlignment="1">
      <alignment horizontal="left" vertical="center" wrapText="1"/>
    </xf>
    <xf numFmtId="0" fontId="14" fillId="34" borderId="1" xfId="0" applyFont="1" applyFill="1" applyBorder="1" applyAlignment="1">
      <alignment horizontal="left" vertical="center" wrapText="1"/>
    </xf>
    <xf numFmtId="0" fontId="15" fillId="34" borderId="1" xfId="0" applyFont="1" applyFill="1" applyBorder="1" applyAlignment="1">
      <alignment horizontal="left" vertical="center" wrapText="1"/>
    </xf>
    <xf numFmtId="0" fontId="16" fillId="34" borderId="1" xfId="0" applyFont="1" applyFill="1" applyBorder="1" applyAlignment="1">
      <alignment horizontal="left" vertical="center" wrapText="1"/>
    </xf>
    <xf numFmtId="0" fontId="9" fillId="34" borderId="1" xfId="0" applyFont="1" applyFill="1" applyBorder="1" applyAlignment="1">
      <alignment horizontal="left" vertical="center" wrapText="1"/>
    </xf>
    <xf numFmtId="0" fontId="18" fillId="34" borderId="1" xfId="0" applyFont="1" applyFill="1" applyBorder="1" applyAlignment="1">
      <alignment horizontal="left" vertical="center" wrapText="1"/>
    </xf>
    <xf numFmtId="0" fontId="19" fillId="34" borderId="1" xfId="0" applyFont="1" applyFill="1" applyBorder="1" applyAlignment="1">
      <alignment horizontal="left" vertical="center" wrapText="1"/>
    </xf>
    <xf numFmtId="0" fontId="20" fillId="34" borderId="1" xfId="0" applyFont="1" applyFill="1" applyBorder="1" applyAlignment="1">
      <alignment horizontal="left" vertical="center" wrapText="1"/>
    </xf>
    <xf numFmtId="0" fontId="21" fillId="34" borderId="1" xfId="0" applyFont="1" applyFill="1" applyBorder="1" applyAlignment="1">
      <alignment horizontal="left" vertical="center" wrapText="1"/>
    </xf>
    <xf numFmtId="0" fontId="22" fillId="34" borderId="1" xfId="0" applyFont="1" applyFill="1" applyBorder="1" applyAlignment="1">
      <alignment horizontal="left" vertical="center" wrapText="1"/>
    </xf>
    <xf numFmtId="0" fontId="40" fillId="15" borderId="1" xfId="0" applyFont="1" applyFill="1" applyBorder="1" applyAlignment="1">
      <alignment horizontal="left" vertical="center" wrapText="1"/>
    </xf>
    <xf numFmtId="0" fontId="0" fillId="35" borderId="1" xfId="0" applyFill="1" applyBorder="1"/>
    <xf numFmtId="0" fontId="2" fillId="35" borderId="1" xfId="0" applyFont="1" applyFill="1" applyBorder="1" applyAlignment="1">
      <alignment horizontal="left" vertical="center"/>
    </xf>
    <xf numFmtId="0" fontId="3" fillId="36" borderId="1" xfId="0" applyFont="1" applyFill="1" applyBorder="1" applyAlignment="1">
      <alignment horizontal="center" vertical="center" wrapText="1"/>
    </xf>
    <xf numFmtId="0" fontId="41" fillId="36" borderId="1" xfId="0" applyFont="1" applyFill="1" applyBorder="1" applyAlignment="1">
      <alignment horizontal="left" vertical="center" wrapText="1"/>
    </xf>
    <xf numFmtId="0" fontId="5" fillId="36" borderId="1" xfId="0" applyFont="1" applyFill="1" applyBorder="1" applyAlignment="1">
      <alignment horizontal="left" vertical="center" wrapText="1"/>
    </xf>
    <xf numFmtId="0" fontId="3" fillId="36" borderId="1" xfId="0" applyFont="1" applyFill="1" applyBorder="1" applyAlignment="1">
      <alignment horizontal="left" vertical="center" wrapText="1"/>
    </xf>
    <xf numFmtId="0" fontId="5" fillId="36" borderId="1" xfId="0" applyFont="1" applyFill="1" applyBorder="1" applyAlignment="1">
      <alignment horizontal="center" vertical="center" wrapText="1"/>
    </xf>
    <xf numFmtId="0" fontId="24" fillId="36" borderId="1" xfId="0" applyFont="1" applyFill="1" applyBorder="1" applyAlignment="1">
      <alignment horizontal="center" vertical="center" wrapText="1"/>
    </xf>
    <xf numFmtId="0" fontId="8" fillId="36" borderId="1" xfId="0" applyFont="1" applyFill="1" applyBorder="1" applyAlignment="1">
      <alignment horizontal="left" vertical="center" wrapText="1"/>
    </xf>
    <xf numFmtId="0" fontId="11" fillId="36" borderId="1" xfId="0" applyFont="1" applyFill="1" applyBorder="1" applyAlignment="1">
      <alignment horizontal="left" vertical="center" wrapText="1"/>
    </xf>
    <xf numFmtId="0" fontId="12" fillId="36" borderId="1" xfId="0" applyFont="1" applyFill="1" applyBorder="1" applyAlignment="1">
      <alignment horizontal="left" vertical="center" wrapText="1"/>
    </xf>
    <xf numFmtId="0" fontId="13" fillId="36" borderId="1" xfId="0" applyFont="1" applyFill="1" applyBorder="1" applyAlignment="1">
      <alignment horizontal="left" vertical="center" wrapText="1"/>
    </xf>
    <xf numFmtId="0" fontId="14" fillId="36" borderId="1" xfId="0" applyFont="1" applyFill="1" applyBorder="1" applyAlignment="1">
      <alignment horizontal="left" vertical="center" wrapText="1"/>
    </xf>
    <xf numFmtId="0" fontId="15" fillId="36" borderId="1" xfId="0" applyFont="1" applyFill="1" applyBorder="1" applyAlignment="1">
      <alignment horizontal="left" vertical="center" wrapText="1"/>
    </xf>
    <xf numFmtId="0" fontId="16" fillId="36" borderId="1" xfId="0" applyFont="1" applyFill="1" applyBorder="1" applyAlignment="1">
      <alignment horizontal="left" vertical="center" wrapText="1"/>
    </xf>
    <xf numFmtId="0" fontId="9" fillId="36" borderId="1" xfId="0" applyFont="1" applyFill="1" applyBorder="1" applyAlignment="1">
      <alignment horizontal="left" vertical="center" wrapText="1"/>
    </xf>
    <xf numFmtId="0" fontId="18" fillId="36" borderId="1" xfId="0" applyFont="1" applyFill="1" applyBorder="1" applyAlignment="1">
      <alignment horizontal="left" vertical="center" wrapText="1"/>
    </xf>
    <xf numFmtId="0" fontId="19" fillId="36" borderId="1" xfId="0" applyFont="1" applyFill="1" applyBorder="1" applyAlignment="1">
      <alignment horizontal="left" vertical="center" wrapText="1"/>
    </xf>
    <xf numFmtId="0" fontId="20" fillId="36" borderId="1" xfId="0" applyFont="1" applyFill="1" applyBorder="1" applyAlignment="1">
      <alignment horizontal="left" vertical="center" wrapText="1"/>
    </xf>
    <xf numFmtId="0" fontId="21" fillId="36" borderId="1" xfId="0" applyFont="1" applyFill="1" applyBorder="1" applyAlignment="1">
      <alignment horizontal="left" vertical="center" wrapText="1"/>
    </xf>
    <xf numFmtId="0" fontId="22" fillId="36" borderId="1" xfId="0" applyFont="1" applyFill="1" applyBorder="1" applyAlignment="1">
      <alignment horizontal="left" vertical="center" wrapText="1"/>
    </xf>
    <xf numFmtId="0" fontId="41" fillId="15" borderId="1" xfId="0" applyFont="1" applyFill="1" applyBorder="1" applyAlignment="1">
      <alignment horizontal="left" vertical="center" wrapText="1"/>
    </xf>
    <xf numFmtId="0" fontId="0" fillId="22" borderId="1" xfId="0" applyFill="1" applyBorder="1"/>
    <xf numFmtId="0" fontId="2" fillId="22" borderId="1" xfId="0" applyFont="1" applyFill="1" applyBorder="1" applyAlignment="1">
      <alignment horizontal="left" vertical="center"/>
    </xf>
    <xf numFmtId="0" fontId="3" fillId="37" borderId="1" xfId="0" applyFont="1" applyFill="1" applyBorder="1" applyAlignment="1">
      <alignment horizontal="center" vertical="center" wrapText="1"/>
    </xf>
    <xf numFmtId="0" fontId="42" fillId="37" borderId="1" xfId="0" applyFont="1" applyFill="1" applyBorder="1" applyAlignment="1">
      <alignment horizontal="left" vertical="center" wrapText="1"/>
    </xf>
    <xf numFmtId="0" fontId="5" fillId="37" borderId="1" xfId="0" applyFont="1" applyFill="1" applyBorder="1" applyAlignment="1">
      <alignment horizontal="left" vertical="center" wrapText="1"/>
    </xf>
    <xf numFmtId="0" fontId="3" fillId="37" borderId="1" xfId="0" applyFont="1" applyFill="1" applyBorder="1" applyAlignment="1">
      <alignment horizontal="left" vertical="center" wrapText="1"/>
    </xf>
    <xf numFmtId="0" fontId="5" fillId="37" borderId="1" xfId="0" applyFont="1" applyFill="1" applyBorder="1" applyAlignment="1">
      <alignment horizontal="center" vertical="center" wrapText="1"/>
    </xf>
    <xf numFmtId="0" fontId="24" fillId="37" borderId="1" xfId="0" applyFont="1" applyFill="1" applyBorder="1" applyAlignment="1">
      <alignment horizontal="center" vertical="center" wrapText="1"/>
    </xf>
    <xf numFmtId="0" fontId="8" fillId="37" borderId="1" xfId="0" applyFont="1" applyFill="1" applyBorder="1" applyAlignment="1">
      <alignment horizontal="left" vertical="center" wrapText="1"/>
    </xf>
    <xf numFmtId="0" fontId="11" fillId="37" borderId="1" xfId="0" applyFont="1" applyFill="1" applyBorder="1" applyAlignment="1">
      <alignment horizontal="left" vertical="center" wrapText="1"/>
    </xf>
    <xf numFmtId="0" fontId="12" fillId="37" borderId="1" xfId="0" applyFont="1" applyFill="1" applyBorder="1" applyAlignment="1">
      <alignment horizontal="left" vertical="center" wrapText="1"/>
    </xf>
    <xf numFmtId="0" fontId="13" fillId="37" borderId="1" xfId="0" applyFont="1" applyFill="1" applyBorder="1" applyAlignment="1">
      <alignment horizontal="left" vertical="center" wrapText="1"/>
    </xf>
    <xf numFmtId="0" fontId="14" fillId="37" borderId="1" xfId="0" applyFont="1" applyFill="1" applyBorder="1" applyAlignment="1">
      <alignment horizontal="left" vertical="center" wrapText="1"/>
    </xf>
    <xf numFmtId="0" fontId="15" fillId="37" borderId="1" xfId="0" applyFont="1" applyFill="1" applyBorder="1" applyAlignment="1">
      <alignment horizontal="left" vertical="center" wrapText="1"/>
    </xf>
    <xf numFmtId="0" fontId="16" fillId="37" borderId="1" xfId="0" applyFont="1" applyFill="1" applyBorder="1" applyAlignment="1">
      <alignment horizontal="left" vertical="center" wrapText="1"/>
    </xf>
    <xf numFmtId="0" fontId="9" fillId="37" borderId="1" xfId="0" applyFont="1" applyFill="1" applyBorder="1" applyAlignment="1">
      <alignment horizontal="left" vertical="center" wrapText="1"/>
    </xf>
    <xf numFmtId="0" fontId="18" fillId="37" borderId="1" xfId="0" applyFont="1" applyFill="1" applyBorder="1" applyAlignment="1">
      <alignment horizontal="left" vertical="center" wrapText="1"/>
    </xf>
    <xf numFmtId="0" fontId="19" fillId="37" borderId="1" xfId="0" applyFont="1" applyFill="1" applyBorder="1" applyAlignment="1">
      <alignment horizontal="left" vertical="center" wrapText="1"/>
    </xf>
    <xf numFmtId="0" fontId="20" fillId="37" borderId="1" xfId="0" applyFont="1" applyFill="1" applyBorder="1" applyAlignment="1">
      <alignment horizontal="left" vertical="center" wrapText="1"/>
    </xf>
    <xf numFmtId="0" fontId="21" fillId="37" borderId="1" xfId="0" applyFont="1" applyFill="1" applyBorder="1" applyAlignment="1">
      <alignment horizontal="left" vertical="center" wrapText="1"/>
    </xf>
    <xf numFmtId="0" fontId="22" fillId="37" borderId="1" xfId="0" applyFont="1" applyFill="1" applyBorder="1" applyAlignment="1">
      <alignment horizontal="left" vertical="center" wrapText="1"/>
    </xf>
    <xf numFmtId="0" fontId="42" fillId="15" borderId="1" xfId="0" applyFont="1" applyFill="1" applyBorder="1" applyAlignment="1">
      <alignment horizontal="left" vertical="center" wrapText="1"/>
    </xf>
    <xf numFmtId="0" fontId="0" fillId="38" borderId="1" xfId="0" applyFill="1" applyBorder="1"/>
    <xf numFmtId="0" fontId="2" fillId="38" borderId="1" xfId="0" applyFont="1" applyFill="1" applyBorder="1" applyAlignment="1">
      <alignment horizontal="left" vertical="center"/>
    </xf>
    <xf numFmtId="0" fontId="3" fillId="39" borderId="1" xfId="0" applyFont="1" applyFill="1" applyBorder="1" applyAlignment="1">
      <alignment horizontal="center" vertical="center" wrapText="1"/>
    </xf>
    <xf numFmtId="0" fontId="43" fillId="39" borderId="1" xfId="0" applyFont="1" applyFill="1" applyBorder="1" applyAlignment="1">
      <alignment horizontal="left" vertical="center" wrapText="1"/>
    </xf>
    <xf numFmtId="0" fontId="5" fillId="39" borderId="1" xfId="0" applyFont="1" applyFill="1" applyBorder="1" applyAlignment="1">
      <alignment horizontal="left" vertical="center" wrapText="1"/>
    </xf>
    <xf numFmtId="0" fontId="3" fillId="39" borderId="1" xfId="0" applyFont="1" applyFill="1" applyBorder="1" applyAlignment="1">
      <alignment horizontal="left" vertical="center" wrapText="1"/>
    </xf>
    <xf numFmtId="0" fontId="5" fillId="39" borderId="1" xfId="0" applyFont="1" applyFill="1" applyBorder="1" applyAlignment="1">
      <alignment horizontal="center" vertical="center" wrapText="1"/>
    </xf>
    <xf numFmtId="0" fontId="24" fillId="39" borderId="1" xfId="0" applyFont="1" applyFill="1" applyBorder="1" applyAlignment="1">
      <alignment horizontal="center" vertical="center" wrapText="1"/>
    </xf>
    <xf numFmtId="0" fontId="8" fillId="39" borderId="1" xfId="0" applyFont="1" applyFill="1" applyBorder="1" applyAlignment="1">
      <alignment horizontal="left" vertical="center" wrapText="1"/>
    </xf>
    <xf numFmtId="0" fontId="11" fillId="39" borderId="1" xfId="0" applyFont="1" applyFill="1" applyBorder="1" applyAlignment="1">
      <alignment horizontal="left" vertical="center" wrapText="1"/>
    </xf>
    <xf numFmtId="0" fontId="12" fillId="39" borderId="1" xfId="0" applyFont="1" applyFill="1" applyBorder="1" applyAlignment="1">
      <alignment horizontal="left" vertical="center" wrapText="1"/>
    </xf>
    <xf numFmtId="0" fontId="13" fillId="39" borderId="1" xfId="0" applyFont="1" applyFill="1" applyBorder="1" applyAlignment="1">
      <alignment horizontal="left" vertical="center" wrapText="1"/>
    </xf>
    <xf numFmtId="0" fontId="14" fillId="39" borderId="1" xfId="0" applyFont="1" applyFill="1" applyBorder="1" applyAlignment="1">
      <alignment horizontal="left" vertical="center" wrapText="1"/>
    </xf>
    <xf numFmtId="0" fontId="15" fillId="39" borderId="1" xfId="0" applyFont="1" applyFill="1" applyBorder="1" applyAlignment="1">
      <alignment horizontal="left" vertical="center" wrapText="1"/>
    </xf>
    <xf numFmtId="0" fontId="16" fillId="39" borderId="1" xfId="0" applyFont="1" applyFill="1" applyBorder="1" applyAlignment="1">
      <alignment horizontal="left" vertical="center" wrapText="1"/>
    </xf>
    <xf numFmtId="0" fontId="9" fillId="39" borderId="1" xfId="0" applyFont="1" applyFill="1" applyBorder="1" applyAlignment="1">
      <alignment horizontal="left" vertical="center" wrapText="1"/>
    </xf>
    <xf numFmtId="0" fontId="18" fillId="39" borderId="1" xfId="0" applyFont="1" applyFill="1" applyBorder="1" applyAlignment="1">
      <alignment horizontal="left" vertical="center" wrapText="1"/>
    </xf>
    <xf numFmtId="0" fontId="19" fillId="39" borderId="1" xfId="0" applyFont="1" applyFill="1" applyBorder="1" applyAlignment="1">
      <alignment horizontal="left" vertical="center" wrapText="1"/>
    </xf>
    <xf numFmtId="0" fontId="20" fillId="39" borderId="1" xfId="0" applyFont="1" applyFill="1" applyBorder="1" applyAlignment="1">
      <alignment horizontal="left" vertical="center" wrapText="1"/>
    </xf>
    <xf numFmtId="0" fontId="21" fillId="39" borderId="1" xfId="0" applyFont="1" applyFill="1" applyBorder="1" applyAlignment="1">
      <alignment horizontal="left" vertical="center" wrapText="1"/>
    </xf>
    <xf numFmtId="0" fontId="22" fillId="39" borderId="1" xfId="0" applyFont="1" applyFill="1" applyBorder="1" applyAlignment="1">
      <alignment horizontal="left" vertical="center" wrapText="1"/>
    </xf>
    <xf numFmtId="0" fontId="43" fillId="15" borderId="1" xfId="0" applyFont="1" applyFill="1" applyBorder="1" applyAlignment="1">
      <alignment horizontal="left" vertical="center" wrapText="1"/>
    </xf>
    <xf numFmtId="0" fontId="0" fillId="40" borderId="1" xfId="0" applyFill="1" applyBorder="1"/>
    <xf numFmtId="0" fontId="2" fillId="40" borderId="1" xfId="0" applyFont="1" applyFill="1" applyBorder="1" applyAlignment="1">
      <alignment horizontal="left" vertical="center"/>
    </xf>
    <xf numFmtId="0" fontId="3" fillId="41" borderId="1" xfId="0" applyFont="1" applyFill="1" applyBorder="1" applyAlignment="1">
      <alignment horizontal="center" vertical="center" wrapText="1"/>
    </xf>
    <xf numFmtId="0" fontId="44" fillId="41" borderId="1" xfId="0" applyFont="1" applyFill="1" applyBorder="1" applyAlignment="1">
      <alignment horizontal="left" vertical="center" wrapText="1"/>
    </xf>
    <xf numFmtId="0" fontId="5" fillId="41" borderId="1" xfId="0" applyFont="1" applyFill="1" applyBorder="1" applyAlignment="1">
      <alignment horizontal="left" vertical="center" wrapText="1"/>
    </xf>
    <xf numFmtId="0" fontId="3" fillId="41" borderId="1" xfId="0" applyFont="1" applyFill="1" applyBorder="1" applyAlignment="1">
      <alignment horizontal="left" vertical="center" wrapText="1"/>
    </xf>
    <xf numFmtId="0" fontId="5" fillId="41" borderId="1" xfId="0" applyFont="1" applyFill="1" applyBorder="1" applyAlignment="1">
      <alignment horizontal="center" vertical="center" wrapText="1"/>
    </xf>
    <xf numFmtId="0" fontId="24" fillId="41" borderId="1" xfId="0" applyFont="1" applyFill="1" applyBorder="1" applyAlignment="1">
      <alignment horizontal="center" vertical="center" wrapText="1"/>
    </xf>
    <xf numFmtId="0" fontId="8" fillId="41" borderId="1" xfId="0" applyFont="1" applyFill="1" applyBorder="1" applyAlignment="1">
      <alignment horizontal="left" vertical="center" wrapText="1"/>
    </xf>
    <xf numFmtId="0" fontId="11" fillId="41" borderId="1" xfId="0" applyFont="1" applyFill="1" applyBorder="1" applyAlignment="1">
      <alignment horizontal="left" vertical="center" wrapText="1"/>
    </xf>
    <xf numFmtId="0" fontId="12" fillId="41" borderId="1" xfId="0" applyFont="1" applyFill="1" applyBorder="1" applyAlignment="1">
      <alignment horizontal="left" vertical="center" wrapText="1"/>
    </xf>
    <xf numFmtId="0" fontId="13" fillId="41" borderId="1" xfId="0" applyFont="1" applyFill="1" applyBorder="1" applyAlignment="1">
      <alignment horizontal="left" vertical="center" wrapText="1"/>
    </xf>
    <xf numFmtId="0" fontId="14" fillId="41" borderId="1" xfId="0" applyFont="1" applyFill="1" applyBorder="1" applyAlignment="1">
      <alignment horizontal="left" vertical="center" wrapText="1"/>
    </xf>
    <xf numFmtId="0" fontId="15" fillId="41" borderId="1" xfId="0" applyFont="1" applyFill="1" applyBorder="1" applyAlignment="1">
      <alignment horizontal="left" vertical="center" wrapText="1"/>
    </xf>
    <xf numFmtId="0" fontId="16" fillId="41" borderId="1" xfId="0" applyFont="1" applyFill="1" applyBorder="1" applyAlignment="1">
      <alignment horizontal="left" vertical="center" wrapText="1"/>
    </xf>
    <xf numFmtId="0" fontId="9" fillId="41" borderId="1" xfId="0" applyFont="1" applyFill="1" applyBorder="1" applyAlignment="1">
      <alignment horizontal="left" vertical="center" wrapText="1"/>
    </xf>
    <xf numFmtId="0" fontId="18" fillId="41" borderId="1" xfId="0" applyFont="1" applyFill="1" applyBorder="1" applyAlignment="1">
      <alignment horizontal="left" vertical="center" wrapText="1"/>
    </xf>
    <xf numFmtId="0" fontId="19" fillId="41" borderId="1" xfId="0" applyFont="1" applyFill="1" applyBorder="1" applyAlignment="1">
      <alignment horizontal="left" vertical="center" wrapText="1"/>
    </xf>
    <xf numFmtId="0" fontId="20" fillId="41" borderId="1" xfId="0" applyFont="1" applyFill="1" applyBorder="1" applyAlignment="1">
      <alignment horizontal="left" vertical="center" wrapText="1"/>
    </xf>
    <xf numFmtId="0" fontId="21" fillId="41" borderId="1" xfId="0" applyFont="1" applyFill="1" applyBorder="1" applyAlignment="1">
      <alignment horizontal="left" vertical="center" wrapText="1"/>
    </xf>
    <xf numFmtId="0" fontId="22" fillId="41" borderId="1" xfId="0" applyFont="1" applyFill="1" applyBorder="1" applyAlignment="1">
      <alignment horizontal="left" vertical="center" wrapText="1"/>
    </xf>
    <xf numFmtId="0" fontId="44" fillId="15" borderId="1" xfId="0" applyFont="1" applyFill="1" applyBorder="1" applyAlignment="1">
      <alignment horizontal="left" vertical="center" wrapText="1"/>
    </xf>
    <xf numFmtId="0" fontId="0" fillId="6" borderId="1" xfId="0" applyFill="1" applyBorder="1"/>
    <xf numFmtId="0" fontId="2" fillId="6" borderId="1" xfId="0" applyFont="1" applyFill="1" applyBorder="1" applyAlignment="1">
      <alignment horizontal="left" vertical="center"/>
    </xf>
    <xf numFmtId="0" fontId="3" fillId="42" borderId="1" xfId="0" applyFont="1" applyFill="1" applyBorder="1" applyAlignment="1">
      <alignment horizontal="center" vertical="center" wrapText="1"/>
    </xf>
    <xf numFmtId="0" fontId="45" fillId="42" borderId="1" xfId="0" applyFont="1" applyFill="1" applyBorder="1" applyAlignment="1">
      <alignment horizontal="left" vertical="center" wrapText="1"/>
    </xf>
    <xf numFmtId="0" fontId="5" fillId="42" borderId="1" xfId="0" applyFont="1" applyFill="1" applyBorder="1" applyAlignment="1">
      <alignment horizontal="left" vertical="center" wrapText="1"/>
    </xf>
    <xf numFmtId="0" fontId="3" fillId="42" borderId="1" xfId="0" applyFont="1" applyFill="1" applyBorder="1" applyAlignment="1">
      <alignment horizontal="left" vertical="center" wrapText="1"/>
    </xf>
    <xf numFmtId="0" fontId="5" fillId="42" borderId="1" xfId="0" applyFont="1" applyFill="1" applyBorder="1" applyAlignment="1">
      <alignment horizontal="center" vertical="center" wrapText="1"/>
    </xf>
    <xf numFmtId="0" fontId="24" fillId="42" borderId="1" xfId="0" applyFont="1" applyFill="1" applyBorder="1" applyAlignment="1">
      <alignment horizontal="center" vertical="center" wrapText="1"/>
    </xf>
    <xf numFmtId="0" fontId="8" fillId="42" borderId="1" xfId="0" applyFont="1" applyFill="1" applyBorder="1" applyAlignment="1">
      <alignment horizontal="left" vertical="center" wrapText="1"/>
    </xf>
    <xf numFmtId="0" fontId="11" fillId="42" borderId="1" xfId="0" applyFont="1" applyFill="1" applyBorder="1" applyAlignment="1">
      <alignment horizontal="left" vertical="center" wrapText="1"/>
    </xf>
    <xf numFmtId="0" fontId="12" fillId="42" borderId="1" xfId="0" applyFont="1" applyFill="1" applyBorder="1" applyAlignment="1">
      <alignment horizontal="left" vertical="center" wrapText="1"/>
    </xf>
    <xf numFmtId="0" fontId="13" fillId="42" borderId="1" xfId="0" applyFont="1" applyFill="1" applyBorder="1" applyAlignment="1">
      <alignment horizontal="left" vertical="center" wrapText="1"/>
    </xf>
    <xf numFmtId="0" fontId="14" fillId="42" borderId="1" xfId="0" applyFont="1" applyFill="1" applyBorder="1" applyAlignment="1">
      <alignment horizontal="left" vertical="center" wrapText="1"/>
    </xf>
    <xf numFmtId="0" fontId="15" fillId="42" borderId="1" xfId="0" applyFont="1" applyFill="1" applyBorder="1" applyAlignment="1">
      <alignment horizontal="left" vertical="center" wrapText="1"/>
    </xf>
    <xf numFmtId="0" fontId="16" fillId="42" borderId="1" xfId="0" applyFont="1" applyFill="1" applyBorder="1" applyAlignment="1">
      <alignment horizontal="left" vertical="center" wrapText="1"/>
    </xf>
    <xf numFmtId="0" fontId="9" fillId="42" borderId="1" xfId="0" applyFont="1" applyFill="1" applyBorder="1" applyAlignment="1">
      <alignment horizontal="left" vertical="center" wrapText="1"/>
    </xf>
    <xf numFmtId="0" fontId="18" fillId="42" borderId="1" xfId="0" applyFont="1" applyFill="1" applyBorder="1" applyAlignment="1">
      <alignment horizontal="left" vertical="center" wrapText="1"/>
    </xf>
    <xf numFmtId="0" fontId="19" fillId="42" borderId="1" xfId="0" applyFont="1" applyFill="1" applyBorder="1" applyAlignment="1">
      <alignment horizontal="left" vertical="center" wrapText="1"/>
    </xf>
    <xf numFmtId="0" fontId="20" fillId="42" borderId="1" xfId="0" applyFont="1" applyFill="1" applyBorder="1" applyAlignment="1">
      <alignment horizontal="left" vertical="center" wrapText="1"/>
    </xf>
    <xf numFmtId="0" fontId="21" fillId="42" borderId="1" xfId="0" applyFont="1" applyFill="1" applyBorder="1" applyAlignment="1">
      <alignment horizontal="left" vertical="center" wrapText="1"/>
    </xf>
    <xf numFmtId="0" fontId="22" fillId="42" borderId="1" xfId="0" applyFont="1" applyFill="1" applyBorder="1" applyAlignment="1">
      <alignment horizontal="left" vertical="center" wrapText="1"/>
    </xf>
    <xf numFmtId="0" fontId="45" fillId="15" borderId="1" xfId="0" applyFont="1" applyFill="1" applyBorder="1" applyAlignment="1">
      <alignment horizontal="left" vertical="center" wrapText="1"/>
    </xf>
    <xf numFmtId="0" fontId="0" fillId="43" borderId="1" xfId="0" applyFill="1" applyBorder="1"/>
    <xf numFmtId="0" fontId="2" fillId="43" borderId="1" xfId="0" applyFont="1" applyFill="1" applyBorder="1" applyAlignment="1">
      <alignment horizontal="left" vertical="center"/>
    </xf>
    <xf numFmtId="0" fontId="3" fillId="44" borderId="1" xfId="0" applyFont="1" applyFill="1" applyBorder="1" applyAlignment="1">
      <alignment horizontal="center" vertical="center" wrapText="1"/>
    </xf>
    <xf numFmtId="0" fontId="46" fillId="44" borderId="1" xfId="0" applyFont="1" applyFill="1" applyBorder="1" applyAlignment="1">
      <alignment horizontal="left" vertical="center" wrapText="1"/>
    </xf>
    <xf numFmtId="0" fontId="5" fillId="44" borderId="1" xfId="0" applyFont="1" applyFill="1" applyBorder="1" applyAlignment="1">
      <alignment horizontal="left" vertical="center" wrapText="1"/>
    </xf>
    <xf numFmtId="0" fontId="3" fillId="44" borderId="1" xfId="0" applyFont="1" applyFill="1" applyBorder="1" applyAlignment="1">
      <alignment horizontal="left" vertical="center" wrapText="1"/>
    </xf>
    <xf numFmtId="0" fontId="5" fillId="44" borderId="1" xfId="0" applyFont="1" applyFill="1" applyBorder="1" applyAlignment="1">
      <alignment horizontal="center" vertical="center" wrapText="1"/>
    </xf>
    <xf numFmtId="0" fontId="24" fillId="44" borderId="1" xfId="0" applyFont="1" applyFill="1" applyBorder="1" applyAlignment="1">
      <alignment horizontal="center" vertical="center" wrapText="1"/>
    </xf>
    <xf numFmtId="0" fontId="8" fillId="44" borderId="1" xfId="0" applyFont="1" applyFill="1" applyBorder="1" applyAlignment="1">
      <alignment horizontal="left" vertical="center" wrapText="1"/>
    </xf>
    <xf numFmtId="0" fontId="11" fillId="44" borderId="1" xfId="0" applyFont="1" applyFill="1" applyBorder="1" applyAlignment="1">
      <alignment horizontal="left" vertical="center" wrapText="1"/>
    </xf>
    <xf numFmtId="0" fontId="12" fillId="44" borderId="1" xfId="0" applyFont="1" applyFill="1" applyBorder="1" applyAlignment="1">
      <alignment horizontal="left" vertical="center" wrapText="1"/>
    </xf>
    <xf numFmtId="0" fontId="13" fillId="44" borderId="1" xfId="0" applyFont="1" applyFill="1" applyBorder="1" applyAlignment="1">
      <alignment horizontal="left" vertical="center" wrapText="1"/>
    </xf>
    <xf numFmtId="0" fontId="14" fillId="44" borderId="1" xfId="0" applyFont="1" applyFill="1" applyBorder="1" applyAlignment="1">
      <alignment horizontal="left" vertical="center" wrapText="1"/>
    </xf>
    <xf numFmtId="0" fontId="15" fillId="44" borderId="1" xfId="0" applyFont="1" applyFill="1" applyBorder="1" applyAlignment="1">
      <alignment horizontal="left" vertical="center" wrapText="1"/>
    </xf>
    <xf numFmtId="0" fontId="16" fillId="44" borderId="1" xfId="0" applyFont="1" applyFill="1" applyBorder="1" applyAlignment="1">
      <alignment horizontal="left" vertical="center" wrapText="1"/>
    </xf>
    <xf numFmtId="0" fontId="9" fillId="44" borderId="1" xfId="0" applyFont="1" applyFill="1" applyBorder="1" applyAlignment="1">
      <alignment horizontal="left" vertical="center" wrapText="1"/>
    </xf>
    <xf numFmtId="0" fontId="18" fillId="44" borderId="1" xfId="0" applyFont="1" applyFill="1" applyBorder="1" applyAlignment="1">
      <alignment horizontal="left" vertical="center" wrapText="1"/>
    </xf>
    <xf numFmtId="0" fontId="19" fillId="44" borderId="1" xfId="0" applyFont="1" applyFill="1" applyBorder="1" applyAlignment="1">
      <alignment horizontal="left" vertical="center" wrapText="1"/>
    </xf>
    <xf numFmtId="0" fontId="20" fillId="44" borderId="1" xfId="0" applyFont="1" applyFill="1" applyBorder="1" applyAlignment="1">
      <alignment horizontal="left" vertical="center" wrapText="1"/>
    </xf>
    <xf numFmtId="0" fontId="21" fillId="44" borderId="1" xfId="0" applyFont="1" applyFill="1" applyBorder="1" applyAlignment="1">
      <alignment horizontal="left" vertical="center" wrapText="1"/>
    </xf>
    <xf numFmtId="0" fontId="22" fillId="44" borderId="1" xfId="0" applyFont="1" applyFill="1" applyBorder="1" applyAlignment="1">
      <alignment horizontal="left" vertical="center" wrapText="1"/>
    </xf>
    <xf numFmtId="0" fontId="46" fillId="15" borderId="1" xfId="0" applyFont="1" applyFill="1" applyBorder="1" applyAlignment="1">
      <alignment horizontal="left" vertical="center" wrapText="1"/>
    </xf>
    <xf numFmtId="0" fontId="0" fillId="45" borderId="1" xfId="0" applyFill="1" applyBorder="1"/>
    <xf numFmtId="0" fontId="2" fillId="45" borderId="1" xfId="0" applyFont="1" applyFill="1" applyBorder="1" applyAlignment="1">
      <alignment horizontal="left" vertical="center"/>
    </xf>
    <xf numFmtId="0" fontId="47" fillId="17" borderId="1" xfId="0" applyFont="1" applyFill="1" applyBorder="1" applyAlignment="1">
      <alignment horizontal="left" vertical="center" wrapText="1"/>
    </xf>
    <xf numFmtId="0" fontId="47" fillId="15" borderId="1" xfId="0" applyFont="1" applyFill="1" applyBorder="1" applyAlignment="1">
      <alignment horizontal="left" vertical="center" wrapText="1"/>
    </xf>
    <xf numFmtId="0" fontId="48" fillId="17" borderId="1" xfId="0" applyFont="1" applyFill="1" applyBorder="1" applyAlignment="1">
      <alignment horizontal="left" vertical="center" wrapText="1"/>
    </xf>
    <xf numFmtId="0" fontId="49" fillId="23" borderId="1" xfId="0" applyFont="1" applyFill="1" applyBorder="1" applyAlignment="1">
      <alignment horizontal="left" vertical="center" wrapText="1"/>
    </xf>
    <xf numFmtId="0" fontId="50" fillId="18" borderId="1" xfId="0" applyFont="1" applyFill="1" applyBorder="1" applyAlignment="1">
      <alignment horizontal="left" vertical="center" wrapText="1"/>
    </xf>
    <xf numFmtId="0" fontId="10" fillId="18" borderId="1" xfId="0" applyFont="1" applyFill="1" applyBorder="1" applyAlignment="1">
      <alignment horizontal="center" vertical="center" wrapText="1"/>
    </xf>
    <xf numFmtId="0" fontId="51" fillId="27" borderId="1" xfId="0" applyFont="1" applyFill="1" applyBorder="1" applyAlignment="1">
      <alignment horizontal="left" vertical="center" wrapText="1"/>
    </xf>
    <xf numFmtId="0" fontId="52" fillId="20" borderId="1" xfId="0" applyFont="1" applyFill="1" applyBorder="1" applyAlignment="1">
      <alignment horizontal="left" vertical="center" wrapText="1"/>
    </xf>
    <xf numFmtId="0" fontId="53" fillId="31" borderId="1" xfId="0" applyFont="1" applyFill="1" applyBorder="1" applyAlignment="1">
      <alignment horizontal="left" vertical="center" wrapText="1"/>
    </xf>
    <xf numFmtId="0" fontId="54" fillId="34" borderId="1" xfId="0" applyFont="1" applyFill="1" applyBorder="1" applyAlignment="1">
      <alignment horizontal="left" vertical="center" wrapText="1"/>
    </xf>
    <xf numFmtId="0" fontId="55" fillId="36" borderId="1" xfId="0" applyFont="1" applyFill="1" applyBorder="1" applyAlignment="1">
      <alignment horizontal="left" vertical="center" wrapText="1"/>
    </xf>
    <xf numFmtId="0" fontId="56" fillId="37" borderId="1" xfId="0" applyFont="1" applyFill="1" applyBorder="1" applyAlignment="1">
      <alignment horizontal="left" vertical="center" wrapText="1"/>
    </xf>
    <xf numFmtId="0" fontId="57" fillId="39" borderId="1" xfId="0" applyFont="1" applyFill="1" applyBorder="1" applyAlignment="1">
      <alignment horizontal="left" vertical="center" wrapText="1"/>
    </xf>
    <xf numFmtId="0" fontId="58" fillId="41" borderId="1" xfId="0" applyFont="1" applyFill="1" applyBorder="1" applyAlignment="1">
      <alignment horizontal="left" vertical="center" wrapText="1"/>
    </xf>
    <xf numFmtId="0" fontId="59" fillId="44" borderId="1" xfId="0" applyFont="1" applyFill="1" applyBorder="1" applyAlignment="1">
      <alignment horizontal="left" vertical="center" wrapText="1"/>
    </xf>
    <xf numFmtId="0" fontId="16" fillId="15" borderId="1" xfId="0" applyFont="1" applyFill="1" applyBorder="1" applyAlignment="1">
      <alignment horizontal="left" vertical="center" wrapText="1"/>
    </xf>
    <xf numFmtId="0" fontId="16" fillId="46" borderId="1" xfId="0" applyFont="1" applyFill="1" applyBorder="1" applyAlignment="1">
      <alignment horizontal="left" vertical="center" wrapText="1"/>
    </xf>
    <xf numFmtId="0" fontId="3" fillId="46" borderId="1" xfId="0" applyFont="1" applyFill="1" applyBorder="1" applyAlignment="1">
      <alignment horizontal="left" vertical="center" wrapText="1"/>
    </xf>
    <xf numFmtId="0" fontId="5" fillId="46" borderId="1" xfId="0" applyFont="1" applyFill="1" applyBorder="1" applyAlignment="1">
      <alignment horizontal="left" vertical="center" wrapText="1"/>
    </xf>
    <xf numFmtId="0" fontId="5" fillId="46" borderId="1" xfId="0" applyFont="1" applyFill="1" applyBorder="1" applyAlignment="1">
      <alignment horizontal="center" vertical="center" wrapText="1"/>
    </xf>
    <xf numFmtId="0" fontId="60" fillId="15" borderId="1" xfId="0" applyFont="1" applyFill="1" applyBorder="1" applyAlignment="1">
      <alignment horizontal="left" vertical="center" wrapText="1"/>
    </xf>
    <xf numFmtId="0" fontId="1" fillId="8" borderId="1" xfId="0" applyFont="1" applyFill="1" applyBorder="1" applyAlignment="1">
      <alignment horizontal="center" vertical="center"/>
    </xf>
    <xf numFmtId="0" fontId="10" fillId="13" borderId="1" xfId="0" applyFont="1" applyFill="1" applyBorder="1" applyAlignment="1">
      <alignment horizontal="center" vertical="center"/>
    </xf>
    <xf numFmtId="0" fontId="12" fillId="15" borderId="1" xfId="0" applyFont="1" applyFill="1" applyBorder="1" applyAlignment="1">
      <alignment horizontal="left" vertical="center" wrapText="1"/>
    </xf>
    <xf numFmtId="0" fontId="3" fillId="46" borderId="1" xfId="0" applyFont="1" applyFill="1" applyBorder="1" applyAlignment="1">
      <alignment horizontal="center" vertical="center" wrapText="1"/>
    </xf>
    <xf numFmtId="0" fontId="60" fillId="46" borderId="1" xfId="0" applyFont="1" applyFill="1" applyBorder="1" applyAlignment="1">
      <alignment horizontal="left" vertical="center" wrapText="1"/>
    </xf>
    <xf numFmtId="0" fontId="12" fillId="46" borderId="1" xfId="0" applyFont="1" applyFill="1" applyBorder="1" applyAlignment="1">
      <alignment horizontal="left" vertical="center" wrapText="1"/>
    </xf>
    <xf numFmtId="0" fontId="61" fillId="18" borderId="1" xfId="0" applyFont="1" applyFill="1" applyBorder="1" applyAlignment="1">
      <alignment horizontal="center" vertical="center"/>
    </xf>
    <xf numFmtId="0" fontId="1" fillId="47" borderId="1" xfId="0" applyFont="1" applyFill="1" applyBorder="1" applyAlignment="1">
      <alignment horizontal="center" vertical="center"/>
    </xf>
    <xf numFmtId="0" fontId="62" fillId="15" borderId="1" xfId="0" applyFont="1" applyFill="1" applyBorder="1" applyAlignment="1">
      <alignment horizontal="left" vertical="center" wrapText="1"/>
    </xf>
    <xf numFmtId="0" fontId="13" fillId="15" borderId="1" xfId="0" applyFont="1" applyFill="1" applyBorder="1" applyAlignment="1">
      <alignment horizontal="left" vertical="center" wrapText="1"/>
    </xf>
    <xf numFmtId="0" fontId="62" fillId="25" borderId="1" xfId="0" applyFont="1" applyFill="1" applyBorder="1" applyAlignment="1">
      <alignment horizontal="left" vertical="center" wrapText="1"/>
    </xf>
    <xf numFmtId="0" fontId="62" fillId="17" borderId="1" xfId="0" applyFont="1" applyFill="1" applyBorder="1" applyAlignment="1">
      <alignment horizontal="left" vertical="center" wrapText="1"/>
    </xf>
    <xf numFmtId="0" fontId="62" fillId="12" borderId="1" xfId="0" applyFont="1" applyFill="1" applyBorder="1" applyAlignment="1">
      <alignment horizontal="left" vertical="center" wrapText="1"/>
    </xf>
    <xf numFmtId="0" fontId="62" fillId="14" borderId="1" xfId="0" applyFont="1" applyFill="1" applyBorder="1" applyAlignment="1">
      <alignment horizontal="left" vertical="center" wrapText="1"/>
    </xf>
    <xf numFmtId="0" fontId="62" fillId="23" borderId="1" xfId="0" applyFont="1" applyFill="1" applyBorder="1" applyAlignment="1">
      <alignment horizontal="left" vertical="center" wrapText="1"/>
    </xf>
    <xf numFmtId="0" fontId="1" fillId="48" borderId="1" xfId="0" applyFont="1" applyFill="1" applyBorder="1" applyAlignment="1">
      <alignment horizontal="center" vertical="center"/>
    </xf>
    <xf numFmtId="0" fontId="62" fillId="42" borderId="1" xfId="0" applyFont="1" applyFill="1" applyBorder="1" applyAlignment="1">
      <alignment horizontal="left" vertical="center" wrapText="1"/>
    </xf>
    <xf numFmtId="0" fontId="62" fillId="20" borderId="1" xfId="0" applyFont="1" applyFill="1" applyBorder="1" applyAlignment="1">
      <alignment horizontal="left" vertical="center" wrapText="1"/>
    </xf>
    <xf numFmtId="0" fontId="62" fillId="34" borderId="1" xfId="0" applyFont="1" applyFill="1" applyBorder="1" applyAlignment="1">
      <alignment horizontal="left" vertical="center" wrapText="1"/>
    </xf>
    <xf numFmtId="0" fontId="62" fillId="18" borderId="1" xfId="0" applyFont="1" applyFill="1" applyBorder="1" applyAlignment="1">
      <alignment horizontal="left" vertical="center" wrapText="1"/>
    </xf>
    <xf numFmtId="0" fontId="62" fillId="37" borderId="1" xfId="0" applyFont="1" applyFill="1" applyBorder="1" applyAlignment="1">
      <alignment horizontal="left" vertical="center" wrapText="1"/>
    </xf>
    <xf numFmtId="0" fontId="62" fillId="36" borderId="1" xfId="0" applyFont="1" applyFill="1" applyBorder="1" applyAlignment="1">
      <alignment horizontal="left" vertical="center" wrapText="1"/>
    </xf>
    <xf numFmtId="0" fontId="62" fillId="44" borderId="1" xfId="0" applyFont="1" applyFill="1" applyBorder="1" applyAlignment="1">
      <alignment horizontal="left" vertical="center" wrapText="1"/>
    </xf>
    <xf numFmtId="0" fontId="62" fillId="27" borderId="1" xfId="0" applyFont="1" applyFill="1" applyBorder="1" applyAlignment="1">
      <alignment horizontal="left" vertical="center" wrapText="1"/>
    </xf>
    <xf numFmtId="0" fontId="1" fillId="49" borderId="1" xfId="0" applyFont="1" applyFill="1" applyBorder="1" applyAlignment="1">
      <alignment horizontal="center" vertical="center"/>
    </xf>
    <xf numFmtId="0" fontId="16" fillId="50" borderId="1" xfId="0" applyFont="1" applyFill="1" applyBorder="1" applyAlignment="1">
      <alignment horizontal="left" vertical="center" wrapText="1"/>
    </xf>
    <xf numFmtId="0" fontId="5" fillId="50" borderId="1" xfId="0" applyFont="1" applyFill="1" applyBorder="1" applyAlignment="1">
      <alignment horizontal="left" vertical="center" wrapText="1"/>
    </xf>
    <xf numFmtId="0" fontId="64" fillId="50" borderId="1" xfId="0" applyFont="1" applyFill="1" applyBorder="1" applyAlignment="1">
      <alignment horizontal="left" vertical="center" wrapText="1"/>
    </xf>
    <xf numFmtId="0" fontId="15" fillId="50" borderId="1" xfId="0" applyFont="1" applyFill="1" applyBorder="1" applyAlignment="1">
      <alignment horizontal="left" vertical="center" wrapText="1"/>
    </xf>
    <xf numFmtId="0" fontId="42" fillId="37" borderId="1" xfId="0" applyFont="1" applyFill="1" applyBorder="1" applyAlignment="1">
      <alignment horizontal="center" vertical="center" wrapText="1"/>
    </xf>
    <xf numFmtId="0" fontId="65" fillId="50" borderId="1" xfId="0" applyFont="1" applyFill="1" applyBorder="1" applyAlignment="1">
      <alignment horizontal="left" vertical="center" wrapText="1"/>
    </xf>
    <xf numFmtId="0" fontId="64" fillId="15"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65" fillId="15" borderId="1" xfId="0" applyFont="1" applyFill="1" applyBorder="1" applyAlignment="1">
      <alignment horizontal="left" vertical="center" wrapText="1"/>
    </xf>
    <xf numFmtId="0" fontId="1" fillId="45" borderId="1" xfId="0" applyFont="1" applyFill="1" applyBorder="1" applyAlignment="1">
      <alignment horizontal="center" vertical="center" wrapText="1"/>
    </xf>
    <xf numFmtId="0" fontId="3" fillId="51" borderId="1" xfId="0" applyFont="1" applyFill="1" applyBorder="1" applyAlignment="1">
      <alignment horizontal="center" vertical="center" wrapText="1"/>
    </xf>
    <xf numFmtId="0" fontId="16" fillId="51" borderId="1" xfId="0" applyFont="1" applyFill="1" applyBorder="1" applyAlignment="1">
      <alignment horizontal="left" vertical="center" wrapText="1"/>
    </xf>
    <xf numFmtId="0" fontId="3" fillId="51" borderId="1" xfId="0" applyFont="1" applyFill="1" applyBorder="1" applyAlignment="1">
      <alignment horizontal="left" vertical="center" wrapText="1"/>
    </xf>
    <xf numFmtId="0" fontId="5" fillId="51" borderId="1" xfId="0" applyFont="1" applyFill="1" applyBorder="1" applyAlignment="1">
      <alignment horizontal="left" vertical="center" wrapText="1"/>
    </xf>
    <xf numFmtId="0" fontId="17" fillId="8" borderId="1" xfId="0" applyFont="1" applyFill="1" applyBorder="1" applyAlignment="1">
      <alignment horizontal="center" vertical="center"/>
    </xf>
    <xf numFmtId="0" fontId="16" fillId="51" borderId="1" xfId="0" applyFont="1" applyFill="1" applyBorder="1" applyAlignment="1">
      <alignment horizontal="center" vertical="center" wrapText="1"/>
    </xf>
    <xf numFmtId="0" fontId="8" fillId="51" borderId="1" xfId="0" applyFont="1" applyFill="1" applyBorder="1" applyAlignment="1">
      <alignment horizontal="left" vertical="center" wrapText="1"/>
    </xf>
    <xf numFmtId="0" fontId="50" fillId="51" borderId="1" xfId="0" applyFont="1" applyFill="1" applyBorder="1" applyAlignment="1">
      <alignment horizontal="left" vertical="center" wrapText="1"/>
    </xf>
    <xf numFmtId="0" fontId="17" fillId="47"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50" fillId="15" borderId="1" xfId="0" applyFont="1" applyFill="1" applyBorder="1" applyAlignment="1">
      <alignment horizontal="left" vertical="center" wrapText="1"/>
    </xf>
    <xf numFmtId="0" fontId="17" fillId="52" borderId="1" xfId="0" applyFont="1" applyFill="1" applyBorder="1" applyAlignment="1">
      <alignment horizontal="center" vertical="center" wrapText="1"/>
    </xf>
    <xf numFmtId="0" fontId="17" fillId="53" borderId="1" xfId="0" applyFont="1" applyFill="1" applyBorder="1" applyAlignment="1">
      <alignment horizontal="center" vertical="center" wrapText="1"/>
    </xf>
    <xf numFmtId="0" fontId="17" fillId="54" borderId="1" xfId="0" applyFont="1" applyFill="1" applyBorder="1" applyAlignment="1">
      <alignment horizontal="center" vertical="center" wrapText="1"/>
    </xf>
    <xf numFmtId="0" fontId="17" fillId="47" borderId="1" xfId="0" applyFont="1" applyFill="1" applyBorder="1" applyAlignment="1">
      <alignment horizontal="center" vertical="center"/>
    </xf>
    <xf numFmtId="0" fontId="17" fillId="7" borderId="1" xfId="0" applyFont="1" applyFill="1" applyBorder="1" applyAlignment="1">
      <alignment horizontal="center" vertical="center" wrapText="1"/>
    </xf>
    <xf numFmtId="0" fontId="17" fillId="48"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7" fillId="38" borderId="1" xfId="0" applyFont="1" applyFill="1" applyBorder="1" applyAlignment="1">
      <alignment horizontal="center" vertical="center" wrapText="1"/>
    </xf>
    <xf numFmtId="0" fontId="17" fillId="40" borderId="1" xfId="0" applyFont="1" applyFill="1" applyBorder="1" applyAlignment="1">
      <alignment horizontal="center" vertical="center" wrapText="1"/>
    </xf>
    <xf numFmtId="0" fontId="17" fillId="2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66" fillId="15" borderId="1" xfId="0" applyFont="1" applyFill="1" applyBorder="1" applyAlignment="1">
      <alignment horizontal="left" vertical="center" wrapText="1"/>
    </xf>
    <xf numFmtId="0" fontId="67" fillId="15" borderId="1" xfId="0" applyFont="1" applyFill="1" applyBorder="1" applyAlignment="1">
      <alignment horizontal="left" vertical="center" wrapText="1"/>
    </xf>
    <xf numFmtId="0" fontId="68" fillId="15" borderId="1" xfId="0" applyFont="1" applyFill="1" applyBorder="1" applyAlignment="1">
      <alignment horizontal="left" vertical="center" wrapText="1"/>
    </xf>
    <xf numFmtId="0" fontId="38" fillId="15" borderId="1" xfId="0" applyFont="1" applyFill="1" applyBorder="1" applyAlignment="1">
      <alignment horizontal="center" vertical="center" wrapText="1"/>
    </xf>
    <xf numFmtId="0" fontId="69" fillId="15" borderId="1" xfId="0" applyFont="1" applyFill="1" applyBorder="1" applyAlignment="1">
      <alignment horizontal="left" vertical="center" wrapText="1"/>
    </xf>
    <xf numFmtId="0" fontId="70" fillId="15"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66" fillId="46" borderId="1" xfId="0" applyFont="1" applyFill="1" applyBorder="1" applyAlignment="1">
      <alignment horizontal="left" vertical="center" wrapText="1"/>
    </xf>
    <xf numFmtId="0" fontId="67" fillId="46" borderId="1" xfId="0" applyFont="1" applyFill="1" applyBorder="1" applyAlignment="1">
      <alignment horizontal="left" vertical="center" wrapText="1"/>
    </xf>
    <xf numFmtId="0" fontId="68" fillId="46" borderId="1" xfId="0" applyFont="1" applyFill="1" applyBorder="1" applyAlignment="1">
      <alignment horizontal="left" vertical="center" wrapText="1"/>
    </xf>
    <xf numFmtId="0" fontId="64" fillId="46" borderId="1" xfId="0" applyFont="1" applyFill="1" applyBorder="1" applyAlignment="1">
      <alignment horizontal="left" vertical="center" wrapText="1"/>
    </xf>
    <xf numFmtId="0" fontId="7" fillId="46" borderId="1" xfId="0" applyFont="1" applyFill="1" applyBorder="1" applyAlignment="1">
      <alignment horizontal="center" vertical="center" wrapText="1"/>
    </xf>
    <xf numFmtId="0" fontId="69" fillId="46" borderId="1" xfId="0" applyFont="1" applyFill="1" applyBorder="1" applyAlignment="1">
      <alignment horizontal="left" vertical="center" wrapText="1"/>
    </xf>
    <xf numFmtId="0" fontId="70" fillId="46"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4" fillId="4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5" fillId="15" borderId="1" xfId="0" applyFont="1" applyFill="1" applyBorder="1" applyAlignment="1">
      <alignment horizontal="center" vertical="center" wrapText="1"/>
    </xf>
    <xf numFmtId="0" fontId="72" fillId="12" borderId="1" xfId="0" applyFont="1" applyFill="1" applyBorder="1" applyAlignment="1">
      <alignment horizontal="center" vertical="center" wrapText="1"/>
    </xf>
    <xf numFmtId="0" fontId="21" fillId="15" borderId="1" xfId="0" applyFont="1" applyFill="1" applyBorder="1" applyAlignment="1">
      <alignment horizontal="left" vertical="center" wrapText="1"/>
    </xf>
    <xf numFmtId="0" fontId="21" fillId="46" borderId="1" xfId="0" applyFont="1" applyFill="1" applyBorder="1" applyAlignment="1">
      <alignment horizontal="left" vertical="center" wrapText="1"/>
    </xf>
    <xf numFmtId="0" fontId="4" fillId="46" borderId="1" xfId="0" applyFont="1" applyFill="1" applyBorder="1" applyAlignment="1">
      <alignment horizontal="left" vertical="center" wrapText="1"/>
    </xf>
    <xf numFmtId="0" fontId="47" fillId="46" borderId="1" xfId="0" applyFont="1" applyFill="1" applyBorder="1" applyAlignment="1">
      <alignment horizontal="left" vertical="center" wrapText="1"/>
    </xf>
    <xf numFmtId="0" fontId="7" fillId="46" borderId="1" xfId="0" applyFont="1" applyFill="1" applyBorder="1" applyAlignment="1">
      <alignment horizontal="left" vertical="center" wrapText="1"/>
    </xf>
    <xf numFmtId="0" fontId="73" fillId="14" borderId="1" xfId="0" applyFont="1" applyFill="1" applyBorder="1" applyAlignment="1">
      <alignment horizontal="center" vertical="center" wrapText="1"/>
    </xf>
    <xf numFmtId="0" fontId="28" fillId="15" borderId="1" xfId="0" applyFont="1" applyFill="1" applyBorder="1" applyAlignment="1">
      <alignment horizontal="left" vertical="center" wrapText="1"/>
    </xf>
    <xf numFmtId="0" fontId="28" fillId="46" borderId="1" xfId="0" applyFont="1" applyFill="1" applyBorder="1" applyAlignment="1">
      <alignment horizontal="left" vertical="center" wrapText="1"/>
    </xf>
    <xf numFmtId="0" fontId="44" fillId="46" borderId="1" xfId="0" applyFont="1" applyFill="1" applyBorder="1" applyAlignment="1">
      <alignment horizontal="left" vertical="center" wrapText="1"/>
    </xf>
    <xf numFmtId="0" fontId="34" fillId="46" borderId="1" xfId="0" applyFont="1" applyFill="1" applyBorder="1" applyAlignment="1">
      <alignment horizontal="left" vertical="center" wrapText="1"/>
    </xf>
    <xf numFmtId="0" fontId="45" fillId="46" borderId="1" xfId="0" applyFont="1" applyFill="1" applyBorder="1" applyAlignment="1">
      <alignment horizontal="left" vertical="center" wrapText="1"/>
    </xf>
    <xf numFmtId="0" fontId="6" fillId="13" borderId="1" xfId="0" applyFont="1" applyFill="1" applyBorder="1" applyAlignment="1">
      <alignment horizontal="center" vertical="center"/>
    </xf>
    <xf numFmtId="0" fontId="74" fillId="46" borderId="1" xfId="0" applyFont="1" applyFill="1" applyBorder="1" applyAlignment="1">
      <alignment horizontal="center" vertical="center"/>
    </xf>
    <xf numFmtId="0" fontId="28" fillId="55" borderId="1" xfId="0" applyFont="1" applyFill="1" applyBorder="1" applyAlignment="1">
      <alignment horizontal="left" vertical="center" wrapText="1"/>
    </xf>
    <xf numFmtId="0" fontId="1" fillId="26" borderId="1" xfId="0" applyFont="1" applyFill="1" applyBorder="1" applyAlignment="1">
      <alignment horizontal="center" vertical="center"/>
    </xf>
    <xf numFmtId="0" fontId="1" fillId="24" borderId="1" xfId="0" applyFont="1" applyFill="1" applyBorder="1" applyAlignment="1">
      <alignment horizontal="center" vertical="center" wrapText="1"/>
    </xf>
    <xf numFmtId="0" fontId="1" fillId="56" borderId="1" xfId="0" applyFont="1" applyFill="1" applyBorder="1" applyAlignment="1">
      <alignment horizontal="center" vertical="center" wrapText="1"/>
    </xf>
    <xf numFmtId="0" fontId="1" fillId="28" borderId="1" xfId="0" applyFont="1" applyFill="1" applyBorder="1" applyAlignment="1">
      <alignment horizontal="center" vertical="center" wrapText="1"/>
    </xf>
    <xf numFmtId="0" fontId="1" fillId="57" borderId="1" xfId="0" applyFont="1" applyFill="1" applyBorder="1" applyAlignment="1">
      <alignment horizontal="center" vertical="center" wrapText="1"/>
    </xf>
    <xf numFmtId="0" fontId="1" fillId="30" borderId="1" xfId="0" applyFont="1" applyFill="1" applyBorder="1" applyAlignment="1">
      <alignment horizontal="center" vertical="center" wrapText="1"/>
    </xf>
    <xf numFmtId="0" fontId="1" fillId="33" borderId="1" xfId="0" applyFont="1" applyFill="1" applyBorder="1" applyAlignment="1">
      <alignment horizontal="center" vertical="center" wrapText="1"/>
    </xf>
    <xf numFmtId="0" fontId="1" fillId="35"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38" borderId="1" xfId="0" applyFont="1" applyFill="1" applyBorder="1" applyAlignment="1">
      <alignment horizontal="center" vertical="center" wrapText="1"/>
    </xf>
    <xf numFmtId="0" fontId="1" fillId="40" borderId="1" xfId="0" applyFont="1" applyFill="1" applyBorder="1" applyAlignment="1">
      <alignment horizontal="center" vertical="center" wrapText="1"/>
    </xf>
    <xf numFmtId="0" fontId="1" fillId="4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75" fillId="58" borderId="1" xfId="0" applyFont="1" applyFill="1" applyBorder="1" applyAlignment="1">
      <alignment horizontal="center" vertical="center"/>
    </xf>
    <xf numFmtId="0" fontId="1" fillId="7" borderId="1" xfId="0" applyFont="1" applyFill="1" applyBorder="1" applyAlignment="1">
      <alignment horizontal="center" vertical="center"/>
    </xf>
    <xf numFmtId="0" fontId="76" fillId="15" borderId="1" xfId="0" applyFont="1" applyFill="1" applyBorder="1" applyAlignment="1">
      <alignment horizontal="left" vertical="center" wrapText="1"/>
    </xf>
    <xf numFmtId="0" fontId="17" fillId="59" borderId="1" xfId="0" applyFont="1" applyFill="1" applyBorder="1" applyAlignment="1">
      <alignment horizontal="center" vertical="center" wrapText="1"/>
    </xf>
    <xf numFmtId="0" fontId="76" fillId="51" borderId="1" xfId="0" applyFont="1" applyFill="1" applyBorder="1" applyAlignment="1">
      <alignment horizontal="left" vertical="center" wrapText="1"/>
    </xf>
    <xf numFmtId="0" fontId="13" fillId="51" borderId="1" xfId="0" applyFont="1" applyFill="1" applyBorder="1" applyAlignment="1">
      <alignment horizontal="left" vertical="center" wrapText="1"/>
    </xf>
    <xf numFmtId="0" fontId="5" fillId="51" borderId="1" xfId="0" applyFont="1" applyFill="1" applyBorder="1" applyAlignment="1">
      <alignment horizontal="center" vertical="center" wrapText="1"/>
    </xf>
    <xf numFmtId="0" fontId="69" fillId="51" borderId="1" xfId="0" applyFont="1" applyFill="1" applyBorder="1" applyAlignment="1">
      <alignment horizontal="left" vertical="center" wrapText="1"/>
    </xf>
    <xf numFmtId="0" fontId="12" fillId="51" borderId="1" xfId="0" applyFont="1" applyFill="1" applyBorder="1" applyAlignment="1">
      <alignment horizontal="left" vertical="center" wrapText="1"/>
    </xf>
    <xf numFmtId="0" fontId="17" fillId="60" borderId="1" xfId="0" applyFont="1" applyFill="1" applyBorder="1" applyAlignment="1">
      <alignment horizontal="center" vertical="center" wrapText="1"/>
    </xf>
    <xf numFmtId="0" fontId="17" fillId="26" borderId="1" xfId="0" applyFont="1" applyFill="1" applyBorder="1" applyAlignment="1">
      <alignment horizontal="center" vertical="center" wrapText="1"/>
    </xf>
    <xf numFmtId="0" fontId="17" fillId="57" borderId="1" xfId="0" applyFont="1" applyFill="1" applyBorder="1" applyAlignment="1">
      <alignment horizontal="center" vertical="center" wrapText="1"/>
    </xf>
    <xf numFmtId="0" fontId="17" fillId="24" borderId="1" xfId="0" applyFont="1" applyFill="1" applyBorder="1" applyAlignment="1">
      <alignment horizontal="center" vertical="center" wrapText="1"/>
    </xf>
    <xf numFmtId="0" fontId="17" fillId="35" borderId="1" xfId="0" applyFont="1" applyFill="1" applyBorder="1" applyAlignment="1">
      <alignment horizontal="center" vertical="center" wrapText="1"/>
    </xf>
    <xf numFmtId="0" fontId="17" fillId="33" borderId="1" xfId="0" applyFont="1" applyFill="1" applyBorder="1" applyAlignment="1">
      <alignment horizontal="center" vertical="center" wrapText="1"/>
    </xf>
    <xf numFmtId="0" fontId="17" fillId="30"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0" fillId="15" borderId="1" xfId="0" applyFont="1" applyFill="1" applyBorder="1" applyAlignment="1">
      <alignment horizontal="left" vertical="center" wrapText="1"/>
    </xf>
    <xf numFmtId="0" fontId="38" fillId="61" borderId="1" xfId="0" applyFont="1" applyFill="1" applyBorder="1" applyAlignment="1">
      <alignment horizontal="center" vertical="center" wrapText="1"/>
    </xf>
    <xf numFmtId="0" fontId="3" fillId="61" borderId="1" xfId="0" applyFont="1" applyFill="1" applyBorder="1" applyAlignment="1">
      <alignment horizontal="left" vertical="center" wrapText="1"/>
    </xf>
    <xf numFmtId="0" fontId="76" fillId="61" borderId="1" xfId="0" applyFont="1" applyFill="1" applyBorder="1" applyAlignment="1">
      <alignment horizontal="left" vertical="center" wrapText="1"/>
    </xf>
    <xf numFmtId="0" fontId="12" fillId="61" borderId="1" xfId="0" applyFont="1" applyFill="1" applyBorder="1" applyAlignment="1">
      <alignment horizontal="left" vertical="center" wrapText="1"/>
    </xf>
    <xf numFmtId="0" fontId="69" fillId="61" borderId="1" xfId="0" applyFont="1" applyFill="1" applyBorder="1" applyAlignment="1">
      <alignment horizontal="left" vertical="center" wrapText="1"/>
    </xf>
    <xf numFmtId="0" fontId="13" fillId="61" borderId="1" xfId="0" applyFont="1" applyFill="1" applyBorder="1" applyAlignment="1">
      <alignment horizontal="left" vertical="center" wrapText="1"/>
    </xf>
    <xf numFmtId="0" fontId="5" fillId="61" borderId="1" xfId="0" applyFont="1" applyFill="1" applyBorder="1" applyAlignment="1">
      <alignment horizontal="center" vertical="center" wrapText="1"/>
    </xf>
    <xf numFmtId="0" fontId="20" fillId="61" borderId="1" xfId="0" applyFont="1" applyFill="1" applyBorder="1" applyAlignment="1">
      <alignment horizontal="left" vertical="center" wrapText="1"/>
    </xf>
    <xf numFmtId="0" fontId="21" fillId="29" borderId="1" xfId="0" applyFont="1" applyFill="1" applyBorder="1" applyAlignment="1">
      <alignment horizontal="left" vertical="center" wrapText="1"/>
    </xf>
    <xf numFmtId="0" fontId="77" fillId="18" borderId="1" xfId="0" applyFont="1" applyFill="1" applyBorder="1" applyAlignment="1">
      <alignment horizontal="left" vertical="center" wrapText="1"/>
    </xf>
    <xf numFmtId="0" fontId="67" fillId="13" borderId="1" xfId="0" applyFont="1" applyFill="1" applyBorder="1" applyAlignment="1">
      <alignment horizontal="left" vertical="center" wrapText="1"/>
    </xf>
    <xf numFmtId="0" fontId="78" fillId="62" borderId="1" xfId="0" applyFont="1" applyFill="1" applyBorder="1" applyAlignment="1">
      <alignment horizontal="left" vertical="center" wrapText="1"/>
    </xf>
    <xf numFmtId="0" fontId="66" fillId="29" borderId="1" xfId="0" applyFont="1" applyFill="1" applyBorder="1" applyAlignment="1">
      <alignment horizontal="center" vertical="center" wrapText="1"/>
    </xf>
    <xf numFmtId="0" fontId="34" fillId="63" borderId="1" xfId="0" applyFont="1" applyFill="1" applyBorder="1" applyAlignment="1">
      <alignment horizontal="left" vertical="center" wrapText="1"/>
    </xf>
    <xf numFmtId="0" fontId="20" fillId="63" borderId="1" xfId="0" applyFont="1" applyFill="1" applyBorder="1" applyAlignment="1">
      <alignment horizontal="left" vertical="center" wrapText="1"/>
    </xf>
    <xf numFmtId="0" fontId="81" fillId="65" borderId="0" xfId="0" applyFont="1" applyFill="1"/>
    <xf numFmtId="0" fontId="82" fillId="0" borderId="0" xfId="0" applyFont="1"/>
    <xf numFmtId="0" fontId="82" fillId="66" borderId="0" xfId="0" applyFont="1" applyFill="1"/>
    <xf numFmtId="0" fontId="82" fillId="66" borderId="0" xfId="0" applyFont="1" applyFill="1" applyAlignment="1">
      <alignment horizontal="center"/>
    </xf>
    <xf numFmtId="0" fontId="83" fillId="0" borderId="0" xfId="0" applyFont="1"/>
    <xf numFmtId="0" fontId="83" fillId="0" borderId="0" xfId="0" applyFont="1" applyAlignment="1">
      <alignment horizontal="center"/>
    </xf>
    <xf numFmtId="0" fontId="84" fillId="0" borderId="0" xfId="0" applyFont="1"/>
    <xf numFmtId="0" fontId="85" fillId="0" borderId="0" xfId="0" applyFont="1"/>
    <xf numFmtId="3" fontId="83" fillId="0" borderId="0" xfId="0" applyNumberFormat="1" applyFont="1" applyAlignment="1">
      <alignment horizontal="center"/>
    </xf>
    <xf numFmtId="0" fontId="86" fillId="0" borderId="0" xfId="0" applyFont="1"/>
    <xf numFmtId="0" fontId="87" fillId="0" borderId="0" xfId="0" applyFont="1" applyAlignment="1">
      <alignment horizontal="center"/>
    </xf>
    <xf numFmtId="0" fontId="88" fillId="0" borderId="0" xfId="0" applyFont="1"/>
    <xf numFmtId="0" fontId="89" fillId="0" borderId="0" xfId="0" applyFont="1"/>
    <xf numFmtId="0" fontId="89" fillId="0" borderId="0" xfId="0" applyFont="1" applyAlignment="1">
      <alignment horizontal="center"/>
    </xf>
    <xf numFmtId="0" fontId="90" fillId="0" borderId="0" xfId="0" applyFont="1" applyAlignment="1">
      <alignment horizontal="center"/>
    </xf>
    <xf numFmtId="0" fontId="91" fillId="0" borderId="0" xfId="0" applyFont="1"/>
    <xf numFmtId="0" fontId="92" fillId="0" borderId="0" xfId="0" applyFont="1" applyAlignment="1">
      <alignment horizontal="center"/>
    </xf>
    <xf numFmtId="164" fontId="83" fillId="0" borderId="0" xfId="0" applyNumberFormat="1" applyFont="1" applyAlignment="1">
      <alignment horizontal="center"/>
    </xf>
    <xf numFmtId="0" fontId="93" fillId="66" borderId="0" xfId="0" applyFont="1" applyFill="1"/>
    <xf numFmtId="0" fontId="0" fillId="0" borderId="0" xfId="0" applyAlignment="1">
      <alignment horizontal="center"/>
    </xf>
    <xf numFmtId="0" fontId="94" fillId="0" borderId="0" xfId="0" applyFont="1"/>
    <xf numFmtId="0" fontId="94" fillId="0" borderId="0" xfId="0" applyFont="1" applyAlignment="1">
      <alignment horizontal="center"/>
    </xf>
    <xf numFmtId="1" fontId="94" fillId="0" borderId="0" xfId="0" applyNumberFormat="1" applyFont="1" applyAlignment="1">
      <alignment horizontal="center"/>
    </xf>
    <xf numFmtId="0" fontId="94" fillId="66" borderId="0" xfId="0" applyFont="1" applyFill="1"/>
    <xf numFmtId="0" fontId="95" fillId="67" borderId="0" xfId="0" applyFont="1" applyFill="1" applyAlignment="1">
      <alignment horizontal="center"/>
    </xf>
    <xf numFmtId="0" fontId="95" fillId="68" borderId="0" xfId="0" applyFont="1" applyFill="1" applyAlignment="1">
      <alignment horizontal="center"/>
    </xf>
    <xf numFmtId="0" fontId="96" fillId="69" borderId="0" xfId="0" applyFont="1" applyFill="1" applyAlignment="1">
      <alignment horizontal="center"/>
    </xf>
    <xf numFmtId="0" fontId="95" fillId="70" borderId="0" xfId="0" applyFont="1" applyFill="1" applyAlignment="1">
      <alignment horizontal="center"/>
    </xf>
    <xf numFmtId="0" fontId="94" fillId="66" borderId="0" xfId="0" applyFont="1" applyFill="1" applyAlignment="1">
      <alignment horizontal="center"/>
    </xf>
    <xf numFmtId="0" fontId="94" fillId="64" borderId="0" xfId="0" applyFont="1" applyFill="1"/>
    <xf numFmtId="165" fontId="0" fillId="0" borderId="0" xfId="0" applyNumberFormat="1" applyAlignment="1">
      <alignment horizontal="center"/>
    </xf>
    <xf numFmtId="0" fontId="94" fillId="64" borderId="0" xfId="0" applyFont="1" applyFill="1" applyAlignment="1">
      <alignment horizontal="center"/>
    </xf>
    <xf numFmtId="0" fontId="97" fillId="0" borderId="0" xfId="0" applyFont="1"/>
    <xf numFmtId="0" fontId="97" fillId="0" borderId="0" xfId="0" applyFont="1" applyAlignment="1">
      <alignment horizontal="center"/>
    </xf>
    <xf numFmtId="0" fontId="94" fillId="71" borderId="0" xfId="0" applyFont="1" applyFill="1"/>
    <xf numFmtId="0" fontId="94" fillId="71" borderId="0" xfId="0" applyFont="1" applyFill="1" applyAlignment="1">
      <alignment horizontal="center"/>
    </xf>
    <xf numFmtId="164" fontId="0" fillId="0" borderId="0" xfId="0" applyNumberFormat="1" applyAlignment="1">
      <alignment horizontal="center"/>
    </xf>
    <xf numFmtId="164" fontId="94" fillId="0" borderId="0" xfId="0" applyNumberFormat="1" applyFont="1" applyAlignment="1">
      <alignment horizontal="center"/>
    </xf>
    <xf numFmtId="164" fontId="94" fillId="64" borderId="0" xfId="0" applyNumberFormat="1" applyFont="1" applyFill="1" applyAlignment="1">
      <alignment horizontal="center"/>
    </xf>
    <xf numFmtId="164" fontId="97" fillId="64" borderId="0" xfId="0" applyNumberFormat="1" applyFont="1" applyFill="1" applyAlignment="1">
      <alignment horizontal="center"/>
    </xf>
    <xf numFmtId="0" fontId="79" fillId="64" borderId="0" xfId="0" applyFont="1" applyFill="1"/>
    <xf numFmtId="0" fontId="80" fillId="64" borderId="0" xfId="0" applyFont="1" applyFill="1"/>
    <xf numFmtId="0" fontId="81" fillId="65" borderId="0" xfId="0" applyFont="1" applyFill="1"/>
    <xf numFmtId="0" fontId="100" fillId="0" borderId="0" xfId="0" applyFont="1"/>
    <xf numFmtId="0" fontId="101" fillId="0" borderId="0" xfId="0" applyFont="1" applyAlignment="1">
      <alignment horizontal="center"/>
    </xf>
    <xf numFmtId="0" fontId="102" fillId="0" borderId="0" xfId="0" applyFont="1" applyAlignment="1">
      <alignment horizontal="center"/>
    </xf>
    <xf numFmtId="3" fontId="102" fillId="0" borderId="0" xfId="0" applyNumberFormat="1" applyFont="1" applyAlignment="1">
      <alignment horizontal="center"/>
    </xf>
    <xf numFmtId="0" fontId="103" fillId="0" borderId="0" xfId="0" applyFont="1" applyAlignment="1">
      <alignment horizontal="center"/>
    </xf>
    <xf numFmtId="0" fontId="104" fillId="0" borderId="0" xfId="0" applyFont="1" applyAlignment="1">
      <alignment horizontal="center"/>
    </xf>
    <xf numFmtId="0" fontId="105" fillId="0" borderId="0" xfId="0" applyFont="1" applyAlignment="1">
      <alignment horizontal="center"/>
    </xf>
    <xf numFmtId="164" fontId="103" fillId="0" borderId="0" xfId="0" applyNumberFormat="1" applyFont="1" applyAlignment="1">
      <alignment horizontal="center"/>
    </xf>
    <xf numFmtId="0" fontId="98" fillId="65" borderId="0" xfId="0" applyFont="1" applyFill="1"/>
    <xf numFmtId="0" fontId="99" fillId="65" borderId="0" xfId="0" applyFont="1" applyFill="1"/>
    <xf numFmtId="0" fontId="95" fillId="65" borderId="0" xfId="0" applyFont="1" applyFill="1"/>
    <xf numFmtId="0" fontId="95" fillId="65" borderId="0" xfId="0" applyFont="1" applyFill="1" applyAlignment="1">
      <alignment horizontal="center"/>
    </xf>
    <xf numFmtId="166" fontId="0" fillId="0" borderId="0" xfId="0" applyNumberFormat="1"/>
    <xf numFmtId="0" fontId="106" fillId="65" borderId="0" xfId="0" applyFont="1" applyFill="1"/>
    <xf numFmtId="0" fontId="107" fillId="64" borderId="0" xfId="0" applyFont="1" applyFill="1"/>
    <xf numFmtId="0" fontId="108" fillId="73" borderId="0" xfId="0" applyFont="1" applyFill="1"/>
    <xf numFmtId="0" fontId="109" fillId="0" borderId="0" xfId="0" applyFont="1" applyAlignment="1">
      <alignment horizontal="center"/>
    </xf>
    <xf numFmtId="3" fontId="110" fillId="0" borderId="0" xfId="0" applyNumberFormat="1" applyFont="1" applyAlignment="1">
      <alignment horizontal="center"/>
    </xf>
    <xf numFmtId="0" fontId="81" fillId="72" borderId="0" xfId="0" applyFont="1" applyFill="1"/>
    <xf numFmtId="0" fontId="111" fillId="0" borderId="0" xfId="0" applyFont="1"/>
    <xf numFmtId="0" fontId="113" fillId="0" borderId="0" xfId="0" applyFont="1"/>
    <xf numFmtId="0" fontId="113" fillId="0" borderId="0" xfId="0" applyFont="1" applyAlignment="1">
      <alignment horizontal="center"/>
    </xf>
    <xf numFmtId="164" fontId="113" fillId="0" borderId="0" xfId="0" applyNumberFormat="1" applyFont="1" applyAlignment="1">
      <alignment horizontal="center"/>
    </xf>
    <xf numFmtId="164" fontId="87" fillId="0" borderId="0" xfId="0" applyNumberFormat="1" applyFont="1" applyAlignment="1">
      <alignment horizontal="center"/>
    </xf>
    <xf numFmtId="0" fontId="114" fillId="0" borderId="0" xfId="0" applyFont="1"/>
    <xf numFmtId="0" fontId="114" fillId="64" borderId="0" xfId="0" applyFont="1" applyFill="1"/>
    <xf numFmtId="164" fontId="114" fillId="64" borderId="0" xfId="0" applyNumberFormat="1" applyFont="1" applyFill="1" applyAlignment="1">
      <alignment horizontal="center"/>
    </xf>
    <xf numFmtId="0" fontId="115" fillId="0" borderId="0" xfId="0" applyFont="1"/>
    <xf numFmtId="0" fontId="116" fillId="0" borderId="0" xfId="0" applyFont="1"/>
    <xf numFmtId="0" fontId="117" fillId="0" borderId="0" xfId="0" applyFont="1"/>
    <xf numFmtId="0" fontId="112" fillId="65" borderId="0" xfId="0" applyFont="1" applyFill="1"/>
    <xf numFmtId="0" fontId="119" fillId="0" borderId="0" xfId="0" applyFont="1"/>
    <xf numFmtId="16" fontId="120" fillId="0" borderId="0" xfId="0" applyNumberFormat="1" applyFont="1" applyAlignment="1">
      <alignment horizontal="center"/>
    </xf>
    <xf numFmtId="0" fontId="120" fillId="0" borderId="0" xfId="0" applyFont="1" applyAlignment="1">
      <alignment horizontal="center"/>
    </xf>
    <xf numFmtId="0" fontId="115" fillId="0" borderId="0" xfId="0" applyFont="1" applyAlignment="1">
      <alignment horizontal="center"/>
    </xf>
    <xf numFmtId="16" fontId="116" fillId="0" borderId="0" xfId="0" applyNumberFormat="1" applyFont="1" applyAlignment="1">
      <alignment horizontal="center"/>
    </xf>
    <xf numFmtId="16" fontId="113" fillId="0" borderId="0" xfId="0" applyNumberFormat="1" applyFont="1" applyAlignment="1">
      <alignment horizontal="center"/>
    </xf>
    <xf numFmtId="16" fontId="97" fillId="0" borderId="0" xfId="0" applyNumberFormat="1" applyFont="1" applyAlignment="1">
      <alignment horizontal="center"/>
    </xf>
    <xf numFmtId="164" fontId="79" fillId="64" borderId="0" xfId="0" applyNumberFormat="1" applyFont="1" applyFill="1" applyAlignment="1">
      <alignment horizontal="center"/>
    </xf>
    <xf numFmtId="0" fontId="121" fillId="0" borderId="0" xfId="0" applyFont="1"/>
    <xf numFmtId="0" fontId="122" fillId="0" borderId="0" xfId="0" applyFont="1"/>
    <xf numFmtId="0" fontId="123" fillId="0" borderId="0" xfId="0" applyFont="1"/>
    <xf numFmtId="0" fontId="124" fillId="0" borderId="0" xfId="0" applyFont="1"/>
    <xf numFmtId="0" fontId="95" fillId="72" borderId="0" xfId="0" applyFont="1" applyFill="1" applyAlignment="1">
      <alignment horizontal="center"/>
    </xf>
    <xf numFmtId="0" fontId="119" fillId="0" borderId="0" xfId="0" applyFont="1" applyAlignment="1">
      <alignment horizontal="center"/>
    </xf>
    <xf numFmtId="0" fontId="125" fillId="0" borderId="0" xfId="0" applyFont="1" applyAlignment="1">
      <alignment horizontal="center"/>
    </xf>
    <xf numFmtId="0" fontId="126" fillId="0" borderId="0" xfId="0" applyFont="1" applyAlignment="1">
      <alignment horizontal="center"/>
    </xf>
    <xf numFmtId="0" fontId="127" fillId="0" borderId="0" xfId="0" applyFont="1" applyAlignment="1">
      <alignment horizontal="center"/>
    </xf>
    <xf numFmtId="0" fontId="128" fillId="0" borderId="0" xfId="0" applyFont="1"/>
    <xf numFmtId="164" fontId="110" fillId="0" borderId="0" xfId="0" applyNumberFormat="1" applyFont="1" applyAlignment="1">
      <alignment horizontal="center"/>
    </xf>
    <xf numFmtId="0" fontId="129" fillId="0" borderId="0" xfId="0" applyFont="1"/>
    <xf numFmtId="0" fontId="0" fillId="0" borderId="0" xfId="0" quotePrefix="1"/>
    <xf numFmtId="0" fontId="112" fillId="72" borderId="0" xfId="0" applyFont="1" applyFill="1"/>
    <xf numFmtId="0" fontId="99" fillId="72" borderId="0" xfId="0" applyFont="1" applyFill="1"/>
    <xf numFmtId="0" fontId="118" fillId="65" borderId="0" xfId="0" applyFont="1" applyFill="1"/>
    <xf numFmtId="0" fontId="118" fillId="72" borderId="0" xfId="0" applyFont="1" applyFill="1"/>
    <xf numFmtId="0" fontId="131" fillId="0" borderId="0" xfId="0" applyFont="1"/>
    <xf numFmtId="0" fontId="132" fillId="0" borderId="0" xfId="0" applyFont="1"/>
    <xf numFmtId="0" fontId="130" fillId="72" borderId="0" xfId="0" applyFont="1" applyFill="1"/>
    <xf numFmtId="0" fontId="1" fillId="72" borderId="2" xfId="0" applyFont="1" applyFill="1" applyBorder="1" applyAlignment="1">
      <alignment horizontal="center" vertical="center" wrapText="1"/>
    </xf>
    <xf numFmtId="9" fontId="0" fillId="0" borderId="0" xfId="0" applyNumberFormat="1" applyAlignment="1">
      <alignment horizontal="center"/>
    </xf>
    <xf numFmtId="0" fontId="133" fillId="0" borderId="0" xfId="0" applyFont="1" applyAlignment="1">
      <alignment horizontal="center"/>
    </xf>
    <xf numFmtId="0" fontId="134" fillId="0" borderId="0" xfId="0" applyFont="1"/>
    <xf numFmtId="0" fontId="112" fillId="72" borderId="0" xfId="0" applyFont="1" applyFill="1" applyAlignment="1">
      <alignment vertical="top" wrapText="1"/>
    </xf>
    <xf numFmtId="0" fontId="99" fillId="72" borderId="0" xfId="0" applyFont="1" applyFill="1" applyAlignment="1">
      <alignment vertical="top" wrapText="1"/>
    </xf>
    <xf numFmtId="0" fontId="0" fillId="0" borderId="0" xfId="0" applyAlignment="1">
      <alignment vertical="top" wrapText="1"/>
    </xf>
    <xf numFmtId="0" fontId="81" fillId="65" borderId="0" xfId="0" applyFont="1" applyFill="1" applyAlignment="1">
      <alignment vertical="top" wrapText="1"/>
    </xf>
    <xf numFmtId="0" fontId="82" fillId="66" borderId="0" xfId="0" applyFont="1" applyFill="1" applyAlignment="1">
      <alignment horizontal="center" vertical="top" wrapText="1"/>
    </xf>
    <xf numFmtId="0" fontId="82" fillId="66" borderId="0" xfId="0" applyFont="1" applyFill="1" applyAlignment="1">
      <alignment vertical="top" wrapText="1"/>
    </xf>
    <xf numFmtId="0" fontId="0" fillId="0" borderId="0" xfId="0" applyAlignment="1">
      <alignment horizontal="center" vertical="top" wrapText="1"/>
    </xf>
    <xf numFmtId="0" fontId="81" fillId="65" borderId="0" xfId="0" applyFont="1" applyFill="1" applyAlignment="1">
      <alignment horizontal="center" vertical="top" wrapText="1"/>
    </xf>
    <xf numFmtId="0" fontId="94" fillId="66" borderId="0" xfId="0" applyFont="1" applyFill="1" applyAlignment="1">
      <alignment horizontal="center" vertical="top" wrapText="1"/>
    </xf>
    <xf numFmtId="0" fontId="94" fillId="66" borderId="0" xfId="0" applyFont="1" applyFill="1" applyAlignment="1">
      <alignment vertical="top" wrapText="1"/>
    </xf>
    <xf numFmtId="0" fontId="117" fillId="0" borderId="0" xfId="0" applyFont="1" applyAlignment="1">
      <alignment vertical="top" wrapText="1"/>
    </xf>
    <xf numFmtId="0" fontId="120" fillId="0" borderId="0" xfId="0" applyFont="1" applyAlignment="1">
      <alignment vertical="top" wrapText="1"/>
    </xf>
    <xf numFmtId="0" fontId="135" fillId="0" borderId="0" xfId="0" applyFont="1" applyAlignment="1">
      <alignment vertical="top" wrapText="1"/>
    </xf>
    <xf numFmtId="0" fontId="136" fillId="0" borderId="0" xfId="0" applyFont="1" applyAlignment="1">
      <alignment vertical="top" wrapText="1"/>
    </xf>
    <xf numFmtId="0" fontId="137" fillId="0" borderId="0" xfId="0" applyFont="1" applyAlignment="1">
      <alignment vertical="top" wrapText="1"/>
    </xf>
    <xf numFmtId="0" fontId="94" fillId="76" borderId="0" xfId="0" applyFont="1" applyFill="1" applyAlignment="1">
      <alignment vertical="top" wrapText="1"/>
    </xf>
    <xf numFmtId="0" fontId="94" fillId="74" borderId="0" xfId="0" applyFont="1" applyFill="1" applyAlignment="1">
      <alignment vertical="top" wrapText="1"/>
    </xf>
    <xf numFmtId="0" fontId="94" fillId="75" borderId="0" xfId="0" applyFont="1" applyFill="1" applyAlignment="1">
      <alignment vertical="top" wrapText="1"/>
    </xf>
    <xf numFmtId="0" fontId="94" fillId="77" borderId="0" xfId="0" applyFont="1" applyFill="1" applyAlignment="1">
      <alignment vertical="top" wrapText="1"/>
    </xf>
    <xf numFmtId="0" fontId="94" fillId="76" borderId="0" xfId="0" applyFont="1" applyFill="1" applyAlignment="1">
      <alignment horizontal="center" vertical="top" wrapText="1"/>
    </xf>
    <xf numFmtId="0" fontId="94" fillId="74" borderId="0" xfId="0" applyFont="1" applyFill="1" applyAlignment="1">
      <alignment horizontal="center" vertical="top" wrapText="1"/>
    </xf>
    <xf numFmtId="0" fontId="94" fillId="75" borderId="0" xfId="0" applyFont="1" applyFill="1" applyAlignment="1">
      <alignment horizontal="center" vertical="top" wrapText="1"/>
    </xf>
    <xf numFmtId="0" fontId="94" fillId="77" borderId="0" xfId="0" applyFont="1" applyFill="1" applyAlignment="1">
      <alignment horizontal="center" vertical="top" wrapText="1"/>
    </xf>
    <xf numFmtId="0" fontId="94" fillId="0" borderId="0" xfId="0" applyFont="1" applyAlignment="1">
      <alignment horizontal="center" vertical="top" wrapText="1"/>
    </xf>
    <xf numFmtId="0" fontId="81" fillId="72" borderId="0" xfId="0" applyFont="1" applyFill="1" applyAlignment="1">
      <alignment vertical="top" wrapText="1"/>
    </xf>
    <xf numFmtId="0" fontId="95" fillId="72" borderId="0" xfId="0" applyFont="1" applyFill="1" applyAlignment="1">
      <alignment horizontal="center" vertical="top" wrapText="1"/>
    </xf>
    <xf numFmtId="0" fontId="95" fillId="72" borderId="0" xfId="0" applyFont="1" applyFill="1" applyAlignment="1">
      <alignment vertical="top" wrapText="1"/>
    </xf>
  </cellXfs>
  <cellStyles count="1">
    <cellStyle name="Normal" xfId="0" builtinId="0"/>
  </cellStyles>
  <dxfs count="15">
    <dxf>
      <font>
        <color rgb="FFC62828"/>
      </font>
      <fill>
        <patternFill patternType="solid">
          <fgColor indexed="64"/>
          <bgColor rgb="FFFFEBEE"/>
        </patternFill>
      </fill>
    </dxf>
    <dxf>
      <font>
        <color rgb="FFE65100"/>
      </font>
      <fill>
        <patternFill patternType="solid">
          <fgColor indexed="64"/>
          <bgColor rgb="FFFFF3E0"/>
        </patternFill>
      </fill>
    </dxf>
    <dxf>
      <font>
        <color rgb="FF2E7D32"/>
      </font>
      <fill>
        <patternFill patternType="solid">
          <fgColor indexed="64"/>
          <bgColor rgb="FFE8F5E9"/>
        </patternFill>
      </fill>
    </dxf>
    <dxf>
      <font>
        <color rgb="FFFFFFFF"/>
      </font>
      <fill>
        <patternFill patternType="solid">
          <fgColor indexed="64"/>
          <bgColor rgb="FFF57C00"/>
        </patternFill>
      </fill>
    </dxf>
    <dxf>
      <font>
        <b/>
        <i val="0"/>
        <color rgb="FFFFFFFF"/>
      </font>
      <fill>
        <patternFill patternType="solid">
          <fgColor indexed="64"/>
          <bgColor rgb="FFD32F2F"/>
        </patternFill>
      </fill>
    </dxf>
    <dxf>
      <font>
        <color rgb="FF1B5E20"/>
      </font>
      <fill>
        <patternFill patternType="solid">
          <fgColor indexed="64"/>
          <bgColor rgb="FFC8E6C9"/>
        </patternFill>
      </fill>
    </dxf>
    <dxf>
      <font>
        <b/>
        <i val="0"/>
        <color rgb="FFFFFFFF"/>
      </font>
      <fill>
        <patternFill patternType="solid">
          <fgColor indexed="64"/>
          <bgColor rgb="FFD32F2F"/>
        </patternFill>
      </fill>
    </dxf>
    <dxf>
      <font>
        <color rgb="FFFFFFFF"/>
      </font>
      <fill>
        <patternFill patternType="solid">
          <fgColor indexed="64"/>
          <bgColor rgb="FF4CAF50"/>
        </patternFill>
      </fill>
    </dxf>
    <dxf>
      <fill>
        <patternFill patternType="solid">
          <fgColor indexed="64"/>
          <bgColor rgb="FFFFF9C4"/>
        </patternFill>
      </fill>
    </dxf>
    <dxf>
      <font>
        <color rgb="FFFFFFFF"/>
      </font>
      <fill>
        <patternFill patternType="solid">
          <fgColor indexed="64"/>
          <bgColor rgb="FFF57C00"/>
        </patternFill>
      </fill>
    </dxf>
    <dxf>
      <font>
        <b/>
        <i val="0"/>
        <color rgb="FFFFFFFF"/>
      </font>
      <fill>
        <patternFill patternType="solid">
          <fgColor indexed="64"/>
          <bgColor rgb="FFD32F2F"/>
        </patternFill>
      </fill>
    </dxf>
    <dxf>
      <font>
        <color rgb="FFFFFFFF"/>
      </font>
      <fill>
        <patternFill patternType="solid">
          <fgColor indexed="64"/>
          <bgColor rgb="FF4CAF50"/>
        </patternFill>
      </fill>
    </dxf>
    <dxf>
      <font>
        <color rgb="FF000000"/>
      </font>
      <fill>
        <patternFill patternType="solid">
          <fgColor indexed="64"/>
          <bgColor rgb="FFFFF9C4"/>
        </patternFill>
      </fill>
    </dxf>
    <dxf>
      <font>
        <color rgb="FFFFFFFF"/>
      </font>
      <fill>
        <patternFill patternType="solid">
          <fgColor indexed="64"/>
          <bgColor rgb="FFF57C00"/>
        </patternFill>
      </fill>
    </dxf>
    <dxf>
      <font>
        <b/>
        <i val="0"/>
        <color rgb="FFFFFFFF"/>
      </font>
      <fill>
        <patternFill patternType="solid">
          <fgColor indexed="64"/>
          <bgColor rgb="FFD32F2F"/>
        </patternFill>
      </fill>
    </dxf>
  </dxfs>
  <tableStyles count="0" defaultTableStyle="TableStyleMedium2" defaultPivotStyle="PivotStyleLight16"/>
  <colors>
    <indexedColors>
      <rgbColor rgb="FF000000"/>
      <rgbColor rgb="FFFFFFFF"/>
      <rgbColor rgb="FFFAFAFA"/>
      <rgbColor rgb="FFF5F5F6"/>
      <rgbColor rgb="FF005F6B"/>
      <rgbColor rgb="FFF5F5E1"/>
      <rgbColor rgb="FFF4F6FA"/>
      <rgbColor rgb="FFF0FFF4"/>
      <rgbColor rgb="FF8B0000"/>
      <rgbColor rgb="FF165922"/>
      <rgbColor rgb="FF3B2D87"/>
      <rgbColor rgb="FF856404"/>
      <rgbColor rgb="FF4A4A00"/>
      <rgbColor rgb="FF1D6FA3"/>
      <rgbColor rgb="FFCCCCCC"/>
      <rgbColor rgb="FF444444"/>
      <rgbColor rgb="FFE6EFF7"/>
      <rgbColor rgb="FF7A5500"/>
      <rgbColor rgb="FFFFF8E1"/>
      <rgbColor rgb="FFE1F5F5"/>
      <rgbColor rgb="FF5A2A7A"/>
      <rgbColor rgb="FFEEEDFE"/>
      <rgbColor rgb="FF1A6FAF"/>
      <rgbColor rgb="FFD1ECF1"/>
      <rgbColor rgb="FF084F49"/>
      <rgbColor rgb="FFF8F9FA"/>
      <rgbColor rgb="FFEAF5E1"/>
      <rgbColor rgb="FFF0F8FF"/>
      <rgbColor rgb="FF2A4A1A"/>
      <rgbColor rgb="FF7A1A0A"/>
      <rgbColor rgb="FF0D6E44"/>
      <rgbColor rgb="FF0C513F"/>
      <rgbColor rgb="FF1A5000"/>
      <rgbColor rgb="FFE1F5EE"/>
      <rgbColor rgb="FFD4EDDA"/>
      <rgbColor rgb="FFFFF3CD"/>
      <rgbColor rgb="FFE0EBF0"/>
      <rgbColor rgb="FFF3E6F5"/>
      <rgbColor rgb="FFE6E9F5"/>
      <rgbColor rgb="FFFCEBEB"/>
      <rgbColor rgb="FF2B4D8C"/>
      <rgbColor rgb="FFF3F2F2"/>
      <rgbColor rgb="FFE6F5E3"/>
      <rgbColor rgb="FFFCECEC"/>
      <rgbColor rgb="FFFFF8E6"/>
      <rgbColor rgb="FFC26500"/>
      <rgbColor rgb="FF5F5E5A"/>
      <rgbColor rgb="FFE6F0F8"/>
      <rgbColor rgb="FF003344"/>
      <rgbColor rgb="FF2B8336"/>
      <rgbColor rgb="FF1B2C3E"/>
      <rgbColor rgb="FF533F03"/>
      <rgbColor rgb="FFAE160B"/>
      <rgbColor rgb="FF5A3A00"/>
      <rgbColor rgb="FF2B3A8B"/>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HC IoT Relevance Distribution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'Executive Command Centre'!$B$9</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'Executive Command Centre'!$A$10:$A$13</c:f>
              <c:strCache>
                <c:ptCount val="4"/>
                <c:pt idx="0">
                  <c:v>HIGHEST</c:v>
                </c:pt>
                <c:pt idx="1">
                  <c:v>HIGH</c:v>
                </c:pt>
                <c:pt idx="2">
                  <c:v>MODERATE</c:v>
                </c:pt>
                <c:pt idx="3">
                  <c:v>LOW</c:v>
                </c:pt>
              </c:strCache>
            </c:strRef>
          </c:cat>
          <c:val>
            <c:numRef>
              <c:f>'Executive Command Centre'!$B$10:$B$13</c:f>
              <c:numCache>
                <c:formatCode>General</c:formatCode>
                <c:ptCount val="4"/>
                <c:pt idx="0">
                  <c:v>139</c:v>
                </c:pt>
                <c:pt idx="1">
                  <c:v>78</c:v>
                </c:pt>
                <c:pt idx="2">
                  <c:v>120</c:v>
                </c:pt>
                <c:pt idx="3">
                  <c:v>114</c:v>
                </c:pt>
              </c:numCache>
            </c:numRef>
          </c:val>
          <c:extLst>
            <c:ext xmlns:c16="http://schemas.microsoft.com/office/drawing/2014/chart" uri="{C3380CC4-5D6E-409C-BE32-E72D297353CC}">
              <c16:uniqueId val="{00000000-9113-4C94-A2B5-E2E6C399F0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Regulatory Velocity (Framework Freshness)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'Executive Command Centre'!$E$9</c:f>
              <c:strCache>
                <c:ptCount val="1"/>
                <c:pt idx="0">
                  <c:v>Count</c:v>
                </c:pt>
              </c:strCache>
            </c:strRef>
          </c:tx>
          <c:spPr>
            <a:solidFill>
              <a:schemeClr val="accent1"/>
            </a:solidFill>
            <a:ln>
              <a:noFill/>
            </a:ln>
            <a:effectLst/>
          </c:spPr>
          <c:invertIfNegative val="0"/>
          <c:cat>
            <c:strRef>
              <c:f>'Executive Command Centre'!$D$10:$D$13</c:f>
              <c:strCache>
                <c:ptCount val="4"/>
                <c:pt idx="0">
                  <c:v>2024-2026 (Fresh)</c:v>
                </c:pt>
                <c:pt idx="1">
                  <c:v>2021-2023 (Maturing)</c:v>
                </c:pt>
                <c:pt idx="2">
                  <c:v>2018-2020 (Aging)</c:v>
                </c:pt>
                <c:pt idx="3">
                  <c:v>Pre-2018 (Legacy)</c:v>
                </c:pt>
              </c:strCache>
            </c:strRef>
          </c:cat>
          <c:val>
            <c:numRef>
              <c:f>'Executive Command Centre'!$E$10:$E$13</c:f>
              <c:numCache>
                <c:formatCode>General</c:formatCode>
                <c:ptCount val="4"/>
                <c:pt idx="0">
                  <c:v>9</c:v>
                </c:pt>
                <c:pt idx="1">
                  <c:v>84</c:v>
                </c:pt>
                <c:pt idx="2">
                  <c:v>170</c:v>
                </c:pt>
                <c:pt idx="3">
                  <c:v>63</c:v>
                </c:pt>
              </c:numCache>
            </c:numRef>
          </c:val>
          <c:extLst>
            <c:ext xmlns:c16="http://schemas.microsoft.com/office/drawing/2014/chart" uri="{C3380CC4-5D6E-409C-BE32-E72D297353CC}">
              <c16:uniqueId val="{00000000-C795-4938-9C5D-C32683EEF9F2}"/>
            </c:ext>
          </c:extLst>
        </c:ser>
        <c:dLbls>
          <c:showLegendKey val="0"/>
          <c:showVal val="0"/>
          <c:showCatName val="0"/>
          <c:showSerName val="0"/>
          <c:showPercent val="0"/>
          <c:showBubbleSize val="0"/>
        </c:dLbls>
        <c:gapWidth val="219"/>
        <c:overlap val="-27"/>
        <c:axId val="1236321423"/>
        <c:axId val="1236322863"/>
      </c:barChart>
      <c:catAx>
        <c:axId val="123632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22863"/>
        <c:crosses val="autoZero"/>
        <c:auto val="1"/>
        <c:lblAlgn val="ctr"/>
        <c:lblOffset val="100"/>
        <c:noMultiLvlLbl val="0"/>
      </c:catAx>
      <c:valAx>
        <c:axId val="123632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2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GRC Maturity: Current vs Target (Level 1-5)</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'Executive Command Centre'!$B$17</c:f>
              <c:strCache>
                <c:ptCount val="1"/>
                <c:pt idx="0">
                  <c:v>Current</c:v>
                </c:pt>
              </c:strCache>
            </c:strRef>
          </c:tx>
          <c:spPr>
            <a:solidFill>
              <a:schemeClr val="accent1"/>
            </a:solidFill>
            <a:ln>
              <a:noFill/>
            </a:ln>
            <a:effectLst/>
          </c:spPr>
          <c:invertIfNegative val="0"/>
          <c:cat>
            <c:strRef>
              <c:f>'Executive Command Centre'!$A$18:$A$26</c:f>
              <c:strCache>
                <c:ptCount val="9"/>
                <c:pt idx="0">
                  <c:v>Governance</c:v>
                </c:pt>
                <c:pt idx="1">
                  <c:v>Cybersecurity</c:v>
                </c:pt>
                <c:pt idx="2">
                  <c:v>Privacy (PDPL)</c:v>
                </c:pt>
                <c:pt idx="3">
                  <c:v>Risk Mgmt</c:v>
                </c:pt>
                <c:pt idx="4">
                  <c:v>Compliance</c:v>
                </c:pt>
                <c:pt idx="5">
                  <c:v>Supply Chain</c:v>
                </c:pt>
                <c:pt idx="6">
                  <c:v>OT/CNI (OTCC)</c:v>
                </c:pt>
                <c:pt idx="7">
                  <c:v>Incident Response</c:v>
                </c:pt>
                <c:pt idx="8">
                  <c:v>Saudisation</c:v>
                </c:pt>
              </c:strCache>
            </c:strRef>
          </c:cat>
          <c:val>
            <c:numRef>
              <c:f>'Executive Command Centre'!$B$18:$B$26</c:f>
              <c:numCache>
                <c:formatCode>0.0</c:formatCode>
                <c:ptCount val="9"/>
                <c:pt idx="0">
                  <c:v>1.5</c:v>
                </c:pt>
                <c:pt idx="1">
                  <c:v>2</c:v>
                </c:pt>
                <c:pt idx="2">
                  <c:v>1</c:v>
                </c:pt>
                <c:pt idx="3">
                  <c:v>2</c:v>
                </c:pt>
                <c:pt idx="4">
                  <c:v>1.5</c:v>
                </c:pt>
                <c:pt idx="5">
                  <c:v>1</c:v>
                </c:pt>
                <c:pt idx="6">
                  <c:v>1.5</c:v>
                </c:pt>
                <c:pt idx="7">
                  <c:v>1.5</c:v>
                </c:pt>
                <c:pt idx="8">
                  <c:v>2.5</c:v>
                </c:pt>
              </c:numCache>
            </c:numRef>
          </c:val>
          <c:extLst>
            <c:ext xmlns:c16="http://schemas.microsoft.com/office/drawing/2014/chart" uri="{C3380CC4-5D6E-409C-BE32-E72D297353CC}">
              <c16:uniqueId val="{00000000-646A-4127-BAB8-40C27E372B60}"/>
            </c:ext>
          </c:extLst>
        </c:ser>
        <c:ser>
          <c:idx val="1"/>
          <c:order val="1"/>
          <c:tx>
            <c:strRef>
              <c:f>'Executive Command Centre'!$C$17</c:f>
              <c:strCache>
                <c:ptCount val="1"/>
                <c:pt idx="0">
                  <c:v>Target</c:v>
                </c:pt>
              </c:strCache>
            </c:strRef>
          </c:tx>
          <c:spPr>
            <a:solidFill>
              <a:schemeClr val="accent2"/>
            </a:solidFill>
            <a:ln>
              <a:noFill/>
            </a:ln>
            <a:effectLst/>
          </c:spPr>
          <c:invertIfNegative val="0"/>
          <c:cat>
            <c:strRef>
              <c:f>'Executive Command Centre'!$A$18:$A$26</c:f>
              <c:strCache>
                <c:ptCount val="9"/>
                <c:pt idx="0">
                  <c:v>Governance</c:v>
                </c:pt>
                <c:pt idx="1">
                  <c:v>Cybersecurity</c:v>
                </c:pt>
                <c:pt idx="2">
                  <c:v>Privacy (PDPL)</c:v>
                </c:pt>
                <c:pt idx="3">
                  <c:v>Risk Mgmt</c:v>
                </c:pt>
                <c:pt idx="4">
                  <c:v>Compliance</c:v>
                </c:pt>
                <c:pt idx="5">
                  <c:v>Supply Chain</c:v>
                </c:pt>
                <c:pt idx="6">
                  <c:v>OT/CNI (OTCC)</c:v>
                </c:pt>
                <c:pt idx="7">
                  <c:v>Incident Response</c:v>
                </c:pt>
                <c:pt idx="8">
                  <c:v>Saudisation</c:v>
                </c:pt>
              </c:strCache>
            </c:strRef>
          </c:cat>
          <c:val>
            <c:numRef>
              <c:f>'Executive Command Centre'!$C$18:$C$26</c:f>
              <c:numCache>
                <c:formatCode>General</c:formatCode>
                <c:ptCount val="9"/>
                <c:pt idx="0">
                  <c:v>3</c:v>
                </c:pt>
                <c:pt idx="1">
                  <c:v>3</c:v>
                </c:pt>
                <c:pt idx="2">
                  <c:v>3</c:v>
                </c:pt>
                <c:pt idx="3">
                  <c:v>3</c:v>
                </c:pt>
                <c:pt idx="4">
                  <c:v>3</c:v>
                </c:pt>
                <c:pt idx="5">
                  <c:v>3</c:v>
                </c:pt>
                <c:pt idx="6">
                  <c:v>3</c:v>
                </c:pt>
                <c:pt idx="7">
                  <c:v>3</c:v>
                </c:pt>
                <c:pt idx="8">
                  <c:v>3</c:v>
                </c:pt>
              </c:numCache>
            </c:numRef>
          </c:val>
          <c:extLst>
            <c:ext xmlns:c16="http://schemas.microsoft.com/office/drawing/2014/chart" uri="{C3380CC4-5D6E-409C-BE32-E72D297353CC}">
              <c16:uniqueId val="{00000001-646A-4127-BAB8-40C27E372B60}"/>
            </c:ext>
          </c:extLst>
        </c:ser>
        <c:dLbls>
          <c:showLegendKey val="0"/>
          <c:showVal val="0"/>
          <c:showCatName val="0"/>
          <c:showSerName val="0"/>
          <c:showPercent val="0"/>
          <c:showBubbleSize val="0"/>
        </c:dLbls>
        <c:gapWidth val="182"/>
        <c:axId val="1566836815"/>
        <c:axId val="1566837295"/>
      </c:barChart>
      <c:catAx>
        <c:axId val="15668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37295"/>
        <c:crosses val="autoZero"/>
        <c:auto val="1"/>
        <c:lblAlgn val="ctr"/>
        <c:lblOffset val="100"/>
        <c:noMultiLvlLbl val="0"/>
      </c:catAx>
      <c:valAx>
        <c:axId val="15668372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36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10 Regulators by Power Index</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'Executive Command Centre'!$E$17</c:f>
              <c:strCache>
                <c:ptCount val="1"/>
                <c:pt idx="0">
                  <c:v>Power Index</c:v>
                </c:pt>
              </c:strCache>
            </c:strRef>
          </c:tx>
          <c:spPr>
            <a:solidFill>
              <a:schemeClr val="accent1"/>
            </a:solidFill>
            <a:ln>
              <a:noFill/>
            </a:ln>
            <a:effectLst/>
          </c:spPr>
          <c:invertIfNegative val="0"/>
          <c:cat>
            <c:strRef>
              <c:f>'Executive Command Centre'!$D$18:$D$27</c:f>
              <c:strCache>
                <c:ptCount val="10"/>
                <c:pt idx="0">
                  <c:v>MOH</c:v>
                </c:pt>
                <c:pt idx="1">
                  <c:v>SDAIA</c:v>
                </c:pt>
                <c:pt idx="2">
                  <c:v>MOH</c:v>
                </c:pt>
                <c:pt idx="3">
                  <c:v>SFDA</c:v>
                </c:pt>
                <c:pt idx="4">
                  <c:v>CST</c:v>
                </c:pt>
                <c:pt idx="5">
                  <c:v>SAMA</c:v>
                </c:pt>
                <c:pt idx="6">
                  <c:v>CCHI</c:v>
                </c:pt>
                <c:pt idx="7">
                  <c:v>CBAHI</c:v>
                </c:pt>
                <c:pt idx="8">
                  <c:v>NHIC</c:v>
                </c:pt>
                <c:pt idx="9">
                  <c:v>SCFHS</c:v>
                </c:pt>
              </c:strCache>
            </c:strRef>
          </c:cat>
          <c:val>
            <c:numRef>
              <c:f>'Executive Command Centre'!$E$18:$E$27</c:f>
              <c:numCache>
                <c:formatCode>General</c:formatCode>
                <c:ptCount val="10"/>
                <c:pt idx="0">
                  <c:v>80</c:v>
                </c:pt>
                <c:pt idx="1">
                  <c:v>70</c:v>
                </c:pt>
                <c:pt idx="2">
                  <c:v>67</c:v>
                </c:pt>
                <c:pt idx="3">
                  <c:v>63</c:v>
                </c:pt>
                <c:pt idx="4">
                  <c:v>50</c:v>
                </c:pt>
                <c:pt idx="5">
                  <c:v>50</c:v>
                </c:pt>
                <c:pt idx="6">
                  <c:v>50</c:v>
                </c:pt>
                <c:pt idx="7">
                  <c:v>50</c:v>
                </c:pt>
                <c:pt idx="8">
                  <c:v>50</c:v>
                </c:pt>
                <c:pt idx="9">
                  <c:v>50</c:v>
                </c:pt>
              </c:numCache>
            </c:numRef>
          </c:val>
          <c:extLst>
            <c:ext xmlns:c16="http://schemas.microsoft.com/office/drawing/2014/chart" uri="{C3380CC4-5D6E-409C-BE32-E72D297353CC}">
              <c16:uniqueId val="{00000000-347F-488C-948F-E2B567345FBE}"/>
            </c:ext>
          </c:extLst>
        </c:ser>
        <c:dLbls>
          <c:showLegendKey val="0"/>
          <c:showVal val="0"/>
          <c:showCatName val="0"/>
          <c:showSerName val="0"/>
          <c:showPercent val="0"/>
          <c:showBubbleSize val="0"/>
        </c:dLbls>
        <c:gapWidth val="182"/>
        <c:axId val="1636956079"/>
        <c:axId val="1636954639"/>
      </c:barChart>
      <c:catAx>
        <c:axId val="163695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54639"/>
        <c:crosses val="autoZero"/>
        <c:auto val="1"/>
        <c:lblAlgn val="ctr"/>
        <c:lblOffset val="100"/>
        <c:noMultiLvlLbl val="0"/>
      </c:catAx>
      <c:valAx>
        <c:axId val="163695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5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KSA GRC Maturity vs Global (Scale 1-5)</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'Global GRC Benchmark'!$B$17</c:f>
              <c:strCache>
                <c:ptCount val="1"/>
                <c:pt idx="0">
                  <c:v>🇸🇦 KSA Score</c:v>
                </c:pt>
              </c:strCache>
            </c:strRef>
          </c:tx>
          <c:spPr>
            <a:solidFill>
              <a:schemeClr val="accent1"/>
            </a:solidFill>
            <a:ln>
              <a:noFill/>
            </a:ln>
            <a:effectLst/>
          </c:spPr>
          <c:invertIfNegative val="0"/>
          <c:cat>
            <c:strRef>
              <c:f>'Global GRC Benchmark'!$A$18:$A$26</c:f>
              <c:strCache>
                <c:ptCount val="9"/>
                <c:pt idx="0">
                  <c:v>Cybersecurity Regulation Depth</c:v>
                </c:pt>
                <c:pt idx="1">
                  <c:v>Data Privacy Maturity</c:v>
                </c:pt>
                <c:pt idx="2">
                  <c:v>OT/CNI Cyber Controls</c:v>
                </c:pt>
                <c:pt idx="3">
                  <c:v>Cloud Security Governance</c:v>
                </c:pt>
                <c:pt idx="4">
                  <c:v>AI Governance</c:v>
                </c:pt>
                <c:pt idx="5">
                  <c:v>Medical Device Regulation</c:v>
                </c:pt>
                <c:pt idx="6">
                  <c:v>Regulatory Coverage Breadth</c:v>
                </c:pt>
                <c:pt idx="7">
                  <c:v>Cross-Sector Integration</c:v>
                </c:pt>
                <c:pt idx="8">
                  <c:v>Enforcement Maturity</c:v>
                </c:pt>
              </c:strCache>
            </c:strRef>
          </c:cat>
          <c:val>
            <c:numRef>
              <c:f>'Global GRC Benchmark'!$B$18:$B$26</c:f>
              <c:numCache>
                <c:formatCode>0.0</c:formatCode>
                <c:ptCount val="9"/>
                <c:pt idx="0">
                  <c:v>4.5</c:v>
                </c:pt>
                <c:pt idx="1">
                  <c:v>2.5</c:v>
                </c:pt>
                <c:pt idx="2">
                  <c:v>4</c:v>
                </c:pt>
                <c:pt idx="3">
                  <c:v>3.5</c:v>
                </c:pt>
                <c:pt idx="4">
                  <c:v>2</c:v>
                </c:pt>
                <c:pt idx="5">
                  <c:v>3.5</c:v>
                </c:pt>
                <c:pt idx="6">
                  <c:v>5</c:v>
                </c:pt>
                <c:pt idx="7">
                  <c:v>3</c:v>
                </c:pt>
                <c:pt idx="8">
                  <c:v>2</c:v>
                </c:pt>
              </c:numCache>
            </c:numRef>
          </c:val>
          <c:extLst>
            <c:ext xmlns:c16="http://schemas.microsoft.com/office/drawing/2014/chart" uri="{C3380CC4-5D6E-409C-BE32-E72D297353CC}">
              <c16:uniqueId val="{00000000-DA58-4A59-858F-2025DA42B563}"/>
            </c:ext>
          </c:extLst>
        </c:ser>
        <c:ser>
          <c:idx val="1"/>
          <c:order val="1"/>
          <c:tx>
            <c:strRef>
              <c:f>'Global GRC Benchmark'!$C$17</c:f>
              <c:strCache>
                <c:ptCount val="1"/>
                <c:pt idx="0">
                  <c:v>Global Avg</c:v>
                </c:pt>
              </c:strCache>
            </c:strRef>
          </c:tx>
          <c:spPr>
            <a:solidFill>
              <a:schemeClr val="accent2"/>
            </a:solidFill>
            <a:ln>
              <a:noFill/>
            </a:ln>
            <a:effectLst/>
          </c:spPr>
          <c:invertIfNegative val="0"/>
          <c:cat>
            <c:strRef>
              <c:f>'Global GRC Benchmark'!$A$18:$A$26</c:f>
              <c:strCache>
                <c:ptCount val="9"/>
                <c:pt idx="0">
                  <c:v>Cybersecurity Regulation Depth</c:v>
                </c:pt>
                <c:pt idx="1">
                  <c:v>Data Privacy Maturity</c:v>
                </c:pt>
                <c:pt idx="2">
                  <c:v>OT/CNI Cyber Controls</c:v>
                </c:pt>
                <c:pt idx="3">
                  <c:v>Cloud Security Governance</c:v>
                </c:pt>
                <c:pt idx="4">
                  <c:v>AI Governance</c:v>
                </c:pt>
                <c:pt idx="5">
                  <c:v>Medical Device Regulation</c:v>
                </c:pt>
                <c:pt idx="6">
                  <c:v>Regulatory Coverage Breadth</c:v>
                </c:pt>
                <c:pt idx="7">
                  <c:v>Cross-Sector Integration</c:v>
                </c:pt>
                <c:pt idx="8">
                  <c:v>Enforcement Maturity</c:v>
                </c:pt>
              </c:strCache>
            </c:strRef>
          </c:cat>
          <c:val>
            <c:numRef>
              <c:f>'Global GRC Benchmark'!$C$18:$C$26</c:f>
              <c:numCache>
                <c:formatCode>0.0</c:formatCode>
                <c:ptCount val="9"/>
                <c:pt idx="0">
                  <c:v>3.5</c:v>
                </c:pt>
                <c:pt idx="1">
                  <c:v>3.5</c:v>
                </c:pt>
                <c:pt idx="2">
                  <c:v>3</c:v>
                </c:pt>
                <c:pt idx="3">
                  <c:v>3.5</c:v>
                </c:pt>
                <c:pt idx="4">
                  <c:v>2.5</c:v>
                </c:pt>
                <c:pt idx="5">
                  <c:v>3.5</c:v>
                </c:pt>
                <c:pt idx="6">
                  <c:v>3</c:v>
                </c:pt>
                <c:pt idx="7">
                  <c:v>3</c:v>
                </c:pt>
                <c:pt idx="8">
                  <c:v>3.5</c:v>
                </c:pt>
              </c:numCache>
            </c:numRef>
          </c:val>
          <c:extLst>
            <c:ext xmlns:c16="http://schemas.microsoft.com/office/drawing/2014/chart" uri="{C3380CC4-5D6E-409C-BE32-E72D297353CC}">
              <c16:uniqueId val="{00000001-DA58-4A59-858F-2025DA42B563}"/>
            </c:ext>
          </c:extLst>
        </c:ser>
        <c:ser>
          <c:idx val="2"/>
          <c:order val="2"/>
          <c:tx>
            <c:strRef>
              <c:f>'Global GRC Benchmark'!$D$17</c:f>
              <c:strCache>
                <c:ptCount val="1"/>
                <c:pt idx="0">
                  <c:v>Global Best</c:v>
                </c:pt>
              </c:strCache>
            </c:strRef>
          </c:tx>
          <c:spPr>
            <a:solidFill>
              <a:schemeClr val="accent3"/>
            </a:solidFill>
            <a:ln>
              <a:noFill/>
            </a:ln>
            <a:effectLst/>
          </c:spPr>
          <c:invertIfNegative val="0"/>
          <c:cat>
            <c:strRef>
              <c:f>'Global GRC Benchmark'!$A$18:$A$26</c:f>
              <c:strCache>
                <c:ptCount val="9"/>
                <c:pt idx="0">
                  <c:v>Cybersecurity Regulation Depth</c:v>
                </c:pt>
                <c:pt idx="1">
                  <c:v>Data Privacy Maturity</c:v>
                </c:pt>
                <c:pt idx="2">
                  <c:v>OT/CNI Cyber Controls</c:v>
                </c:pt>
                <c:pt idx="3">
                  <c:v>Cloud Security Governance</c:v>
                </c:pt>
                <c:pt idx="4">
                  <c:v>AI Governance</c:v>
                </c:pt>
                <c:pt idx="5">
                  <c:v>Medical Device Regulation</c:v>
                </c:pt>
                <c:pt idx="6">
                  <c:v>Regulatory Coverage Breadth</c:v>
                </c:pt>
                <c:pt idx="7">
                  <c:v>Cross-Sector Integration</c:v>
                </c:pt>
                <c:pt idx="8">
                  <c:v>Enforcement Maturity</c:v>
                </c:pt>
              </c:strCache>
            </c:strRef>
          </c:cat>
          <c:val>
            <c:numRef>
              <c:f>'Global GRC Benchmark'!$D$18:$D$26</c:f>
              <c:numCache>
                <c:formatCode>0.0</c:formatCode>
                <c:ptCount val="9"/>
                <c:pt idx="0">
                  <c:v>4.5</c:v>
                </c:pt>
                <c:pt idx="1">
                  <c:v>5</c:v>
                </c:pt>
                <c:pt idx="2">
                  <c:v>4.5</c:v>
                </c:pt>
                <c:pt idx="3">
                  <c:v>4.5</c:v>
                </c:pt>
                <c:pt idx="4">
                  <c:v>4</c:v>
                </c:pt>
                <c:pt idx="5">
                  <c:v>5</c:v>
                </c:pt>
                <c:pt idx="6">
                  <c:v>4</c:v>
                </c:pt>
                <c:pt idx="7">
                  <c:v>4</c:v>
                </c:pt>
                <c:pt idx="8">
                  <c:v>5</c:v>
                </c:pt>
              </c:numCache>
            </c:numRef>
          </c:val>
          <c:extLst>
            <c:ext xmlns:c16="http://schemas.microsoft.com/office/drawing/2014/chart" uri="{C3380CC4-5D6E-409C-BE32-E72D297353CC}">
              <c16:uniqueId val="{00000002-DA58-4A59-858F-2025DA42B563}"/>
            </c:ext>
          </c:extLst>
        </c:ser>
        <c:dLbls>
          <c:showLegendKey val="0"/>
          <c:showVal val="0"/>
          <c:showCatName val="0"/>
          <c:showSerName val="0"/>
          <c:showPercent val="0"/>
          <c:showBubbleSize val="0"/>
        </c:dLbls>
        <c:gapWidth val="182"/>
        <c:axId val="924734399"/>
        <c:axId val="924734879"/>
      </c:barChart>
      <c:catAx>
        <c:axId val="92473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34879"/>
        <c:crosses val="autoZero"/>
        <c:auto val="1"/>
        <c:lblAlgn val="ctr"/>
        <c:lblOffset val="100"/>
        <c:noMultiLvlLbl val="0"/>
      </c:catAx>
      <c:valAx>
        <c:axId val="92473487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34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0</xdr:col>
      <xdr:colOff>4445000</xdr:colOff>
      <xdr:row>46</xdr:row>
      <xdr:rowOff>117475</xdr:rowOff>
    </xdr:to>
    <xdr:graphicFrame macro="">
      <xdr:nvGraphicFramePr>
        <xdr:cNvPr id="2" name="Chart 1">
          <a:extLst>
            <a:ext uri="{FF2B5EF4-FFF2-40B4-BE49-F238E27FC236}">
              <a16:creationId xmlns:a16="http://schemas.microsoft.com/office/drawing/2014/main" id="{C839BCD1-1BC9-CA66-F0D2-B35EA22C8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3</xdr:col>
      <xdr:colOff>4826000</xdr:colOff>
      <xdr:row>46</xdr:row>
      <xdr:rowOff>117475</xdr:rowOff>
    </xdr:to>
    <xdr:graphicFrame macro="">
      <xdr:nvGraphicFramePr>
        <xdr:cNvPr id="3" name="Chart 2">
          <a:extLst>
            <a:ext uri="{FF2B5EF4-FFF2-40B4-BE49-F238E27FC236}">
              <a16:creationId xmlns:a16="http://schemas.microsoft.com/office/drawing/2014/main" id="{0881CAE7-D907-11CE-9E56-EDB7787B4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2</xdr:col>
      <xdr:colOff>109537</xdr:colOff>
      <xdr:row>66</xdr:row>
      <xdr:rowOff>9525</xdr:rowOff>
    </xdr:to>
    <xdr:graphicFrame macro="">
      <xdr:nvGraphicFramePr>
        <xdr:cNvPr id="4" name="Chart 3">
          <a:extLst>
            <a:ext uri="{FF2B5EF4-FFF2-40B4-BE49-F238E27FC236}">
              <a16:creationId xmlns:a16="http://schemas.microsoft.com/office/drawing/2014/main" id="{FE5F434D-4B08-E241-E6DD-FE57BC94C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45</xdr:row>
      <xdr:rowOff>0</xdr:rowOff>
    </xdr:from>
    <xdr:to>
      <xdr:col>3</xdr:col>
      <xdr:colOff>4826000</xdr:colOff>
      <xdr:row>66</xdr:row>
      <xdr:rowOff>9525</xdr:rowOff>
    </xdr:to>
    <xdr:graphicFrame macro="">
      <xdr:nvGraphicFramePr>
        <xdr:cNvPr id="5" name="Chart 4">
          <a:extLst>
            <a:ext uri="{FF2B5EF4-FFF2-40B4-BE49-F238E27FC236}">
              <a16:creationId xmlns:a16="http://schemas.microsoft.com/office/drawing/2014/main" id="{4E75A745-A391-75EE-2B30-5D67D3FF2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48</xdr:row>
      <xdr:rowOff>0</xdr:rowOff>
    </xdr:from>
    <xdr:to>
      <xdr:col>2</xdr:col>
      <xdr:colOff>2157412</xdr:colOff>
      <xdr:row>72</xdr:row>
      <xdr:rowOff>101600</xdr:rowOff>
    </xdr:to>
    <xdr:graphicFrame macro="">
      <xdr:nvGraphicFramePr>
        <xdr:cNvPr id="2" name="Chart 1">
          <a:extLst>
            <a:ext uri="{FF2B5EF4-FFF2-40B4-BE49-F238E27FC236}">
              <a16:creationId xmlns:a16="http://schemas.microsoft.com/office/drawing/2014/main" id="{96CC3ACE-E2BF-9A0E-1DFA-7ABD21627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ADF6E9-2F5E-4320-A433-F31EA2DB8CE1}">
  <we:reference id="29673e3c-d826-4f00-92ee-162334a52b1a" version="1.0.0.8" store="EXCatalog" storeType="EXCatalog"/>
  <we:alternateReferences>
    <we:reference id="WA200009404" version="1.0.0.8" store="en-US" storeType="OMEX"/>
  </we:alternateReferences>
  <we:properties>
    <we:property name="claude.fileId" value="&quot;036b2e14-6595-48bd-8055-c500801c5bdd&quot;"/>
  </we:properties>
  <we:bindings/>
  <we:snapshot xmlns:r="http://schemas.openxmlformats.org/officeDocument/2006/relationships"/>
</we:webextension>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333-4850-404D-99FA-082782A72A85}">
  <dimension ref="A1:E37"/>
  <sheetViews>
    <sheetView tabSelected="1" workbookViewId="0">
      <pane ySplit="3" topLeftCell="A53" activePane="bottomLeft" state="frozen"/>
      <selection pane="bottomLeft" activeCell="C57" sqref="C57"/>
    </sheetView>
  </sheetViews>
  <sheetFormatPr defaultRowHeight="14.25" x14ac:dyDescent="0.45"/>
  <cols>
    <col min="1" max="1" width="7.1328125" customWidth="1"/>
    <col min="2" max="2" width="39.1328125" customWidth="1"/>
    <col min="3" max="3" width="71.1328125" customWidth="1"/>
    <col min="4" max="4" width="12.46484375" customWidth="1"/>
    <col min="5" max="5" width="44.46484375" customWidth="1"/>
  </cols>
  <sheetData>
    <row r="1" spans="1:5" ht="25.5" x14ac:dyDescent="0.75">
      <c r="A1" s="623" t="s">
        <v>4238</v>
      </c>
      <c r="B1" s="623"/>
      <c r="C1" s="623"/>
      <c r="D1" s="623"/>
      <c r="E1" s="623"/>
    </row>
    <row r="2" spans="1:5" x14ac:dyDescent="0.45">
      <c r="A2" s="624" t="s">
        <v>4239</v>
      </c>
      <c r="B2" s="624"/>
      <c r="C2" s="624"/>
      <c r="D2" s="624"/>
      <c r="E2" s="624"/>
    </row>
    <row r="4" spans="1:5" ht="18" x14ac:dyDescent="0.55000000000000004">
      <c r="A4" s="576" t="s">
        <v>4240</v>
      </c>
    </row>
    <row r="5" spans="1:5" x14ac:dyDescent="0.45">
      <c r="A5" s="626" t="s">
        <v>0</v>
      </c>
      <c r="B5" s="625" t="s">
        <v>4241</v>
      </c>
      <c r="C5" s="625" t="s">
        <v>2636</v>
      </c>
      <c r="D5" s="626" t="s">
        <v>4242</v>
      </c>
      <c r="E5" s="625" t="s">
        <v>4243</v>
      </c>
    </row>
    <row r="6" spans="1:5" x14ac:dyDescent="0.45">
      <c r="A6" s="591">
        <v>1</v>
      </c>
      <c r="B6" t="s">
        <v>4244</v>
      </c>
      <c r="C6" t="s">
        <v>4245</v>
      </c>
      <c r="D6" s="591">
        <v>452</v>
      </c>
      <c r="E6" t="s">
        <v>4246</v>
      </c>
    </row>
    <row r="7" spans="1:5" x14ac:dyDescent="0.45">
      <c r="A7" s="591">
        <v>2</v>
      </c>
      <c r="B7" t="s">
        <v>4247</v>
      </c>
      <c r="C7" t="s">
        <v>4248</v>
      </c>
      <c r="D7" s="591">
        <v>107</v>
      </c>
      <c r="E7" t="s">
        <v>4249</v>
      </c>
    </row>
    <row r="8" spans="1:5" x14ac:dyDescent="0.45">
      <c r="A8" s="591">
        <v>3</v>
      </c>
      <c r="B8" t="s">
        <v>4250</v>
      </c>
      <c r="C8" t="s">
        <v>4251</v>
      </c>
      <c r="D8" s="591">
        <v>339</v>
      </c>
      <c r="E8" t="s">
        <v>4252</v>
      </c>
    </row>
    <row r="9" spans="1:5" x14ac:dyDescent="0.45">
      <c r="A9" s="591">
        <v>4</v>
      </c>
      <c r="B9" t="s">
        <v>4253</v>
      </c>
      <c r="C9" t="s">
        <v>4254</v>
      </c>
      <c r="D9" s="591">
        <v>191</v>
      </c>
      <c r="E9" t="s">
        <v>4255</v>
      </c>
    </row>
    <row r="10" spans="1:5" x14ac:dyDescent="0.45">
      <c r="A10" s="591">
        <v>5</v>
      </c>
      <c r="B10" t="s">
        <v>4256</v>
      </c>
      <c r="C10" t="s">
        <v>4257</v>
      </c>
      <c r="D10" s="591">
        <v>64</v>
      </c>
      <c r="E10" t="s">
        <v>4258</v>
      </c>
    </row>
    <row r="12" spans="1:5" ht="18" x14ac:dyDescent="0.55000000000000004">
      <c r="A12" s="576" t="s">
        <v>4259</v>
      </c>
    </row>
    <row r="13" spans="1:5" x14ac:dyDescent="0.45">
      <c r="A13" s="591">
        <v>6</v>
      </c>
      <c r="B13" t="s">
        <v>4260</v>
      </c>
      <c r="C13" t="s">
        <v>4261</v>
      </c>
      <c r="D13" s="591" t="s">
        <v>4262</v>
      </c>
      <c r="E13" t="s">
        <v>4263</v>
      </c>
    </row>
    <row r="14" spans="1:5" x14ac:dyDescent="0.45">
      <c r="A14" s="591">
        <v>7</v>
      </c>
      <c r="B14" t="s">
        <v>4264</v>
      </c>
      <c r="C14" t="s">
        <v>4265</v>
      </c>
      <c r="D14" s="591" t="s">
        <v>310</v>
      </c>
      <c r="E14" t="s">
        <v>4266</v>
      </c>
    </row>
    <row r="15" spans="1:5" x14ac:dyDescent="0.45">
      <c r="A15" s="591">
        <v>8</v>
      </c>
      <c r="B15" t="s">
        <v>5601</v>
      </c>
      <c r="C15" t="s">
        <v>5602</v>
      </c>
      <c r="D15" s="591" t="s">
        <v>5603</v>
      </c>
      <c r="E15" t="s">
        <v>5604</v>
      </c>
    </row>
    <row r="16" spans="1:5" x14ac:dyDescent="0.45">
      <c r="A16" s="591">
        <v>8</v>
      </c>
      <c r="B16" t="s">
        <v>4267</v>
      </c>
      <c r="C16" t="s">
        <v>4268</v>
      </c>
      <c r="D16" s="591">
        <v>25</v>
      </c>
      <c r="E16" t="s">
        <v>4269</v>
      </c>
    </row>
    <row r="17" spans="1:5" x14ac:dyDescent="0.45">
      <c r="A17" s="591">
        <v>9</v>
      </c>
      <c r="B17" t="s">
        <v>4270</v>
      </c>
      <c r="C17" t="s">
        <v>4271</v>
      </c>
      <c r="D17" s="591">
        <v>33</v>
      </c>
      <c r="E17" t="s">
        <v>4272</v>
      </c>
    </row>
    <row r="18" spans="1:5" x14ac:dyDescent="0.45">
      <c r="A18" s="591">
        <v>10</v>
      </c>
      <c r="B18" t="s">
        <v>4273</v>
      </c>
      <c r="C18" t="s">
        <v>4274</v>
      </c>
      <c r="D18" s="591">
        <v>191</v>
      </c>
      <c r="E18" t="s">
        <v>4275</v>
      </c>
    </row>
    <row r="19" spans="1:5" x14ac:dyDescent="0.45">
      <c r="A19" s="591">
        <v>11</v>
      </c>
      <c r="B19" t="s">
        <v>4276</v>
      </c>
      <c r="C19" t="s">
        <v>4277</v>
      </c>
      <c r="D19" s="591">
        <v>36</v>
      </c>
      <c r="E19" t="s">
        <v>4278</v>
      </c>
    </row>
    <row r="21" spans="1:5" ht="18" x14ac:dyDescent="0.55000000000000004">
      <c r="A21" s="576" t="s">
        <v>4279</v>
      </c>
    </row>
    <row r="22" spans="1:5" x14ac:dyDescent="0.45">
      <c r="A22" s="591">
        <v>12</v>
      </c>
      <c r="B22" t="s">
        <v>4280</v>
      </c>
      <c r="C22" t="s">
        <v>4281</v>
      </c>
      <c r="D22" s="591">
        <v>49</v>
      </c>
      <c r="E22" t="s">
        <v>4282</v>
      </c>
    </row>
    <row r="23" spans="1:5" x14ac:dyDescent="0.45">
      <c r="A23" s="591">
        <v>13</v>
      </c>
      <c r="B23" t="s">
        <v>4283</v>
      </c>
      <c r="C23" t="s">
        <v>4284</v>
      </c>
      <c r="D23" s="591">
        <v>42</v>
      </c>
      <c r="E23" t="s">
        <v>4285</v>
      </c>
    </row>
    <row r="24" spans="1:5" x14ac:dyDescent="0.45">
      <c r="A24" s="591">
        <v>14</v>
      </c>
      <c r="B24" t="s">
        <v>4286</v>
      </c>
      <c r="C24" t="s">
        <v>4287</v>
      </c>
      <c r="D24" s="591">
        <v>9</v>
      </c>
      <c r="E24" t="s">
        <v>4288</v>
      </c>
    </row>
    <row r="25" spans="1:5" x14ac:dyDescent="0.45">
      <c r="A25" s="591">
        <v>15</v>
      </c>
      <c r="B25" t="s">
        <v>4289</v>
      </c>
      <c r="C25" t="s">
        <v>4290</v>
      </c>
      <c r="D25" s="591" t="s">
        <v>4291</v>
      </c>
      <c r="E25" t="s">
        <v>4292</v>
      </c>
    </row>
    <row r="27" spans="1:5" ht="18" x14ac:dyDescent="0.55000000000000004">
      <c r="A27" s="576" t="s">
        <v>4293</v>
      </c>
    </row>
    <row r="28" spans="1:5" x14ac:dyDescent="0.45">
      <c r="A28" s="591">
        <v>16</v>
      </c>
      <c r="B28" t="s">
        <v>4294</v>
      </c>
      <c r="C28" t="s">
        <v>4295</v>
      </c>
      <c r="D28" s="591" t="s">
        <v>4162</v>
      </c>
      <c r="E28" t="s">
        <v>4296</v>
      </c>
    </row>
    <row r="29" spans="1:5" x14ac:dyDescent="0.45">
      <c r="A29" s="591">
        <v>17</v>
      </c>
      <c r="B29" t="s">
        <v>4297</v>
      </c>
      <c r="C29" t="s">
        <v>4298</v>
      </c>
      <c r="D29" s="591" t="s">
        <v>4299</v>
      </c>
      <c r="E29" t="s">
        <v>4300</v>
      </c>
    </row>
    <row r="30" spans="1:5" x14ac:dyDescent="0.45">
      <c r="A30" s="591">
        <v>18</v>
      </c>
      <c r="B30" t="s">
        <v>4301</v>
      </c>
      <c r="C30" t="s">
        <v>4302</v>
      </c>
      <c r="D30" s="591" t="s">
        <v>4303</v>
      </c>
      <c r="E30" t="s">
        <v>4304</v>
      </c>
    </row>
    <row r="32" spans="1:5" ht="18" x14ac:dyDescent="0.55000000000000004">
      <c r="A32" s="576" t="s">
        <v>4305</v>
      </c>
    </row>
    <row r="33" spans="1:5" x14ac:dyDescent="0.45">
      <c r="A33" s="591">
        <v>19</v>
      </c>
      <c r="B33" t="s">
        <v>4306</v>
      </c>
      <c r="C33" t="s">
        <v>4307</v>
      </c>
      <c r="D33" s="591">
        <v>10</v>
      </c>
      <c r="E33" t="s">
        <v>4308</v>
      </c>
    </row>
    <row r="34" spans="1:5" x14ac:dyDescent="0.45">
      <c r="A34" s="591">
        <v>20</v>
      </c>
      <c r="B34" t="s">
        <v>4309</v>
      </c>
      <c r="C34" t="s">
        <v>4310</v>
      </c>
      <c r="D34" s="591">
        <v>26</v>
      </c>
      <c r="E34" t="s">
        <v>4311</v>
      </c>
    </row>
    <row r="35" spans="1:5" x14ac:dyDescent="0.45">
      <c r="A35" s="591">
        <v>21</v>
      </c>
      <c r="B35" t="s">
        <v>4312</v>
      </c>
      <c r="C35" t="s">
        <v>4313</v>
      </c>
      <c r="D35" s="591">
        <v>5</v>
      </c>
      <c r="E35" t="s">
        <v>4314</v>
      </c>
    </row>
    <row r="36" spans="1:5" x14ac:dyDescent="0.45">
      <c r="A36" s="591">
        <v>22</v>
      </c>
      <c r="B36" t="s">
        <v>4766</v>
      </c>
      <c r="C36" t="s">
        <v>4767</v>
      </c>
      <c r="D36" s="591" t="s">
        <v>4768</v>
      </c>
      <c r="E36" t="s">
        <v>4769</v>
      </c>
    </row>
    <row r="37" spans="1:5" x14ac:dyDescent="0.45">
      <c r="A37" s="634" t="s">
        <v>4315</v>
      </c>
    </row>
  </sheetData>
  <mergeCells count="2">
    <mergeCell ref="A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D8FC-61AA-46FD-853A-FB4227F44477}">
  <dimension ref="A1:J135"/>
  <sheetViews>
    <sheetView workbookViewId="0">
      <pane ySplit="3" topLeftCell="A125" activePane="bottomLeft" state="frozen"/>
      <selection pane="bottomLeft" sqref="A1:J1"/>
    </sheetView>
  </sheetViews>
  <sheetFormatPr defaultRowHeight="14.25" x14ac:dyDescent="0.45"/>
  <cols>
    <col min="1" max="1" width="28.46484375" customWidth="1"/>
    <col min="2" max="4" width="49.796875" customWidth="1"/>
    <col min="5" max="5" width="44.46484375" customWidth="1"/>
    <col min="6" max="6" width="49.796875" customWidth="1"/>
    <col min="7" max="7" width="35.53125" customWidth="1"/>
    <col min="8" max="10" width="44.46484375" customWidth="1"/>
  </cols>
  <sheetData>
    <row r="1" spans="1:10" ht="23.25" x14ac:dyDescent="0.45">
      <c r="A1" s="678" t="s">
        <v>4882</v>
      </c>
      <c r="B1" s="678"/>
      <c r="C1" s="678"/>
      <c r="D1" s="678"/>
      <c r="E1" s="678"/>
      <c r="F1" s="678"/>
      <c r="G1" s="678"/>
      <c r="H1" s="678"/>
      <c r="I1" s="678"/>
      <c r="J1" s="678"/>
    </row>
    <row r="2" spans="1:10" x14ac:dyDescent="0.45">
      <c r="A2" s="679" t="s">
        <v>4883</v>
      </c>
      <c r="B2" s="679"/>
      <c r="C2" s="679"/>
      <c r="D2" s="679"/>
      <c r="E2" s="679"/>
      <c r="F2" s="679"/>
      <c r="G2" s="679"/>
      <c r="H2" s="679"/>
      <c r="I2" s="679"/>
      <c r="J2" s="679"/>
    </row>
    <row r="3" spans="1:10" x14ac:dyDescent="0.45">
      <c r="A3" s="680"/>
      <c r="B3" s="680"/>
      <c r="C3" s="680"/>
      <c r="D3" s="680"/>
      <c r="E3" s="680"/>
      <c r="F3" s="680"/>
      <c r="G3" s="680"/>
      <c r="H3" s="680"/>
      <c r="I3" s="680"/>
      <c r="J3" s="680"/>
    </row>
    <row r="4" spans="1:10" ht="15.75" x14ac:dyDescent="0.45">
      <c r="A4" s="681" t="s">
        <v>4884</v>
      </c>
      <c r="B4" s="681"/>
      <c r="C4" s="681"/>
      <c r="D4" s="681"/>
      <c r="E4" s="681"/>
      <c r="F4" s="681"/>
      <c r="G4" s="681"/>
      <c r="H4" s="681"/>
      <c r="I4" s="680"/>
      <c r="J4" s="680"/>
    </row>
    <row r="5" spans="1:10" x14ac:dyDescent="0.45">
      <c r="A5" s="682" t="s">
        <v>4885</v>
      </c>
      <c r="B5" s="683" t="s">
        <v>4886</v>
      </c>
      <c r="C5" s="683" t="s">
        <v>4887</v>
      </c>
      <c r="D5" s="683" t="s">
        <v>4888</v>
      </c>
      <c r="E5" s="683" t="s">
        <v>4889</v>
      </c>
      <c r="F5" s="683" t="s">
        <v>4890</v>
      </c>
      <c r="G5" s="682" t="s">
        <v>4891</v>
      </c>
      <c r="H5" s="683" t="s">
        <v>4892</v>
      </c>
      <c r="I5" s="680"/>
      <c r="J5" s="680"/>
    </row>
    <row r="6" spans="1:10" ht="45" customHeight="1" x14ac:dyDescent="0.45">
      <c r="A6" s="684" t="s">
        <v>4893</v>
      </c>
      <c r="B6" s="680" t="s">
        <v>557</v>
      </c>
      <c r="C6" s="680" t="s">
        <v>4894</v>
      </c>
      <c r="D6" s="680" t="s">
        <v>4895</v>
      </c>
      <c r="E6" s="680" t="s">
        <v>4896</v>
      </c>
      <c r="F6" s="680" t="s">
        <v>4897</v>
      </c>
      <c r="G6" s="684" t="s">
        <v>4898</v>
      </c>
      <c r="H6" s="680" t="s">
        <v>4899</v>
      </c>
      <c r="I6" s="680"/>
      <c r="J6" s="680"/>
    </row>
    <row r="7" spans="1:10" ht="45" customHeight="1" x14ac:dyDescent="0.45">
      <c r="A7" s="684" t="s">
        <v>4900</v>
      </c>
      <c r="B7" s="680" t="s">
        <v>557</v>
      </c>
      <c r="C7" s="680" t="s">
        <v>4894</v>
      </c>
      <c r="D7" s="680" t="s">
        <v>4901</v>
      </c>
      <c r="E7" s="680" t="s">
        <v>4902</v>
      </c>
      <c r="F7" s="680" t="s">
        <v>4903</v>
      </c>
      <c r="G7" s="684" t="s">
        <v>4904</v>
      </c>
      <c r="H7" s="680" t="s">
        <v>4905</v>
      </c>
      <c r="I7" s="680"/>
      <c r="J7" s="680"/>
    </row>
    <row r="8" spans="1:10" ht="45" customHeight="1" x14ac:dyDescent="0.45">
      <c r="A8" s="684" t="s">
        <v>4906</v>
      </c>
      <c r="B8" s="680" t="s">
        <v>557</v>
      </c>
      <c r="C8" s="680" t="s">
        <v>4894</v>
      </c>
      <c r="D8" s="680" t="s">
        <v>4907</v>
      </c>
      <c r="E8" s="680" t="s">
        <v>4908</v>
      </c>
      <c r="F8" s="680" t="s">
        <v>4909</v>
      </c>
      <c r="G8" s="684" t="s">
        <v>4910</v>
      </c>
      <c r="H8" s="680" t="s">
        <v>4911</v>
      </c>
      <c r="I8" s="680"/>
      <c r="J8" s="680"/>
    </row>
    <row r="9" spans="1:10" ht="45" customHeight="1" x14ac:dyDescent="0.45">
      <c r="A9" s="684" t="s">
        <v>4912</v>
      </c>
      <c r="B9" s="680" t="s">
        <v>557</v>
      </c>
      <c r="C9" s="680" t="s">
        <v>4913</v>
      </c>
      <c r="D9" s="680" t="s">
        <v>4914</v>
      </c>
      <c r="E9" s="680" t="s">
        <v>4915</v>
      </c>
      <c r="F9" s="680" t="s">
        <v>4916</v>
      </c>
      <c r="G9" s="684" t="s">
        <v>4910</v>
      </c>
      <c r="H9" s="680" t="s">
        <v>4917</v>
      </c>
      <c r="I9" s="680"/>
      <c r="J9" s="680"/>
    </row>
    <row r="10" spans="1:10" ht="45" customHeight="1" x14ac:dyDescent="0.45">
      <c r="A10" s="684" t="s">
        <v>4918</v>
      </c>
      <c r="B10" s="680" t="s">
        <v>557</v>
      </c>
      <c r="C10" s="680" t="s">
        <v>4913</v>
      </c>
      <c r="D10" s="680" t="s">
        <v>4919</v>
      </c>
      <c r="E10" s="680" t="s">
        <v>4920</v>
      </c>
      <c r="F10" s="680" t="s">
        <v>4921</v>
      </c>
      <c r="G10" s="684" t="s">
        <v>4910</v>
      </c>
      <c r="H10" s="680" t="s">
        <v>4922</v>
      </c>
      <c r="I10" s="680"/>
      <c r="J10" s="680"/>
    </row>
    <row r="11" spans="1:10" ht="45" customHeight="1" x14ac:dyDescent="0.45">
      <c r="A11" s="684" t="s">
        <v>4923</v>
      </c>
      <c r="B11" s="680" t="s">
        <v>557</v>
      </c>
      <c r="C11" s="680" t="s">
        <v>4913</v>
      </c>
      <c r="D11" s="680" t="s">
        <v>4924</v>
      </c>
      <c r="E11" s="680" t="s">
        <v>4925</v>
      </c>
      <c r="F11" s="680" t="s">
        <v>4926</v>
      </c>
      <c r="G11" s="684" t="s">
        <v>4910</v>
      </c>
      <c r="H11" s="680" t="s">
        <v>4927</v>
      </c>
      <c r="I11" s="680"/>
      <c r="J11" s="680"/>
    </row>
    <row r="12" spans="1:10" ht="45" customHeight="1" x14ac:dyDescent="0.45">
      <c r="A12" s="684" t="s">
        <v>4928</v>
      </c>
      <c r="B12" s="680" t="s">
        <v>557</v>
      </c>
      <c r="C12" s="680" t="s">
        <v>4929</v>
      </c>
      <c r="D12" s="680" t="s">
        <v>4930</v>
      </c>
      <c r="E12" s="680" t="s">
        <v>4931</v>
      </c>
      <c r="F12" s="680" t="s">
        <v>4932</v>
      </c>
      <c r="G12" s="684" t="s">
        <v>4898</v>
      </c>
      <c r="H12" s="680" t="s">
        <v>4933</v>
      </c>
      <c r="I12" s="680"/>
      <c r="J12" s="680"/>
    </row>
    <row r="13" spans="1:10" ht="45" customHeight="1" x14ac:dyDescent="0.45">
      <c r="A13" s="684" t="s">
        <v>4934</v>
      </c>
      <c r="B13" s="680" t="s">
        <v>557</v>
      </c>
      <c r="C13" s="680" t="s">
        <v>4929</v>
      </c>
      <c r="D13" s="680" t="s">
        <v>4935</v>
      </c>
      <c r="E13" s="680" t="s">
        <v>4936</v>
      </c>
      <c r="F13" s="680" t="s">
        <v>4937</v>
      </c>
      <c r="G13" s="684" t="s">
        <v>4898</v>
      </c>
      <c r="H13" s="680" t="s">
        <v>4938</v>
      </c>
      <c r="I13" s="680"/>
      <c r="J13" s="680"/>
    </row>
    <row r="14" spans="1:10" ht="45" customHeight="1" x14ac:dyDescent="0.45">
      <c r="A14" s="684" t="s">
        <v>4939</v>
      </c>
      <c r="B14" s="680" t="s">
        <v>557</v>
      </c>
      <c r="C14" s="680" t="s">
        <v>4929</v>
      </c>
      <c r="D14" s="680" t="s">
        <v>4940</v>
      </c>
      <c r="E14" s="680" t="s">
        <v>4941</v>
      </c>
      <c r="F14" s="680" t="s">
        <v>4942</v>
      </c>
      <c r="G14" s="684" t="s">
        <v>4943</v>
      </c>
      <c r="H14" s="680" t="s">
        <v>4944</v>
      </c>
      <c r="I14" s="680"/>
      <c r="J14" s="680"/>
    </row>
    <row r="15" spans="1:10" ht="45" customHeight="1" x14ac:dyDescent="0.45">
      <c r="A15" s="684" t="s">
        <v>4945</v>
      </c>
      <c r="B15" s="680" t="s">
        <v>382</v>
      </c>
      <c r="C15" s="680" t="s">
        <v>4946</v>
      </c>
      <c r="D15" s="680" t="s">
        <v>4947</v>
      </c>
      <c r="E15" s="680" t="s">
        <v>4948</v>
      </c>
      <c r="F15" s="680" t="s">
        <v>4949</v>
      </c>
      <c r="G15" s="684" t="s">
        <v>4950</v>
      </c>
      <c r="H15" s="680" t="s">
        <v>4951</v>
      </c>
      <c r="I15" s="680"/>
      <c r="J15" s="680"/>
    </row>
    <row r="16" spans="1:10" ht="45" customHeight="1" x14ac:dyDescent="0.45">
      <c r="A16" s="684" t="s">
        <v>4952</v>
      </c>
      <c r="B16" s="680" t="s">
        <v>382</v>
      </c>
      <c r="C16" s="680" t="s">
        <v>4946</v>
      </c>
      <c r="D16" s="680" t="s">
        <v>4953</v>
      </c>
      <c r="E16" s="680" t="s">
        <v>4954</v>
      </c>
      <c r="F16" s="680" t="s">
        <v>4955</v>
      </c>
      <c r="G16" s="684" t="s">
        <v>4956</v>
      </c>
      <c r="H16" s="680" t="s">
        <v>4957</v>
      </c>
      <c r="I16" s="680"/>
      <c r="J16" s="680"/>
    </row>
    <row r="17" spans="1:10" ht="45" customHeight="1" x14ac:dyDescent="0.45">
      <c r="A17" s="684" t="s">
        <v>4958</v>
      </c>
      <c r="B17" s="680" t="s">
        <v>2914</v>
      </c>
      <c r="C17" s="680" t="s">
        <v>4959</v>
      </c>
      <c r="D17" s="680" t="s">
        <v>4960</v>
      </c>
      <c r="E17" s="680" t="s">
        <v>4961</v>
      </c>
      <c r="F17" s="680" t="s">
        <v>4962</v>
      </c>
      <c r="G17" s="684" t="s">
        <v>4898</v>
      </c>
      <c r="H17" s="680" t="s">
        <v>4963</v>
      </c>
      <c r="I17" s="680"/>
      <c r="J17" s="680"/>
    </row>
    <row r="18" spans="1:10" ht="45" customHeight="1" x14ac:dyDescent="0.45">
      <c r="A18" s="684" t="s">
        <v>4964</v>
      </c>
      <c r="B18" s="680" t="s">
        <v>785</v>
      </c>
      <c r="C18" s="680" t="s">
        <v>4965</v>
      </c>
      <c r="D18" s="680" t="s">
        <v>4966</v>
      </c>
      <c r="E18" s="680" t="s">
        <v>4967</v>
      </c>
      <c r="F18" s="680" t="s">
        <v>4968</v>
      </c>
      <c r="G18" s="684" t="s">
        <v>4969</v>
      </c>
      <c r="H18" s="680" t="s">
        <v>4970</v>
      </c>
      <c r="I18" s="680"/>
      <c r="J18" s="680"/>
    </row>
    <row r="19" spans="1:10" ht="45" customHeight="1" x14ac:dyDescent="0.45">
      <c r="A19" s="684" t="s">
        <v>4971</v>
      </c>
      <c r="B19" s="680" t="s">
        <v>586</v>
      </c>
      <c r="C19" s="680" t="s">
        <v>4972</v>
      </c>
      <c r="D19" s="680" t="s">
        <v>4973</v>
      </c>
      <c r="E19" s="680" t="s">
        <v>4974</v>
      </c>
      <c r="F19" s="680" t="s">
        <v>4975</v>
      </c>
      <c r="G19" s="684" t="s">
        <v>4950</v>
      </c>
      <c r="H19" s="680" t="s">
        <v>4976</v>
      </c>
      <c r="I19" s="680"/>
      <c r="J19" s="680"/>
    </row>
    <row r="20" spans="1:10" ht="45" customHeight="1" x14ac:dyDescent="0.45">
      <c r="A20" s="684" t="s">
        <v>4977</v>
      </c>
      <c r="B20" s="680" t="s">
        <v>930</v>
      </c>
      <c r="C20" s="680" t="s">
        <v>4978</v>
      </c>
      <c r="D20" s="680" t="s">
        <v>4979</v>
      </c>
      <c r="E20" s="680" t="s">
        <v>4980</v>
      </c>
      <c r="F20" s="680" t="s">
        <v>4981</v>
      </c>
      <c r="G20" s="684" t="s">
        <v>4898</v>
      </c>
      <c r="H20" s="680" t="s">
        <v>4982</v>
      </c>
      <c r="I20" s="680"/>
      <c r="J20" s="680"/>
    </row>
    <row r="21" spans="1:10" x14ac:dyDescent="0.45">
      <c r="A21" s="680"/>
      <c r="B21" s="680"/>
      <c r="C21" s="680"/>
      <c r="D21" s="680"/>
      <c r="E21" s="680"/>
      <c r="F21" s="680"/>
      <c r="G21" s="680"/>
      <c r="H21" s="680"/>
      <c r="I21" s="680"/>
      <c r="J21" s="680"/>
    </row>
    <row r="22" spans="1:10" ht="15.75" x14ac:dyDescent="0.45">
      <c r="A22" s="685" t="s">
        <v>4983</v>
      </c>
      <c r="B22" s="685"/>
      <c r="C22" s="685"/>
      <c r="D22" s="685"/>
      <c r="E22" s="685"/>
      <c r="F22" s="685"/>
      <c r="G22" s="685"/>
      <c r="H22" s="685"/>
      <c r="I22" s="680"/>
      <c r="J22" s="680"/>
    </row>
    <row r="23" spans="1:10" x14ac:dyDescent="0.45">
      <c r="A23" s="686" t="s">
        <v>4984</v>
      </c>
      <c r="B23" s="687" t="s">
        <v>4985</v>
      </c>
      <c r="C23" s="687" t="s">
        <v>4986</v>
      </c>
      <c r="D23" s="687" t="s">
        <v>4987</v>
      </c>
      <c r="E23" s="686" t="s">
        <v>4988</v>
      </c>
      <c r="F23" s="687" t="s">
        <v>4989</v>
      </c>
      <c r="G23" s="686" t="s">
        <v>4990</v>
      </c>
      <c r="H23" s="687" t="s">
        <v>4991</v>
      </c>
      <c r="I23" s="680"/>
      <c r="J23" s="680"/>
    </row>
    <row r="24" spans="1:10" ht="42" customHeight="1" x14ac:dyDescent="0.45">
      <c r="A24" s="684" t="s">
        <v>4992</v>
      </c>
      <c r="B24" s="680" t="s">
        <v>4993</v>
      </c>
      <c r="C24" s="680" t="s">
        <v>4994</v>
      </c>
      <c r="D24" s="680" t="s">
        <v>3574</v>
      </c>
      <c r="E24" s="684" t="s">
        <v>4141</v>
      </c>
      <c r="F24" s="680" t="s">
        <v>4995</v>
      </c>
      <c r="G24" s="684" t="s">
        <v>3544</v>
      </c>
      <c r="H24" s="680" t="s">
        <v>4996</v>
      </c>
      <c r="I24" s="680"/>
      <c r="J24" s="680"/>
    </row>
    <row r="25" spans="1:10" ht="42" customHeight="1" x14ac:dyDescent="0.45">
      <c r="A25" s="684" t="s">
        <v>4997</v>
      </c>
      <c r="B25" s="680" t="s">
        <v>4998</v>
      </c>
      <c r="C25" s="680" t="s">
        <v>4999</v>
      </c>
      <c r="D25" s="680" t="s">
        <v>3574</v>
      </c>
      <c r="E25" s="684" t="s">
        <v>4141</v>
      </c>
      <c r="F25" s="680" t="s">
        <v>5000</v>
      </c>
      <c r="G25" s="684" t="s">
        <v>3572</v>
      </c>
      <c r="H25" s="680" t="s">
        <v>5001</v>
      </c>
      <c r="I25" s="680"/>
      <c r="J25" s="680"/>
    </row>
    <row r="26" spans="1:10" ht="42" customHeight="1" x14ac:dyDescent="0.45">
      <c r="A26" s="684" t="s">
        <v>5002</v>
      </c>
      <c r="B26" s="680" t="s">
        <v>5003</v>
      </c>
      <c r="C26" s="680" t="s">
        <v>5004</v>
      </c>
      <c r="D26" s="680" t="s">
        <v>3020</v>
      </c>
      <c r="E26" s="684" t="s">
        <v>4161</v>
      </c>
      <c r="F26" s="680" t="s">
        <v>5005</v>
      </c>
      <c r="G26" s="684" t="s">
        <v>3544</v>
      </c>
      <c r="H26" s="680" t="s">
        <v>5001</v>
      </c>
      <c r="I26" s="680"/>
      <c r="J26" s="680"/>
    </row>
    <row r="27" spans="1:10" ht="42" customHeight="1" x14ac:dyDescent="0.45">
      <c r="A27" s="684" t="s">
        <v>5006</v>
      </c>
      <c r="B27" s="680" t="s">
        <v>5007</v>
      </c>
      <c r="C27" s="680" t="s">
        <v>5008</v>
      </c>
      <c r="D27" s="680" t="s">
        <v>3021</v>
      </c>
      <c r="E27" s="684" t="s">
        <v>4141</v>
      </c>
      <c r="F27" s="680" t="s">
        <v>5009</v>
      </c>
      <c r="G27" s="684" t="s">
        <v>3553</v>
      </c>
      <c r="H27" s="680" t="s">
        <v>5010</v>
      </c>
      <c r="I27" s="680"/>
      <c r="J27" s="680"/>
    </row>
    <row r="28" spans="1:10" ht="42" customHeight="1" x14ac:dyDescent="0.45">
      <c r="A28" s="684" t="s">
        <v>5011</v>
      </c>
      <c r="B28" s="680" t="s">
        <v>5012</v>
      </c>
      <c r="C28" s="680" t="s">
        <v>5013</v>
      </c>
      <c r="D28" s="680" t="s">
        <v>3023</v>
      </c>
      <c r="E28" s="684" t="s">
        <v>4141</v>
      </c>
      <c r="F28" s="680" t="s">
        <v>5014</v>
      </c>
      <c r="G28" s="684" t="s">
        <v>3553</v>
      </c>
      <c r="H28" s="680" t="s">
        <v>5010</v>
      </c>
      <c r="I28" s="680"/>
      <c r="J28" s="680"/>
    </row>
    <row r="29" spans="1:10" ht="42" customHeight="1" x14ac:dyDescent="0.45">
      <c r="A29" s="684" t="s">
        <v>5015</v>
      </c>
      <c r="B29" s="680" t="s">
        <v>5016</v>
      </c>
      <c r="C29" s="680" t="s">
        <v>5017</v>
      </c>
      <c r="D29" s="680" t="s">
        <v>3021</v>
      </c>
      <c r="E29" s="684" t="s">
        <v>4141</v>
      </c>
      <c r="F29" s="680" t="s">
        <v>5018</v>
      </c>
      <c r="G29" s="684" t="s">
        <v>3563</v>
      </c>
      <c r="H29" s="680" t="s">
        <v>5010</v>
      </c>
      <c r="I29" s="680"/>
      <c r="J29" s="680"/>
    </row>
    <row r="30" spans="1:10" ht="42" customHeight="1" x14ac:dyDescent="0.45">
      <c r="A30" s="684" t="s">
        <v>5019</v>
      </c>
      <c r="B30" s="680" t="s">
        <v>5020</v>
      </c>
      <c r="C30" s="680" t="s">
        <v>5021</v>
      </c>
      <c r="D30" s="680" t="s">
        <v>5022</v>
      </c>
      <c r="E30" s="684" t="s">
        <v>4141</v>
      </c>
      <c r="F30" s="680" t="s">
        <v>5023</v>
      </c>
      <c r="G30" s="684" t="s">
        <v>3544</v>
      </c>
      <c r="H30" s="680" t="s">
        <v>5001</v>
      </c>
      <c r="I30" s="680"/>
      <c r="J30" s="680"/>
    </row>
    <row r="31" spans="1:10" ht="42" customHeight="1" x14ac:dyDescent="0.45">
      <c r="A31" s="684" t="s">
        <v>5024</v>
      </c>
      <c r="B31" s="680" t="s">
        <v>5025</v>
      </c>
      <c r="C31" s="680" t="s">
        <v>5026</v>
      </c>
      <c r="D31" s="680" t="s">
        <v>3790</v>
      </c>
      <c r="E31" s="684" t="s">
        <v>4161</v>
      </c>
      <c r="F31" s="680" t="s">
        <v>5027</v>
      </c>
      <c r="G31" s="684" t="s">
        <v>3544</v>
      </c>
      <c r="H31" s="680" t="s">
        <v>5028</v>
      </c>
      <c r="I31" s="680"/>
      <c r="J31" s="680"/>
    </row>
    <row r="32" spans="1:10" ht="42" customHeight="1" x14ac:dyDescent="0.45">
      <c r="A32" s="684" t="s">
        <v>5029</v>
      </c>
      <c r="B32" s="680" t="s">
        <v>5030</v>
      </c>
      <c r="C32" s="680" t="s">
        <v>5031</v>
      </c>
      <c r="D32" s="680" t="s">
        <v>3574</v>
      </c>
      <c r="E32" s="684" t="s">
        <v>4161</v>
      </c>
      <c r="F32" s="680" t="s">
        <v>5032</v>
      </c>
      <c r="G32" s="684" t="s">
        <v>3544</v>
      </c>
      <c r="H32" s="680" t="s">
        <v>5010</v>
      </c>
      <c r="I32" s="680"/>
      <c r="J32" s="680"/>
    </row>
    <row r="33" spans="1:10" ht="42" customHeight="1" x14ac:dyDescent="0.45">
      <c r="A33" s="684" t="s">
        <v>5033</v>
      </c>
      <c r="B33" s="680" t="s">
        <v>5034</v>
      </c>
      <c r="C33" s="680" t="s">
        <v>5035</v>
      </c>
      <c r="D33" s="680" t="s">
        <v>3025</v>
      </c>
      <c r="E33" s="684" t="s">
        <v>4141</v>
      </c>
      <c r="F33" s="680" t="s">
        <v>5036</v>
      </c>
      <c r="G33" s="684" t="s">
        <v>3563</v>
      </c>
      <c r="H33" s="680" t="s">
        <v>5001</v>
      </c>
      <c r="I33" s="680"/>
      <c r="J33" s="680"/>
    </row>
    <row r="34" spans="1:10" ht="42" customHeight="1" x14ac:dyDescent="0.45">
      <c r="A34" s="684" t="s">
        <v>5037</v>
      </c>
      <c r="B34" s="680" t="s">
        <v>5038</v>
      </c>
      <c r="C34" s="680" t="s">
        <v>5039</v>
      </c>
      <c r="D34" s="680" t="s">
        <v>3574</v>
      </c>
      <c r="E34" s="684" t="s">
        <v>4161</v>
      </c>
      <c r="F34" s="680" t="s">
        <v>5040</v>
      </c>
      <c r="G34" s="684" t="s">
        <v>3563</v>
      </c>
      <c r="H34" s="680" t="s">
        <v>4996</v>
      </c>
      <c r="I34" s="680"/>
      <c r="J34" s="680"/>
    </row>
    <row r="35" spans="1:10" ht="42" customHeight="1" x14ac:dyDescent="0.45">
      <c r="A35" s="684" t="s">
        <v>5041</v>
      </c>
      <c r="B35" s="680" t="s">
        <v>5042</v>
      </c>
      <c r="C35" s="680" t="s">
        <v>5043</v>
      </c>
      <c r="D35" s="680" t="s">
        <v>3790</v>
      </c>
      <c r="E35" s="684" t="s">
        <v>4141</v>
      </c>
      <c r="F35" s="680" t="s">
        <v>5044</v>
      </c>
      <c r="G35" s="684" t="s">
        <v>3553</v>
      </c>
      <c r="H35" s="680" t="s">
        <v>5010</v>
      </c>
      <c r="I35" s="680"/>
      <c r="J35" s="680"/>
    </row>
    <row r="36" spans="1:10" ht="42" customHeight="1" x14ac:dyDescent="0.45">
      <c r="A36" s="684" t="s">
        <v>5045</v>
      </c>
      <c r="B36" s="680" t="s">
        <v>5046</v>
      </c>
      <c r="C36" s="680" t="s">
        <v>5047</v>
      </c>
      <c r="D36" s="680" t="s">
        <v>5048</v>
      </c>
      <c r="E36" s="684" t="s">
        <v>4141</v>
      </c>
      <c r="F36" s="680" t="s">
        <v>5049</v>
      </c>
      <c r="G36" s="684" t="s">
        <v>310</v>
      </c>
      <c r="H36" s="680" t="s">
        <v>4996</v>
      </c>
      <c r="I36" s="680"/>
      <c r="J36" s="680"/>
    </row>
    <row r="37" spans="1:10" ht="42" customHeight="1" x14ac:dyDescent="0.45">
      <c r="A37" s="684" t="s">
        <v>5050</v>
      </c>
      <c r="B37" s="680" t="s">
        <v>5051</v>
      </c>
      <c r="C37" s="680" t="s">
        <v>5052</v>
      </c>
      <c r="D37" s="680" t="s">
        <v>5053</v>
      </c>
      <c r="E37" s="684" t="s">
        <v>4161</v>
      </c>
      <c r="F37" s="680" t="s">
        <v>5054</v>
      </c>
      <c r="G37" s="684" t="s">
        <v>310</v>
      </c>
      <c r="H37" s="680" t="s">
        <v>5010</v>
      </c>
      <c r="I37" s="680"/>
      <c r="J37" s="680"/>
    </row>
    <row r="38" spans="1:10" ht="42" customHeight="1" x14ac:dyDescent="0.45">
      <c r="A38" s="684" t="s">
        <v>5055</v>
      </c>
      <c r="B38" s="680" t="s">
        <v>5056</v>
      </c>
      <c r="C38" s="680" t="s">
        <v>5057</v>
      </c>
      <c r="D38" s="680" t="s">
        <v>3028</v>
      </c>
      <c r="E38" s="684" t="s">
        <v>4161</v>
      </c>
      <c r="F38" s="680" t="s">
        <v>5058</v>
      </c>
      <c r="G38" s="684" t="s">
        <v>310</v>
      </c>
      <c r="H38" s="680" t="s">
        <v>5028</v>
      </c>
      <c r="I38" s="680"/>
      <c r="J38" s="680"/>
    </row>
    <row r="39" spans="1:10" x14ac:dyDescent="0.45">
      <c r="A39" s="680"/>
      <c r="B39" s="680"/>
      <c r="C39" s="680"/>
      <c r="D39" s="680"/>
      <c r="E39" s="680"/>
      <c r="F39" s="680"/>
      <c r="G39" s="680"/>
      <c r="H39" s="680"/>
      <c r="I39" s="680"/>
      <c r="J39" s="680"/>
    </row>
    <row r="40" spans="1:10" ht="15.75" x14ac:dyDescent="0.45">
      <c r="A40" s="685" t="s">
        <v>5059</v>
      </c>
      <c r="B40" s="685"/>
      <c r="C40" s="685"/>
      <c r="D40" s="685"/>
      <c r="E40" s="685"/>
      <c r="F40" s="685"/>
      <c r="G40" s="685"/>
      <c r="H40" s="680"/>
      <c r="I40" s="680"/>
      <c r="J40" s="680"/>
    </row>
    <row r="41" spans="1:10" x14ac:dyDescent="0.45">
      <c r="A41" s="686" t="s">
        <v>5060</v>
      </c>
      <c r="B41" s="687" t="s">
        <v>5061</v>
      </c>
      <c r="C41" s="687" t="s">
        <v>5062</v>
      </c>
      <c r="D41" s="687" t="s">
        <v>5063</v>
      </c>
      <c r="E41" s="686" t="s">
        <v>5064</v>
      </c>
      <c r="F41" s="687" t="s">
        <v>5065</v>
      </c>
      <c r="G41" s="686" t="s">
        <v>5066</v>
      </c>
      <c r="H41" s="680"/>
      <c r="I41" s="680"/>
      <c r="J41" s="680"/>
    </row>
    <row r="42" spans="1:10" ht="55.05" customHeight="1" x14ac:dyDescent="0.45">
      <c r="A42" s="688" t="s">
        <v>5067</v>
      </c>
      <c r="B42" s="680" t="s">
        <v>5068</v>
      </c>
      <c r="C42" s="680" t="s">
        <v>5069</v>
      </c>
      <c r="D42" s="680" t="s">
        <v>5070</v>
      </c>
      <c r="E42" s="680" t="s">
        <v>5071</v>
      </c>
      <c r="F42" s="680" t="s">
        <v>5072</v>
      </c>
      <c r="G42" s="680" t="s">
        <v>5073</v>
      </c>
      <c r="H42" s="680"/>
      <c r="I42" s="680"/>
      <c r="J42" s="680"/>
    </row>
    <row r="43" spans="1:10" ht="55.05" customHeight="1" x14ac:dyDescent="0.45">
      <c r="A43" s="689" t="s">
        <v>5074</v>
      </c>
      <c r="B43" s="680" t="s">
        <v>5075</v>
      </c>
      <c r="C43" s="680" t="s">
        <v>5076</v>
      </c>
      <c r="D43" s="680" t="s">
        <v>5077</v>
      </c>
      <c r="E43" s="680" t="s">
        <v>5078</v>
      </c>
      <c r="F43" s="680" t="s">
        <v>5079</v>
      </c>
      <c r="G43" s="680" t="s">
        <v>5080</v>
      </c>
      <c r="H43" s="680"/>
      <c r="I43" s="680"/>
      <c r="J43" s="680"/>
    </row>
    <row r="44" spans="1:10" ht="55.05" customHeight="1" x14ac:dyDescent="0.45">
      <c r="A44" s="690" t="s">
        <v>5081</v>
      </c>
      <c r="B44" s="680" t="s">
        <v>5082</v>
      </c>
      <c r="C44" s="680" t="s">
        <v>5083</v>
      </c>
      <c r="D44" s="680" t="s">
        <v>5084</v>
      </c>
      <c r="E44" s="680" t="s">
        <v>5085</v>
      </c>
      <c r="F44" s="680" t="s">
        <v>5086</v>
      </c>
      <c r="G44" s="680" t="s">
        <v>5087</v>
      </c>
      <c r="H44" s="680"/>
      <c r="I44" s="680"/>
      <c r="J44" s="680"/>
    </row>
    <row r="45" spans="1:10" ht="55.05" customHeight="1" x14ac:dyDescent="0.45">
      <c r="A45" s="691" t="s">
        <v>5088</v>
      </c>
      <c r="B45" s="680" t="s">
        <v>5089</v>
      </c>
      <c r="C45" s="680" t="s">
        <v>5090</v>
      </c>
      <c r="D45" s="680" t="s">
        <v>5091</v>
      </c>
      <c r="E45" s="680" t="s">
        <v>5092</v>
      </c>
      <c r="F45" s="680" t="s">
        <v>5093</v>
      </c>
      <c r="G45" s="680" t="s">
        <v>5094</v>
      </c>
      <c r="H45" s="680"/>
      <c r="I45" s="680"/>
      <c r="J45" s="680"/>
    </row>
    <row r="46" spans="1:10" ht="55.05" customHeight="1" x14ac:dyDescent="0.45">
      <c r="A46" s="692" t="s">
        <v>5095</v>
      </c>
      <c r="B46" s="680" t="s">
        <v>5096</v>
      </c>
      <c r="C46" s="680" t="s">
        <v>5097</v>
      </c>
      <c r="D46" s="680" t="s">
        <v>5098</v>
      </c>
      <c r="E46" s="680" t="s">
        <v>5099</v>
      </c>
      <c r="F46" s="680" t="s">
        <v>5100</v>
      </c>
      <c r="G46" s="680" t="s">
        <v>5101</v>
      </c>
      <c r="H46" s="680"/>
      <c r="I46" s="680"/>
      <c r="J46" s="680"/>
    </row>
    <row r="47" spans="1:10" x14ac:dyDescent="0.45">
      <c r="A47" s="680"/>
      <c r="B47" s="680"/>
      <c r="C47" s="680"/>
      <c r="D47" s="680"/>
      <c r="E47" s="680"/>
      <c r="F47" s="680"/>
      <c r="G47" s="680"/>
      <c r="H47" s="680"/>
      <c r="I47" s="680"/>
      <c r="J47" s="680"/>
    </row>
    <row r="48" spans="1:10" ht="15.75" x14ac:dyDescent="0.45">
      <c r="A48" s="681" t="s">
        <v>5102</v>
      </c>
      <c r="B48" s="681"/>
      <c r="C48" s="681"/>
      <c r="D48" s="681"/>
      <c r="E48" s="681"/>
      <c r="F48" s="681"/>
      <c r="G48" s="681"/>
      <c r="H48" s="681"/>
      <c r="I48" s="680"/>
      <c r="J48" s="680"/>
    </row>
    <row r="49" spans="1:10" x14ac:dyDescent="0.45">
      <c r="A49" s="686" t="s">
        <v>5103</v>
      </c>
      <c r="B49" s="687" t="s">
        <v>5104</v>
      </c>
      <c r="C49" s="686" t="s">
        <v>5060</v>
      </c>
      <c r="D49" s="687" t="s">
        <v>5105</v>
      </c>
      <c r="E49" s="686" t="s">
        <v>5106</v>
      </c>
      <c r="F49" s="687" t="s">
        <v>5107</v>
      </c>
      <c r="G49" s="686" t="s">
        <v>5108</v>
      </c>
      <c r="H49" s="687" t="s">
        <v>5109</v>
      </c>
      <c r="I49" s="680"/>
      <c r="J49" s="680"/>
    </row>
    <row r="50" spans="1:10" ht="35" customHeight="1" x14ac:dyDescent="0.45">
      <c r="A50" s="684" t="s">
        <v>5110</v>
      </c>
      <c r="B50" s="680" t="s">
        <v>5111</v>
      </c>
      <c r="C50" s="684" t="s">
        <v>5112</v>
      </c>
      <c r="D50" s="680" t="s">
        <v>5113</v>
      </c>
      <c r="E50" s="684" t="s">
        <v>5114</v>
      </c>
      <c r="F50" s="680" t="s">
        <v>5115</v>
      </c>
      <c r="G50" s="684" t="s">
        <v>263</v>
      </c>
      <c r="H50" s="680" t="s">
        <v>5116</v>
      </c>
      <c r="I50" s="680"/>
      <c r="J50" s="680"/>
    </row>
    <row r="51" spans="1:10" ht="35" customHeight="1" x14ac:dyDescent="0.45">
      <c r="A51" s="684" t="s">
        <v>5117</v>
      </c>
      <c r="B51" s="680" t="s">
        <v>5118</v>
      </c>
      <c r="C51" s="684" t="s">
        <v>5112</v>
      </c>
      <c r="D51" s="680" t="s">
        <v>5119</v>
      </c>
      <c r="E51" s="684" t="s">
        <v>5114</v>
      </c>
      <c r="F51" s="680" t="s">
        <v>5120</v>
      </c>
      <c r="G51" s="684" t="s">
        <v>263</v>
      </c>
      <c r="H51" s="680" t="s">
        <v>5121</v>
      </c>
      <c r="I51" s="680"/>
      <c r="J51" s="680"/>
    </row>
    <row r="52" spans="1:10" ht="35" customHeight="1" x14ac:dyDescent="0.45">
      <c r="A52" s="684" t="s">
        <v>5122</v>
      </c>
      <c r="B52" s="680" t="s">
        <v>5123</v>
      </c>
      <c r="C52" s="684" t="s">
        <v>5112</v>
      </c>
      <c r="D52" s="680" t="s">
        <v>5124</v>
      </c>
      <c r="E52" s="684" t="s">
        <v>5114</v>
      </c>
      <c r="F52" s="680" t="s">
        <v>5125</v>
      </c>
      <c r="G52" s="684" t="s">
        <v>263</v>
      </c>
      <c r="H52" s="680" t="s">
        <v>5126</v>
      </c>
      <c r="I52" s="680"/>
      <c r="J52" s="680"/>
    </row>
    <row r="53" spans="1:10" ht="35" customHeight="1" x14ac:dyDescent="0.45">
      <c r="A53" s="684" t="s">
        <v>5127</v>
      </c>
      <c r="B53" s="680" t="s">
        <v>5128</v>
      </c>
      <c r="C53" s="684" t="s">
        <v>5112</v>
      </c>
      <c r="D53" s="680" t="s">
        <v>5129</v>
      </c>
      <c r="E53" s="684" t="s">
        <v>5114</v>
      </c>
      <c r="F53" s="680" t="s">
        <v>5130</v>
      </c>
      <c r="G53" s="684" t="s">
        <v>263</v>
      </c>
      <c r="H53" s="680" t="s">
        <v>5131</v>
      </c>
      <c r="I53" s="680"/>
      <c r="J53" s="680"/>
    </row>
    <row r="54" spans="1:10" ht="35" customHeight="1" x14ac:dyDescent="0.45">
      <c r="A54" s="684" t="s">
        <v>5132</v>
      </c>
      <c r="B54" s="680" t="s">
        <v>5133</v>
      </c>
      <c r="C54" s="684" t="s">
        <v>5134</v>
      </c>
      <c r="D54" s="680" t="s">
        <v>5135</v>
      </c>
      <c r="E54" s="684" t="s">
        <v>5136</v>
      </c>
      <c r="F54" s="680" t="s">
        <v>3551</v>
      </c>
      <c r="G54" s="684" t="s">
        <v>263</v>
      </c>
      <c r="H54" s="680" t="s">
        <v>5137</v>
      </c>
      <c r="I54" s="680"/>
      <c r="J54" s="680"/>
    </row>
    <row r="55" spans="1:10" ht="35" customHeight="1" x14ac:dyDescent="0.45">
      <c r="A55" s="684" t="s">
        <v>5138</v>
      </c>
      <c r="B55" s="680" t="s">
        <v>5139</v>
      </c>
      <c r="C55" s="684" t="s">
        <v>5134</v>
      </c>
      <c r="D55" s="680" t="s">
        <v>5140</v>
      </c>
      <c r="E55" s="684" t="s">
        <v>5136</v>
      </c>
      <c r="F55" s="680" t="s">
        <v>5141</v>
      </c>
      <c r="G55" s="684" t="s">
        <v>263</v>
      </c>
      <c r="H55" s="680" t="s">
        <v>5142</v>
      </c>
      <c r="I55" s="680"/>
      <c r="J55" s="680"/>
    </row>
    <row r="56" spans="1:10" ht="35" customHeight="1" x14ac:dyDescent="0.45">
      <c r="A56" s="684" t="s">
        <v>5143</v>
      </c>
      <c r="B56" s="680" t="s">
        <v>5144</v>
      </c>
      <c r="C56" s="684" t="s">
        <v>5134</v>
      </c>
      <c r="D56" s="680" t="s">
        <v>5145</v>
      </c>
      <c r="E56" s="684" t="s">
        <v>5136</v>
      </c>
      <c r="F56" s="680" t="s">
        <v>5146</v>
      </c>
      <c r="G56" s="684" t="s">
        <v>263</v>
      </c>
      <c r="H56" s="680" t="s">
        <v>5147</v>
      </c>
      <c r="I56" s="680"/>
      <c r="J56" s="680"/>
    </row>
    <row r="57" spans="1:10" ht="35" customHeight="1" x14ac:dyDescent="0.45">
      <c r="A57" s="684" t="s">
        <v>5148</v>
      </c>
      <c r="B57" s="680" t="s">
        <v>5149</v>
      </c>
      <c r="C57" s="684" t="s">
        <v>5134</v>
      </c>
      <c r="D57" s="680" t="s">
        <v>5150</v>
      </c>
      <c r="E57" s="684" t="s">
        <v>5136</v>
      </c>
      <c r="F57" s="680" t="s">
        <v>5151</v>
      </c>
      <c r="G57" s="684" t="s">
        <v>263</v>
      </c>
      <c r="H57" s="680" t="s">
        <v>5152</v>
      </c>
      <c r="I57" s="680"/>
      <c r="J57" s="680"/>
    </row>
    <row r="58" spans="1:10" ht="35" customHeight="1" x14ac:dyDescent="0.45">
      <c r="A58" s="684" t="s">
        <v>5153</v>
      </c>
      <c r="B58" s="680" t="s">
        <v>5154</v>
      </c>
      <c r="C58" s="684" t="s">
        <v>5134</v>
      </c>
      <c r="D58" s="680" t="s">
        <v>5155</v>
      </c>
      <c r="E58" s="684" t="s">
        <v>5136</v>
      </c>
      <c r="F58" s="680" t="s">
        <v>5156</v>
      </c>
      <c r="G58" s="684" t="s">
        <v>263</v>
      </c>
      <c r="H58" s="680" t="s">
        <v>5157</v>
      </c>
      <c r="I58" s="680"/>
      <c r="J58" s="680"/>
    </row>
    <row r="59" spans="1:10" ht="35" customHeight="1" x14ac:dyDescent="0.45">
      <c r="A59" s="684" t="s">
        <v>5158</v>
      </c>
      <c r="B59" s="680" t="s">
        <v>5159</v>
      </c>
      <c r="C59" s="684" t="s">
        <v>5160</v>
      </c>
      <c r="D59" s="680" t="s">
        <v>5161</v>
      </c>
      <c r="E59" s="684" t="s">
        <v>5136</v>
      </c>
      <c r="F59" s="680" t="s">
        <v>5146</v>
      </c>
      <c r="G59" s="684" t="s">
        <v>5162</v>
      </c>
      <c r="H59" s="680" t="s">
        <v>5163</v>
      </c>
      <c r="I59" s="680"/>
      <c r="J59" s="680"/>
    </row>
    <row r="60" spans="1:10" ht="35" customHeight="1" x14ac:dyDescent="0.45">
      <c r="A60" s="684" t="s">
        <v>5164</v>
      </c>
      <c r="B60" s="680" t="s">
        <v>5165</v>
      </c>
      <c r="C60" s="684" t="s">
        <v>5160</v>
      </c>
      <c r="D60" s="680" t="s">
        <v>5166</v>
      </c>
      <c r="E60" s="684" t="s">
        <v>5167</v>
      </c>
      <c r="F60" s="680" t="s">
        <v>3551</v>
      </c>
      <c r="G60" s="684" t="s">
        <v>263</v>
      </c>
      <c r="H60" s="680" t="s">
        <v>5168</v>
      </c>
      <c r="I60" s="680"/>
      <c r="J60" s="680"/>
    </row>
    <row r="61" spans="1:10" ht="35" customHeight="1" x14ac:dyDescent="0.45">
      <c r="A61" s="684" t="s">
        <v>5169</v>
      </c>
      <c r="B61" s="680" t="s">
        <v>5170</v>
      </c>
      <c r="C61" s="684" t="s">
        <v>5160</v>
      </c>
      <c r="D61" s="680" t="s">
        <v>5171</v>
      </c>
      <c r="E61" s="684" t="s">
        <v>5136</v>
      </c>
      <c r="F61" s="680" t="s">
        <v>5172</v>
      </c>
      <c r="G61" s="684" t="s">
        <v>3581</v>
      </c>
      <c r="H61" s="680" t="s">
        <v>5173</v>
      </c>
      <c r="I61" s="680"/>
      <c r="J61" s="680"/>
    </row>
    <row r="62" spans="1:10" ht="35" customHeight="1" x14ac:dyDescent="0.45">
      <c r="A62" s="684" t="s">
        <v>5174</v>
      </c>
      <c r="B62" s="680" t="s">
        <v>5175</v>
      </c>
      <c r="C62" s="684" t="s">
        <v>5160</v>
      </c>
      <c r="D62" s="680" t="s">
        <v>5176</v>
      </c>
      <c r="E62" s="684" t="s">
        <v>5167</v>
      </c>
      <c r="F62" s="680" t="s">
        <v>3569</v>
      </c>
      <c r="G62" s="684" t="s">
        <v>263</v>
      </c>
      <c r="H62" s="680" t="s">
        <v>5177</v>
      </c>
      <c r="I62" s="680"/>
      <c r="J62" s="680"/>
    </row>
    <row r="63" spans="1:10" ht="35" customHeight="1" x14ac:dyDescent="0.45">
      <c r="A63" s="684" t="s">
        <v>5178</v>
      </c>
      <c r="B63" s="680" t="s">
        <v>5179</v>
      </c>
      <c r="C63" s="684" t="s">
        <v>5160</v>
      </c>
      <c r="D63" s="680" t="s">
        <v>5180</v>
      </c>
      <c r="E63" s="684" t="s">
        <v>5136</v>
      </c>
      <c r="F63" s="680" t="s">
        <v>5181</v>
      </c>
      <c r="G63" s="684" t="s">
        <v>263</v>
      </c>
      <c r="H63" s="680" t="s">
        <v>5182</v>
      </c>
      <c r="I63" s="680"/>
      <c r="J63" s="680"/>
    </row>
    <row r="64" spans="1:10" ht="35" customHeight="1" x14ac:dyDescent="0.45">
      <c r="A64" s="684" t="s">
        <v>5183</v>
      </c>
      <c r="B64" s="680" t="s">
        <v>5184</v>
      </c>
      <c r="C64" s="684" t="s">
        <v>5185</v>
      </c>
      <c r="D64" s="680" t="s">
        <v>5186</v>
      </c>
      <c r="E64" s="684" t="s">
        <v>5136</v>
      </c>
      <c r="F64" s="680" t="s">
        <v>5187</v>
      </c>
      <c r="G64" s="684" t="s">
        <v>263</v>
      </c>
      <c r="H64" s="680" t="s">
        <v>5188</v>
      </c>
      <c r="I64" s="680"/>
      <c r="J64" s="680"/>
    </row>
    <row r="65" spans="1:10" ht="35" customHeight="1" x14ac:dyDescent="0.45">
      <c r="A65" s="684" t="s">
        <v>5189</v>
      </c>
      <c r="B65" s="680" t="s">
        <v>5190</v>
      </c>
      <c r="C65" s="684" t="s">
        <v>5185</v>
      </c>
      <c r="D65" s="680" t="s">
        <v>5191</v>
      </c>
      <c r="E65" s="684" t="s">
        <v>5114</v>
      </c>
      <c r="F65" s="680" t="s">
        <v>5192</v>
      </c>
      <c r="G65" s="684" t="s">
        <v>263</v>
      </c>
      <c r="H65" s="680" t="s">
        <v>5193</v>
      </c>
      <c r="I65" s="680"/>
      <c r="J65" s="680"/>
    </row>
    <row r="66" spans="1:10" ht="35" customHeight="1" x14ac:dyDescent="0.45">
      <c r="A66" s="684" t="s">
        <v>5194</v>
      </c>
      <c r="B66" s="680" t="s">
        <v>5195</v>
      </c>
      <c r="C66" s="684" t="s">
        <v>5185</v>
      </c>
      <c r="D66" s="680" t="s">
        <v>5196</v>
      </c>
      <c r="E66" s="684" t="s">
        <v>5114</v>
      </c>
      <c r="F66" s="680" t="s">
        <v>5197</v>
      </c>
      <c r="G66" s="684" t="s">
        <v>263</v>
      </c>
      <c r="H66" s="680" t="s">
        <v>5198</v>
      </c>
      <c r="I66" s="680"/>
      <c r="J66" s="680"/>
    </row>
    <row r="67" spans="1:10" ht="35" customHeight="1" x14ac:dyDescent="0.45">
      <c r="A67" s="684" t="s">
        <v>5199</v>
      </c>
      <c r="B67" s="680" t="s">
        <v>5200</v>
      </c>
      <c r="C67" s="684" t="s">
        <v>5201</v>
      </c>
      <c r="D67" s="680" t="s">
        <v>5202</v>
      </c>
      <c r="E67" s="684" t="s">
        <v>5136</v>
      </c>
      <c r="F67" s="680" t="s">
        <v>5203</v>
      </c>
      <c r="G67" s="684" t="s">
        <v>263</v>
      </c>
      <c r="H67" s="680" t="s">
        <v>5204</v>
      </c>
      <c r="I67" s="680"/>
      <c r="J67" s="680"/>
    </row>
    <row r="68" spans="1:10" ht="35" customHeight="1" x14ac:dyDescent="0.45">
      <c r="A68" s="684" t="s">
        <v>5205</v>
      </c>
      <c r="B68" s="680" t="s">
        <v>5206</v>
      </c>
      <c r="C68" s="684" t="s">
        <v>5201</v>
      </c>
      <c r="D68" s="680" t="s">
        <v>5207</v>
      </c>
      <c r="E68" s="684" t="s">
        <v>5167</v>
      </c>
      <c r="F68" s="680" t="s">
        <v>5208</v>
      </c>
      <c r="G68" s="684" t="s">
        <v>5209</v>
      </c>
      <c r="H68" s="680" t="s">
        <v>5210</v>
      </c>
      <c r="I68" s="680"/>
      <c r="J68" s="680"/>
    </row>
    <row r="69" spans="1:10" ht="35" customHeight="1" x14ac:dyDescent="0.45">
      <c r="A69" s="684" t="s">
        <v>5211</v>
      </c>
      <c r="B69" s="680" t="s">
        <v>5212</v>
      </c>
      <c r="C69" s="684" t="s">
        <v>5201</v>
      </c>
      <c r="D69" s="680" t="s">
        <v>5213</v>
      </c>
      <c r="E69" s="684" t="s">
        <v>5136</v>
      </c>
      <c r="F69" s="680" t="s">
        <v>5214</v>
      </c>
      <c r="G69" s="684" t="s">
        <v>5209</v>
      </c>
      <c r="H69" s="680" t="s">
        <v>5215</v>
      </c>
      <c r="I69" s="680"/>
      <c r="J69" s="680"/>
    </row>
    <row r="70" spans="1:10" x14ac:dyDescent="0.45">
      <c r="A70" s="680"/>
      <c r="B70" s="680"/>
      <c r="C70" s="680"/>
      <c r="D70" s="680"/>
      <c r="E70" s="680"/>
      <c r="F70" s="680"/>
      <c r="G70" s="680"/>
      <c r="H70" s="680"/>
      <c r="I70" s="680"/>
      <c r="J70" s="680"/>
    </row>
    <row r="71" spans="1:10" ht="15.75" x14ac:dyDescent="0.45">
      <c r="A71" s="685" t="s">
        <v>5216</v>
      </c>
      <c r="B71" s="685"/>
      <c r="C71" s="685"/>
      <c r="D71" s="685"/>
      <c r="E71" s="685"/>
      <c r="F71" s="685"/>
      <c r="G71" s="685"/>
      <c r="H71" s="685"/>
      <c r="I71" s="680"/>
      <c r="J71" s="680"/>
    </row>
    <row r="72" spans="1:10" x14ac:dyDescent="0.45">
      <c r="A72" s="686" t="s">
        <v>5217</v>
      </c>
      <c r="B72" s="687" t="s">
        <v>5218</v>
      </c>
      <c r="C72" s="686" t="s">
        <v>5219</v>
      </c>
      <c r="D72" s="687" t="s">
        <v>5220</v>
      </c>
      <c r="E72" s="686" t="s">
        <v>5221</v>
      </c>
      <c r="F72" s="687" t="s">
        <v>5222</v>
      </c>
      <c r="G72" s="686" t="s">
        <v>5223</v>
      </c>
      <c r="H72" s="687" t="s">
        <v>5224</v>
      </c>
      <c r="I72" s="680"/>
      <c r="J72" s="680"/>
    </row>
    <row r="73" spans="1:10" ht="45" customHeight="1" x14ac:dyDescent="0.45">
      <c r="A73" s="684" t="s">
        <v>5225</v>
      </c>
      <c r="B73" s="680" t="s">
        <v>5226</v>
      </c>
      <c r="C73" s="680" t="s">
        <v>5227</v>
      </c>
      <c r="D73" s="680" t="s">
        <v>5228</v>
      </c>
      <c r="E73" s="680" t="s">
        <v>5229</v>
      </c>
      <c r="F73" s="680" t="s">
        <v>5230</v>
      </c>
      <c r="G73" s="684" t="s">
        <v>5231</v>
      </c>
      <c r="H73" s="680" t="s">
        <v>5232</v>
      </c>
      <c r="I73" s="680"/>
      <c r="J73" s="680"/>
    </row>
    <row r="74" spans="1:10" ht="45" customHeight="1" x14ac:dyDescent="0.45">
      <c r="A74" s="684" t="s">
        <v>5233</v>
      </c>
      <c r="B74" s="680" t="s">
        <v>5234</v>
      </c>
      <c r="C74" s="680" t="s">
        <v>5235</v>
      </c>
      <c r="D74" s="680" t="s">
        <v>5236</v>
      </c>
      <c r="E74" s="680" t="s">
        <v>5237</v>
      </c>
      <c r="F74" s="680" t="s">
        <v>5238</v>
      </c>
      <c r="G74" s="684" t="s">
        <v>5231</v>
      </c>
      <c r="H74" s="680" t="s">
        <v>5232</v>
      </c>
      <c r="I74" s="680"/>
      <c r="J74" s="680"/>
    </row>
    <row r="75" spans="1:10" ht="45" customHeight="1" x14ac:dyDescent="0.45">
      <c r="A75" s="684" t="s">
        <v>5239</v>
      </c>
      <c r="B75" s="680" t="s">
        <v>5240</v>
      </c>
      <c r="C75" s="680" t="s">
        <v>5241</v>
      </c>
      <c r="D75" s="680" t="s">
        <v>5242</v>
      </c>
      <c r="E75" s="680" t="s">
        <v>5243</v>
      </c>
      <c r="F75" s="680" t="s">
        <v>5244</v>
      </c>
      <c r="G75" s="684" t="s">
        <v>5231</v>
      </c>
      <c r="H75" s="680" t="s">
        <v>5232</v>
      </c>
      <c r="I75" s="680"/>
      <c r="J75" s="680"/>
    </row>
    <row r="76" spans="1:10" ht="45" customHeight="1" x14ac:dyDescent="0.45">
      <c r="A76" s="684" t="s">
        <v>5245</v>
      </c>
      <c r="B76" s="680" t="s">
        <v>5246</v>
      </c>
      <c r="C76" s="680" t="s">
        <v>5247</v>
      </c>
      <c r="D76" s="680" t="s">
        <v>5248</v>
      </c>
      <c r="E76" s="680" t="s">
        <v>5249</v>
      </c>
      <c r="F76" s="680" t="s">
        <v>5250</v>
      </c>
      <c r="G76" s="684" t="s">
        <v>5231</v>
      </c>
      <c r="H76" s="680" t="s">
        <v>5251</v>
      </c>
      <c r="I76" s="680"/>
      <c r="J76" s="680"/>
    </row>
    <row r="77" spans="1:10" ht="45" customHeight="1" x14ac:dyDescent="0.45">
      <c r="A77" s="684" t="s">
        <v>5252</v>
      </c>
      <c r="B77" s="680" t="s">
        <v>5253</v>
      </c>
      <c r="C77" s="680" t="s">
        <v>5254</v>
      </c>
      <c r="D77" s="680" t="s">
        <v>5255</v>
      </c>
      <c r="E77" s="680" t="s">
        <v>5256</v>
      </c>
      <c r="F77" s="680" t="s">
        <v>310</v>
      </c>
      <c r="G77" s="684" t="s">
        <v>5231</v>
      </c>
      <c r="H77" s="680" t="s">
        <v>5232</v>
      </c>
      <c r="I77" s="680"/>
      <c r="J77" s="680"/>
    </row>
    <row r="78" spans="1:10" ht="45" customHeight="1" x14ac:dyDescent="0.45">
      <c r="A78" s="684" t="s">
        <v>5257</v>
      </c>
      <c r="B78" s="680" t="s">
        <v>5258</v>
      </c>
      <c r="C78" s="680" t="s">
        <v>5259</v>
      </c>
      <c r="D78" s="680" t="s">
        <v>5260</v>
      </c>
      <c r="E78" s="680" t="s">
        <v>5261</v>
      </c>
      <c r="F78" s="680" t="s">
        <v>5262</v>
      </c>
      <c r="G78" s="684" t="s">
        <v>5231</v>
      </c>
      <c r="H78" s="680" t="s">
        <v>5263</v>
      </c>
      <c r="I78" s="680"/>
      <c r="J78" s="680"/>
    </row>
    <row r="79" spans="1:10" ht="45" customHeight="1" x14ac:dyDescent="0.45">
      <c r="A79" s="684" t="s">
        <v>5264</v>
      </c>
      <c r="B79" s="680" t="s">
        <v>5265</v>
      </c>
      <c r="C79" s="680" t="s">
        <v>5266</v>
      </c>
      <c r="D79" s="680" t="s">
        <v>5267</v>
      </c>
      <c r="E79" s="680" t="s">
        <v>5268</v>
      </c>
      <c r="F79" s="680" t="s">
        <v>310</v>
      </c>
      <c r="G79" s="684" t="s">
        <v>5231</v>
      </c>
      <c r="H79" s="680" t="s">
        <v>5232</v>
      </c>
      <c r="I79" s="680"/>
      <c r="J79" s="680"/>
    </row>
    <row r="80" spans="1:10" ht="45" customHeight="1" x14ac:dyDescent="0.45">
      <c r="A80" s="684" t="s">
        <v>5269</v>
      </c>
      <c r="B80" s="680" t="s">
        <v>5270</v>
      </c>
      <c r="C80" s="680" t="s">
        <v>5271</v>
      </c>
      <c r="D80" s="680" t="s">
        <v>5272</v>
      </c>
      <c r="E80" s="680" t="s">
        <v>5273</v>
      </c>
      <c r="F80" s="680" t="s">
        <v>5274</v>
      </c>
      <c r="G80" s="684" t="s">
        <v>5231</v>
      </c>
      <c r="H80" s="680" t="s">
        <v>5275</v>
      </c>
      <c r="I80" s="680"/>
      <c r="J80" s="680"/>
    </row>
    <row r="81" spans="1:10" x14ac:dyDescent="0.45">
      <c r="A81" s="680"/>
      <c r="B81" s="680"/>
      <c r="C81" s="680"/>
      <c r="D81" s="680"/>
      <c r="E81" s="680"/>
      <c r="F81" s="680"/>
      <c r="G81" s="680"/>
      <c r="H81" s="680"/>
      <c r="I81" s="680"/>
      <c r="J81" s="680"/>
    </row>
    <row r="82" spans="1:10" ht="15.75" x14ac:dyDescent="0.45">
      <c r="A82" s="685" t="s">
        <v>5276</v>
      </c>
      <c r="B82" s="685"/>
      <c r="C82" s="685"/>
      <c r="D82" s="685"/>
      <c r="E82" s="685"/>
      <c r="F82" s="685"/>
      <c r="G82" s="680"/>
      <c r="H82" s="680"/>
      <c r="I82" s="680"/>
      <c r="J82" s="680"/>
    </row>
    <row r="83" spans="1:10" x14ac:dyDescent="0.45">
      <c r="A83" s="686" t="s">
        <v>4078</v>
      </c>
      <c r="B83" s="693" t="s">
        <v>5277</v>
      </c>
      <c r="C83" s="694" t="s">
        <v>5278</v>
      </c>
      <c r="D83" s="695" t="s">
        <v>5279</v>
      </c>
      <c r="E83" s="696" t="s">
        <v>5280</v>
      </c>
      <c r="F83" s="687" t="s">
        <v>5281</v>
      </c>
      <c r="G83" s="680"/>
      <c r="H83" s="680"/>
      <c r="I83" s="680"/>
      <c r="J83" s="680"/>
    </row>
    <row r="84" spans="1:10" ht="55.05" customHeight="1" x14ac:dyDescent="0.45">
      <c r="A84" s="680" t="s">
        <v>5282</v>
      </c>
      <c r="B84" s="680" t="s">
        <v>5283</v>
      </c>
      <c r="C84" s="680" t="s">
        <v>5284</v>
      </c>
      <c r="D84" s="680" t="s">
        <v>5285</v>
      </c>
      <c r="E84" s="680" t="s">
        <v>5286</v>
      </c>
      <c r="F84" s="680" t="s">
        <v>5287</v>
      </c>
      <c r="G84" s="680"/>
      <c r="H84" s="680"/>
      <c r="I84" s="680"/>
      <c r="J84" s="680"/>
    </row>
    <row r="85" spans="1:10" ht="55.05" customHeight="1" x14ac:dyDescent="0.45">
      <c r="A85" s="680" t="s">
        <v>4086</v>
      </c>
      <c r="B85" s="680" t="s">
        <v>5288</v>
      </c>
      <c r="C85" s="680" t="s">
        <v>5289</v>
      </c>
      <c r="D85" s="680" t="s">
        <v>5290</v>
      </c>
      <c r="E85" s="680" t="s">
        <v>5291</v>
      </c>
      <c r="F85" s="680" t="s">
        <v>5292</v>
      </c>
      <c r="G85" s="680"/>
      <c r="H85" s="680"/>
      <c r="I85" s="680"/>
      <c r="J85" s="680"/>
    </row>
    <row r="86" spans="1:10" ht="55.05" customHeight="1" x14ac:dyDescent="0.45">
      <c r="A86" s="680" t="s">
        <v>5293</v>
      </c>
      <c r="B86" s="680" t="s">
        <v>5294</v>
      </c>
      <c r="C86" s="680" t="s">
        <v>5295</v>
      </c>
      <c r="D86" s="680" t="s">
        <v>5296</v>
      </c>
      <c r="E86" s="680" t="s">
        <v>5297</v>
      </c>
      <c r="F86" s="680" t="s">
        <v>5298</v>
      </c>
      <c r="G86" s="680"/>
      <c r="H86" s="680"/>
      <c r="I86" s="680"/>
      <c r="J86" s="680"/>
    </row>
    <row r="87" spans="1:10" ht="55.05" customHeight="1" x14ac:dyDescent="0.45">
      <c r="A87" s="680" t="s">
        <v>4121</v>
      </c>
      <c r="B87" s="680" t="s">
        <v>5299</v>
      </c>
      <c r="C87" s="680" t="s">
        <v>5300</v>
      </c>
      <c r="D87" s="680" t="s">
        <v>5301</v>
      </c>
      <c r="E87" s="680" t="s">
        <v>5302</v>
      </c>
      <c r="F87" s="680" t="s">
        <v>5303</v>
      </c>
      <c r="G87" s="680"/>
      <c r="H87" s="680"/>
      <c r="I87" s="680"/>
      <c r="J87" s="680"/>
    </row>
    <row r="88" spans="1:10" ht="55.05" customHeight="1" x14ac:dyDescent="0.45">
      <c r="A88" s="680" t="s">
        <v>5304</v>
      </c>
      <c r="B88" s="680" t="s">
        <v>5305</v>
      </c>
      <c r="C88" s="680" t="s">
        <v>5306</v>
      </c>
      <c r="D88" s="680" t="s">
        <v>5307</v>
      </c>
      <c r="E88" s="680" t="s">
        <v>5308</v>
      </c>
      <c r="F88" s="680" t="s">
        <v>5309</v>
      </c>
      <c r="G88" s="680"/>
      <c r="H88" s="680"/>
      <c r="I88" s="680"/>
      <c r="J88" s="680"/>
    </row>
    <row r="89" spans="1:10" ht="55.05" customHeight="1" x14ac:dyDescent="0.45">
      <c r="A89" s="680" t="s">
        <v>4122</v>
      </c>
      <c r="B89" s="680" t="s">
        <v>5310</v>
      </c>
      <c r="C89" s="680" t="s">
        <v>5311</v>
      </c>
      <c r="D89" s="680" t="s">
        <v>5312</v>
      </c>
      <c r="E89" s="680" t="s">
        <v>5313</v>
      </c>
      <c r="F89" s="680" t="s">
        <v>5314</v>
      </c>
      <c r="G89" s="680"/>
      <c r="H89" s="680"/>
      <c r="I89" s="680"/>
      <c r="J89" s="680"/>
    </row>
    <row r="90" spans="1:10" ht="55.05" customHeight="1" x14ac:dyDescent="0.45">
      <c r="A90" s="680" t="s">
        <v>5315</v>
      </c>
      <c r="B90" s="680" t="s">
        <v>5316</v>
      </c>
      <c r="C90" s="680" t="s">
        <v>5317</v>
      </c>
      <c r="D90" s="680" t="s">
        <v>5318</v>
      </c>
      <c r="E90" s="680" t="s">
        <v>5319</v>
      </c>
      <c r="F90" s="680" t="s">
        <v>5320</v>
      </c>
      <c r="G90" s="680"/>
      <c r="H90" s="680"/>
      <c r="I90" s="680"/>
      <c r="J90" s="680"/>
    </row>
    <row r="91" spans="1:10" ht="55.05" customHeight="1" x14ac:dyDescent="0.45">
      <c r="A91" s="680" t="s">
        <v>5321</v>
      </c>
      <c r="B91" s="680" t="s">
        <v>5322</v>
      </c>
      <c r="C91" s="680" t="s">
        <v>5323</v>
      </c>
      <c r="D91" s="680" t="s">
        <v>5324</v>
      </c>
      <c r="E91" s="680" t="s">
        <v>5325</v>
      </c>
      <c r="F91" s="680" t="s">
        <v>5326</v>
      </c>
      <c r="G91" s="680"/>
      <c r="H91" s="680"/>
      <c r="I91" s="680"/>
      <c r="J91" s="680"/>
    </row>
    <row r="92" spans="1:10" x14ac:dyDescent="0.45">
      <c r="A92" s="680"/>
      <c r="B92" s="680"/>
      <c r="C92" s="680"/>
      <c r="D92" s="680"/>
      <c r="E92" s="680"/>
      <c r="F92" s="680"/>
      <c r="G92" s="680"/>
      <c r="H92" s="680"/>
      <c r="I92" s="680"/>
      <c r="J92" s="680"/>
    </row>
    <row r="93" spans="1:10" ht="15.75" x14ac:dyDescent="0.45">
      <c r="A93" s="681" t="s">
        <v>5327</v>
      </c>
      <c r="B93" s="681"/>
      <c r="C93" s="681"/>
      <c r="D93" s="681"/>
      <c r="E93" s="681"/>
      <c r="F93" s="681"/>
      <c r="G93" s="681"/>
      <c r="H93" s="680"/>
      <c r="I93" s="680"/>
      <c r="J93" s="680"/>
    </row>
    <row r="94" spans="1:10" x14ac:dyDescent="0.45">
      <c r="A94" s="687" t="s">
        <v>5328</v>
      </c>
      <c r="B94" s="697" t="s">
        <v>5329</v>
      </c>
      <c r="C94" s="698" t="s">
        <v>5278</v>
      </c>
      <c r="D94" s="699" t="s">
        <v>5330</v>
      </c>
      <c r="E94" s="700" t="s">
        <v>5331</v>
      </c>
      <c r="F94" s="687" t="s">
        <v>5332</v>
      </c>
      <c r="G94" s="687" t="s">
        <v>5333</v>
      </c>
      <c r="H94" s="680"/>
      <c r="I94" s="680"/>
      <c r="J94" s="680"/>
    </row>
    <row r="95" spans="1:10" ht="28.5" x14ac:dyDescent="0.45">
      <c r="A95" s="680" t="s">
        <v>5334</v>
      </c>
      <c r="B95" s="684" t="s">
        <v>5335</v>
      </c>
      <c r="C95" s="684" t="s">
        <v>5335</v>
      </c>
      <c r="D95" s="684" t="s">
        <v>5336</v>
      </c>
      <c r="E95" s="684" t="s">
        <v>5336</v>
      </c>
      <c r="F95" s="684" t="s">
        <v>5337</v>
      </c>
      <c r="G95" s="684" t="s">
        <v>5338</v>
      </c>
      <c r="H95" s="680"/>
      <c r="I95" s="680"/>
      <c r="J95" s="680"/>
    </row>
    <row r="96" spans="1:10" ht="28.5" x14ac:dyDescent="0.45">
      <c r="A96" s="680" t="s">
        <v>5339</v>
      </c>
      <c r="B96" s="684" t="s">
        <v>5340</v>
      </c>
      <c r="C96" s="684" t="s">
        <v>5341</v>
      </c>
      <c r="D96" s="684" t="s">
        <v>5342</v>
      </c>
      <c r="E96" s="684" t="s">
        <v>5342</v>
      </c>
      <c r="F96" s="684" t="s">
        <v>5343</v>
      </c>
      <c r="G96" s="684" t="s">
        <v>5344</v>
      </c>
      <c r="H96" s="680"/>
      <c r="I96" s="680"/>
      <c r="J96" s="680"/>
    </row>
    <row r="97" spans="1:10" ht="42.75" x14ac:dyDescent="0.45">
      <c r="A97" s="680" t="s">
        <v>5345</v>
      </c>
      <c r="B97" s="684" t="s">
        <v>5346</v>
      </c>
      <c r="C97" s="684" t="s">
        <v>5346</v>
      </c>
      <c r="D97" s="684" t="s">
        <v>5346</v>
      </c>
      <c r="E97" s="684" t="s">
        <v>5346</v>
      </c>
      <c r="F97" s="684" t="s">
        <v>5347</v>
      </c>
      <c r="G97" s="684" t="s">
        <v>5348</v>
      </c>
      <c r="H97" s="680"/>
      <c r="I97" s="680"/>
      <c r="J97" s="680"/>
    </row>
    <row r="98" spans="1:10" ht="28.5" x14ac:dyDescent="0.45">
      <c r="A98" s="680" t="s">
        <v>5349</v>
      </c>
      <c r="B98" s="684" t="s">
        <v>5336</v>
      </c>
      <c r="C98" s="684" t="s">
        <v>5336</v>
      </c>
      <c r="D98" s="684" t="s">
        <v>5336</v>
      </c>
      <c r="E98" s="684" t="s">
        <v>5336</v>
      </c>
      <c r="F98" s="684" t="s">
        <v>5350</v>
      </c>
      <c r="G98" s="684" t="s">
        <v>5351</v>
      </c>
      <c r="H98" s="680"/>
      <c r="I98" s="680"/>
      <c r="J98" s="680"/>
    </row>
    <row r="99" spans="1:10" ht="28.5" x14ac:dyDescent="0.45">
      <c r="A99" s="680" t="s">
        <v>5352</v>
      </c>
      <c r="B99" s="684" t="s">
        <v>5353</v>
      </c>
      <c r="C99" s="684" t="s">
        <v>5353</v>
      </c>
      <c r="D99" s="684" t="s">
        <v>5353</v>
      </c>
      <c r="E99" s="684" t="s">
        <v>5353</v>
      </c>
      <c r="F99" s="684" t="s">
        <v>5354</v>
      </c>
      <c r="G99" s="684" t="s">
        <v>5355</v>
      </c>
      <c r="H99" s="680"/>
      <c r="I99" s="680"/>
      <c r="J99" s="680"/>
    </row>
    <row r="100" spans="1:10" ht="28.5" x14ac:dyDescent="0.45">
      <c r="A100" s="680" t="s">
        <v>5356</v>
      </c>
      <c r="B100" s="684" t="s">
        <v>5357</v>
      </c>
      <c r="C100" s="684" t="s">
        <v>5357</v>
      </c>
      <c r="D100" s="684" t="s">
        <v>5357</v>
      </c>
      <c r="E100" s="684" t="s">
        <v>5357</v>
      </c>
      <c r="F100" s="684" t="s">
        <v>5358</v>
      </c>
      <c r="G100" s="684" t="s">
        <v>5359</v>
      </c>
      <c r="H100" s="680"/>
      <c r="I100" s="680"/>
      <c r="J100" s="680"/>
    </row>
    <row r="101" spans="1:10" ht="42.75" x14ac:dyDescent="0.45">
      <c r="A101" s="680" t="s">
        <v>5360</v>
      </c>
      <c r="B101" s="684" t="s">
        <v>5361</v>
      </c>
      <c r="C101" s="684" t="s">
        <v>5362</v>
      </c>
      <c r="D101" s="684" t="s">
        <v>5363</v>
      </c>
      <c r="E101" s="684" t="s">
        <v>5363</v>
      </c>
      <c r="F101" s="684" t="s">
        <v>5364</v>
      </c>
      <c r="G101" s="684" t="s">
        <v>5365</v>
      </c>
      <c r="H101" s="680"/>
      <c r="I101" s="680"/>
      <c r="J101" s="680"/>
    </row>
    <row r="102" spans="1:10" ht="42.75" x14ac:dyDescent="0.45">
      <c r="A102" s="680" t="s">
        <v>5366</v>
      </c>
      <c r="B102" s="684" t="s">
        <v>5367</v>
      </c>
      <c r="C102" s="684" t="s">
        <v>5368</v>
      </c>
      <c r="D102" s="684" t="s">
        <v>5368</v>
      </c>
      <c r="E102" s="684" t="s">
        <v>5368</v>
      </c>
      <c r="F102" s="684" t="s">
        <v>5369</v>
      </c>
      <c r="G102" s="684" t="s">
        <v>5370</v>
      </c>
      <c r="H102" s="680"/>
      <c r="I102" s="680"/>
      <c r="J102" s="680"/>
    </row>
    <row r="103" spans="1:10" ht="42.75" x14ac:dyDescent="0.45">
      <c r="A103" s="680" t="s">
        <v>5371</v>
      </c>
      <c r="B103" s="684" t="s">
        <v>5336</v>
      </c>
      <c r="C103" s="684" t="s">
        <v>5336</v>
      </c>
      <c r="D103" s="684" t="s">
        <v>5336</v>
      </c>
      <c r="E103" s="684" t="s">
        <v>5336</v>
      </c>
      <c r="F103" s="684" t="s">
        <v>5372</v>
      </c>
      <c r="G103" s="684" t="s">
        <v>5373</v>
      </c>
      <c r="H103" s="680"/>
      <c r="I103" s="680"/>
      <c r="J103" s="680"/>
    </row>
    <row r="104" spans="1:10" ht="42.75" x14ac:dyDescent="0.45">
      <c r="A104" s="680" t="s">
        <v>5374</v>
      </c>
      <c r="B104" s="684" t="s">
        <v>5340</v>
      </c>
      <c r="C104" s="684" t="s">
        <v>5375</v>
      </c>
      <c r="D104" s="684" t="s">
        <v>5376</v>
      </c>
      <c r="E104" s="684" t="s">
        <v>5376</v>
      </c>
      <c r="F104" s="684" t="s">
        <v>5377</v>
      </c>
      <c r="G104" s="684" t="s">
        <v>5378</v>
      </c>
      <c r="H104" s="680"/>
      <c r="I104" s="680"/>
      <c r="J104" s="680"/>
    </row>
    <row r="105" spans="1:10" ht="28.5" x14ac:dyDescent="0.45">
      <c r="A105" s="680" t="s">
        <v>5379</v>
      </c>
      <c r="B105" s="684" t="s">
        <v>5336</v>
      </c>
      <c r="C105" s="684" t="s">
        <v>5336</v>
      </c>
      <c r="D105" s="684" t="s">
        <v>5336</v>
      </c>
      <c r="E105" s="684" t="s">
        <v>5336</v>
      </c>
      <c r="F105" s="684" t="s">
        <v>5380</v>
      </c>
      <c r="G105" s="684" t="s">
        <v>5381</v>
      </c>
      <c r="H105" s="680"/>
      <c r="I105" s="680"/>
      <c r="J105" s="680"/>
    </row>
    <row r="106" spans="1:10" ht="42.75" x14ac:dyDescent="0.45">
      <c r="A106" s="680" t="s">
        <v>5382</v>
      </c>
      <c r="B106" s="684" t="s">
        <v>5383</v>
      </c>
      <c r="C106" s="684" t="s">
        <v>5383</v>
      </c>
      <c r="D106" s="684" t="s">
        <v>5383</v>
      </c>
      <c r="E106" s="684" t="s">
        <v>5383</v>
      </c>
      <c r="F106" s="684" t="s">
        <v>5384</v>
      </c>
      <c r="G106" s="684" t="s">
        <v>5385</v>
      </c>
      <c r="H106" s="680"/>
      <c r="I106" s="680"/>
      <c r="J106" s="680"/>
    </row>
    <row r="107" spans="1:10" x14ac:dyDescent="0.45">
      <c r="A107" s="680"/>
      <c r="B107" s="680"/>
      <c r="C107" s="680"/>
      <c r="D107" s="680"/>
      <c r="E107" s="680"/>
      <c r="F107" s="680"/>
      <c r="G107" s="680"/>
      <c r="H107" s="680"/>
      <c r="I107" s="680"/>
      <c r="J107" s="680"/>
    </row>
    <row r="108" spans="1:10" ht="15.75" x14ac:dyDescent="0.45">
      <c r="A108" s="681" t="s">
        <v>5386</v>
      </c>
      <c r="B108" s="681"/>
      <c r="C108" s="681"/>
      <c r="D108" s="681"/>
      <c r="E108" s="681"/>
      <c r="F108" s="681"/>
      <c r="G108" s="681"/>
      <c r="H108" s="680"/>
      <c r="I108" s="680"/>
      <c r="J108" s="680"/>
    </row>
    <row r="109" spans="1:10" x14ac:dyDescent="0.45">
      <c r="A109" s="687" t="s">
        <v>5387</v>
      </c>
      <c r="B109" s="686" t="s">
        <v>5388</v>
      </c>
      <c r="C109" s="686" t="s">
        <v>5389</v>
      </c>
      <c r="D109" s="686" t="s">
        <v>5390</v>
      </c>
      <c r="E109" s="686" t="s">
        <v>5391</v>
      </c>
      <c r="F109" s="686" t="s">
        <v>5392</v>
      </c>
      <c r="G109" s="686" t="s">
        <v>5393</v>
      </c>
      <c r="H109" s="680"/>
      <c r="I109" s="680"/>
      <c r="J109" s="680"/>
    </row>
    <row r="110" spans="1:10" ht="28.5" x14ac:dyDescent="0.45">
      <c r="A110" s="680" t="s">
        <v>5394</v>
      </c>
      <c r="B110" s="680" t="s">
        <v>5395</v>
      </c>
      <c r="C110" s="680" t="s">
        <v>5396</v>
      </c>
      <c r="D110" s="680" t="s">
        <v>5397</v>
      </c>
      <c r="E110" s="701">
        <f>COUNTIFS('All 108 Regulators - Frameworks'!D$4:D$500,"*Healthcare*")</f>
        <v>75</v>
      </c>
      <c r="F110" s="680" t="s">
        <v>5398</v>
      </c>
      <c r="G110" s="680" t="s">
        <v>5399</v>
      </c>
      <c r="H110" s="680"/>
      <c r="I110" s="680"/>
      <c r="J110" s="680"/>
    </row>
    <row r="111" spans="1:10" ht="28.5" x14ac:dyDescent="0.45">
      <c r="A111" s="680" t="s">
        <v>5400</v>
      </c>
      <c r="B111" s="680" t="s">
        <v>5401</v>
      </c>
      <c r="C111" s="680" t="s">
        <v>5402</v>
      </c>
      <c r="D111" s="680" t="s">
        <v>5403</v>
      </c>
      <c r="E111" s="701">
        <f>COUNTIFS('All 108 Regulators - Frameworks'!D$4:D$500,"*ICT*")</f>
        <v>22</v>
      </c>
      <c r="F111" s="680" t="s">
        <v>5404</v>
      </c>
      <c r="G111" s="680" t="s">
        <v>5405</v>
      </c>
      <c r="H111" s="680"/>
      <c r="I111" s="680"/>
      <c r="J111" s="680"/>
    </row>
    <row r="112" spans="1:10" ht="28.5" x14ac:dyDescent="0.45">
      <c r="A112" s="680" t="s">
        <v>5406</v>
      </c>
      <c r="B112" s="680" t="s">
        <v>5407</v>
      </c>
      <c r="C112" s="680" t="s">
        <v>5408</v>
      </c>
      <c r="D112" s="680" t="s">
        <v>5409</v>
      </c>
      <c r="E112" s="701">
        <f>COUNTIFS('All 108 Regulators - Frameworks'!D$4:D$500,"*Financial*")</f>
        <v>40</v>
      </c>
      <c r="F112" s="680" t="s">
        <v>5410</v>
      </c>
      <c r="G112" s="680" t="s">
        <v>5411</v>
      </c>
      <c r="H112" s="680"/>
      <c r="I112" s="680"/>
      <c r="J112" s="680"/>
    </row>
    <row r="113" spans="1:10" ht="28.5" x14ac:dyDescent="0.45">
      <c r="A113" s="680" t="s">
        <v>5412</v>
      </c>
      <c r="B113" s="680" t="s">
        <v>5413</v>
      </c>
      <c r="C113" s="680" t="s">
        <v>5414</v>
      </c>
      <c r="D113" s="680" t="s">
        <v>5415</v>
      </c>
      <c r="E113" s="701">
        <f>COUNTIFS('All 108 Regulators - Frameworks'!D$4:D$500,"*Energy*")</f>
        <v>8</v>
      </c>
      <c r="F113" s="680" t="s">
        <v>5416</v>
      </c>
      <c r="G113" s="680" t="s">
        <v>5417</v>
      </c>
      <c r="H113" s="680"/>
      <c r="I113" s="680"/>
      <c r="J113" s="680"/>
    </row>
    <row r="114" spans="1:10" ht="28.5" x14ac:dyDescent="0.45">
      <c r="A114" s="680" t="s">
        <v>5418</v>
      </c>
      <c r="B114" s="680" t="s">
        <v>5419</v>
      </c>
      <c r="C114" s="680" t="s">
        <v>5420</v>
      </c>
      <c r="D114" s="680" t="s">
        <v>5421</v>
      </c>
      <c r="E114" s="701">
        <f>COUNTIFS('All 108 Regulators - Frameworks'!D$4:D$500,"*Education*")</f>
        <v>12</v>
      </c>
      <c r="F114" s="680" t="s">
        <v>5422</v>
      </c>
      <c r="G114" s="680" t="s">
        <v>5423</v>
      </c>
      <c r="H114" s="680"/>
      <c r="I114" s="680"/>
      <c r="J114" s="680"/>
    </row>
    <row r="115" spans="1:10" ht="28.5" x14ac:dyDescent="0.45">
      <c r="A115" s="680" t="s">
        <v>5424</v>
      </c>
      <c r="B115" s="680" t="s">
        <v>5425</v>
      </c>
      <c r="C115" s="680" t="s">
        <v>5414</v>
      </c>
      <c r="D115" s="680" t="s">
        <v>5426</v>
      </c>
      <c r="E115" s="701">
        <f>COUNTIFS('All 108 Regulators - Frameworks'!D$4:D$500,"*Transport*")</f>
        <v>4</v>
      </c>
      <c r="F115" s="680" t="s">
        <v>5427</v>
      </c>
      <c r="G115" s="680" t="s">
        <v>5428</v>
      </c>
      <c r="H115" s="680"/>
      <c r="I115" s="680"/>
      <c r="J115" s="680"/>
    </row>
    <row r="116" spans="1:10" ht="28.5" x14ac:dyDescent="0.45">
      <c r="A116" s="680" t="s">
        <v>5429</v>
      </c>
      <c r="B116" s="680" t="s">
        <v>5430</v>
      </c>
      <c r="C116" s="680" t="s">
        <v>5431</v>
      </c>
      <c r="D116" s="680" t="s">
        <v>5432</v>
      </c>
      <c r="E116" s="701">
        <f>COUNTIFS('All 108 Regulators - Frameworks'!D$4:D$500,"*Special*")</f>
        <v>10</v>
      </c>
      <c r="F116" s="680" t="s">
        <v>5433</v>
      </c>
      <c r="G116" s="680" t="s">
        <v>5434</v>
      </c>
      <c r="H116" s="680"/>
      <c r="I116" s="680"/>
      <c r="J116" s="680"/>
    </row>
    <row r="117" spans="1:10" ht="28.5" x14ac:dyDescent="0.45">
      <c r="A117" s="680" t="s">
        <v>5435</v>
      </c>
      <c r="B117" s="680" t="s">
        <v>5436</v>
      </c>
      <c r="C117" s="680" t="s">
        <v>5420</v>
      </c>
      <c r="D117" s="680" t="s">
        <v>5437</v>
      </c>
      <c r="E117" s="701">
        <f>COUNTIFS('All 108 Regulators - Frameworks'!D$4:D$500,"*Legal*")</f>
        <v>4</v>
      </c>
      <c r="F117" s="680" t="s">
        <v>5438</v>
      </c>
      <c r="G117" s="680" t="s">
        <v>5439</v>
      </c>
      <c r="H117" s="680"/>
      <c r="I117" s="680"/>
      <c r="J117" s="680"/>
    </row>
    <row r="118" spans="1:10" x14ac:dyDescent="0.45">
      <c r="A118" s="680"/>
      <c r="B118" s="680"/>
      <c r="C118" s="680"/>
      <c r="D118" s="680"/>
      <c r="E118" s="680"/>
      <c r="F118" s="680"/>
      <c r="G118" s="680"/>
      <c r="H118" s="680"/>
      <c r="I118" s="680"/>
      <c r="J118" s="680"/>
    </row>
    <row r="119" spans="1:10" ht="15.75" x14ac:dyDescent="0.45">
      <c r="A119" s="702" t="s">
        <v>5440</v>
      </c>
      <c r="B119" s="702"/>
      <c r="C119" s="702"/>
      <c r="D119" s="702"/>
      <c r="E119" s="702"/>
      <c r="F119" s="702"/>
      <c r="G119" s="702"/>
      <c r="H119" s="702"/>
      <c r="I119" s="702"/>
      <c r="J119" s="702"/>
    </row>
    <row r="120" spans="1:10" x14ac:dyDescent="0.45">
      <c r="A120" s="703" t="s">
        <v>5441</v>
      </c>
      <c r="B120" s="704" t="s">
        <v>5442</v>
      </c>
      <c r="C120" s="704" t="s">
        <v>5443</v>
      </c>
      <c r="D120" s="704" t="s">
        <v>5444</v>
      </c>
      <c r="E120" s="704" t="s">
        <v>5445</v>
      </c>
      <c r="F120" s="704" t="s">
        <v>5446</v>
      </c>
      <c r="G120" s="704" t="s">
        <v>5447</v>
      </c>
      <c r="H120" s="704" t="s">
        <v>5448</v>
      </c>
      <c r="I120" s="704" t="s">
        <v>5449</v>
      </c>
      <c r="J120" s="704" t="s">
        <v>5450</v>
      </c>
    </row>
    <row r="121" spans="1:10" ht="50" customHeight="1" x14ac:dyDescent="0.45">
      <c r="A121" s="701" t="s">
        <v>5451</v>
      </c>
      <c r="B121" s="680" t="s">
        <v>5452</v>
      </c>
      <c r="C121" s="680" t="s">
        <v>5453</v>
      </c>
      <c r="D121" s="680" t="s">
        <v>5454</v>
      </c>
      <c r="E121" s="680" t="s">
        <v>5455</v>
      </c>
      <c r="F121" s="680" t="s">
        <v>5456</v>
      </c>
      <c r="G121" s="680" t="s">
        <v>5457</v>
      </c>
      <c r="H121" s="680" t="s">
        <v>5458</v>
      </c>
      <c r="I121" s="680" t="s">
        <v>5459</v>
      </c>
      <c r="J121" s="680" t="s">
        <v>5460</v>
      </c>
    </row>
    <row r="122" spans="1:10" ht="50" customHeight="1" x14ac:dyDescent="0.45">
      <c r="A122" s="701" t="s">
        <v>5461</v>
      </c>
      <c r="B122" s="680" t="s">
        <v>5462</v>
      </c>
      <c r="C122" s="680" t="s">
        <v>5463</v>
      </c>
      <c r="D122" s="680" t="s">
        <v>5464</v>
      </c>
      <c r="E122" s="680" t="s">
        <v>5465</v>
      </c>
      <c r="F122" s="680" t="s">
        <v>5466</v>
      </c>
      <c r="G122" s="680" t="s">
        <v>5467</v>
      </c>
      <c r="H122" s="680" t="s">
        <v>5468</v>
      </c>
      <c r="I122" s="680" t="s">
        <v>5469</v>
      </c>
      <c r="J122" s="680" t="s">
        <v>5470</v>
      </c>
    </row>
    <row r="123" spans="1:10" ht="50" customHeight="1" x14ac:dyDescent="0.45">
      <c r="A123" s="701" t="s">
        <v>5471</v>
      </c>
      <c r="B123" s="680" t="s">
        <v>5472</v>
      </c>
      <c r="C123" s="680" t="s">
        <v>5473</v>
      </c>
      <c r="D123" s="680" t="s">
        <v>5474</v>
      </c>
      <c r="E123" s="680" t="s">
        <v>5475</v>
      </c>
      <c r="F123" s="680" t="s">
        <v>5476</v>
      </c>
      <c r="G123" s="680" t="s">
        <v>5477</v>
      </c>
      <c r="H123" s="680" t="s">
        <v>5478</v>
      </c>
      <c r="I123" s="680" t="s">
        <v>5479</v>
      </c>
      <c r="J123" s="680" t="s">
        <v>5480</v>
      </c>
    </row>
    <row r="124" spans="1:10" ht="50" customHeight="1" x14ac:dyDescent="0.45">
      <c r="A124" s="701" t="s">
        <v>5481</v>
      </c>
      <c r="B124" s="680" t="s">
        <v>5482</v>
      </c>
      <c r="C124" s="680" t="s">
        <v>5483</v>
      </c>
      <c r="D124" s="680" t="s">
        <v>5484</v>
      </c>
      <c r="E124" s="680" t="s">
        <v>5485</v>
      </c>
      <c r="F124" s="680" t="s">
        <v>5486</v>
      </c>
      <c r="G124" s="680" t="s">
        <v>5487</v>
      </c>
      <c r="H124" s="680" t="s">
        <v>5488</v>
      </c>
      <c r="I124" s="680" t="s">
        <v>5489</v>
      </c>
      <c r="J124" s="680" t="s">
        <v>5490</v>
      </c>
    </row>
    <row r="125" spans="1:10" ht="50" customHeight="1" x14ac:dyDescent="0.45">
      <c r="A125" s="701" t="s">
        <v>5491</v>
      </c>
      <c r="B125" s="680" t="s">
        <v>5492</v>
      </c>
      <c r="C125" s="680" t="s">
        <v>5493</v>
      </c>
      <c r="D125" s="680" t="s">
        <v>5494</v>
      </c>
      <c r="E125" s="680" t="s">
        <v>5495</v>
      </c>
      <c r="F125" s="680" t="s">
        <v>5496</v>
      </c>
      <c r="G125" s="680" t="s">
        <v>5497</v>
      </c>
      <c r="H125" s="680" t="s">
        <v>5498</v>
      </c>
      <c r="I125" s="680" t="s">
        <v>5499</v>
      </c>
      <c r="J125" s="680" t="s">
        <v>5500</v>
      </c>
    </row>
    <row r="126" spans="1:10" ht="50" customHeight="1" x14ac:dyDescent="0.45">
      <c r="A126" s="701" t="s">
        <v>5501</v>
      </c>
      <c r="B126" s="680" t="s">
        <v>5502</v>
      </c>
      <c r="C126" s="680" t="s">
        <v>5503</v>
      </c>
      <c r="D126" s="680" t="s">
        <v>5504</v>
      </c>
      <c r="E126" s="680" t="s">
        <v>5505</v>
      </c>
      <c r="F126" s="680" t="s">
        <v>5506</v>
      </c>
      <c r="G126" s="680" t="s">
        <v>5507</v>
      </c>
      <c r="H126" s="680" t="s">
        <v>5508</v>
      </c>
      <c r="I126" s="680" t="s">
        <v>5509</v>
      </c>
      <c r="J126" s="680" t="s">
        <v>5510</v>
      </c>
    </row>
    <row r="127" spans="1:10" ht="50" customHeight="1" x14ac:dyDescent="0.45">
      <c r="A127" s="701" t="s">
        <v>5511</v>
      </c>
      <c r="B127" s="680" t="s">
        <v>5512</v>
      </c>
      <c r="C127" s="680" t="s">
        <v>5513</v>
      </c>
      <c r="D127" s="680" t="s">
        <v>5514</v>
      </c>
      <c r="E127" s="680" t="s">
        <v>5515</v>
      </c>
      <c r="F127" s="680" t="s">
        <v>5516</v>
      </c>
      <c r="G127" s="680" t="s">
        <v>5517</v>
      </c>
      <c r="H127" s="680" t="s">
        <v>5518</v>
      </c>
      <c r="I127" s="680" t="s">
        <v>5519</v>
      </c>
      <c r="J127" s="680" t="s">
        <v>5520</v>
      </c>
    </row>
    <row r="128" spans="1:10" ht="50" customHeight="1" x14ac:dyDescent="0.45">
      <c r="A128" s="701" t="s">
        <v>5521</v>
      </c>
      <c r="B128" s="680" t="s">
        <v>5522</v>
      </c>
      <c r="C128" s="680" t="s">
        <v>5523</v>
      </c>
      <c r="D128" s="680" t="s">
        <v>5524</v>
      </c>
      <c r="E128" s="680" t="s">
        <v>5525</v>
      </c>
      <c r="F128" s="680" t="s">
        <v>5526</v>
      </c>
      <c r="G128" s="680" t="s">
        <v>5527</v>
      </c>
      <c r="H128" s="680" t="s">
        <v>5528</v>
      </c>
      <c r="I128" s="680" t="s">
        <v>5529</v>
      </c>
      <c r="J128" s="680" t="s">
        <v>5530</v>
      </c>
    </row>
    <row r="129" spans="1:10" ht="50" customHeight="1" x14ac:dyDescent="0.45">
      <c r="A129" s="701" t="s">
        <v>5531</v>
      </c>
      <c r="B129" s="680" t="s">
        <v>5532</v>
      </c>
      <c r="C129" s="680" t="s">
        <v>5533</v>
      </c>
      <c r="D129" s="680" t="s">
        <v>5534</v>
      </c>
      <c r="E129" s="680" t="s">
        <v>5535</v>
      </c>
      <c r="F129" s="680" t="s">
        <v>5536</v>
      </c>
      <c r="G129" s="680" t="s">
        <v>5537</v>
      </c>
      <c r="H129" s="680" t="s">
        <v>5538</v>
      </c>
      <c r="I129" s="680" t="s">
        <v>5539</v>
      </c>
      <c r="J129" s="680" t="s">
        <v>5540</v>
      </c>
    </row>
    <row r="130" spans="1:10" ht="50" customHeight="1" x14ac:dyDescent="0.45">
      <c r="A130" s="701" t="s">
        <v>5541</v>
      </c>
      <c r="B130" s="680" t="s">
        <v>5542</v>
      </c>
      <c r="C130" s="680" t="s">
        <v>5543</v>
      </c>
      <c r="D130" s="680" t="s">
        <v>5544</v>
      </c>
      <c r="E130" s="680" t="s">
        <v>5545</v>
      </c>
      <c r="F130" s="680" t="s">
        <v>5546</v>
      </c>
      <c r="G130" s="680" t="s">
        <v>5547</v>
      </c>
      <c r="H130" s="680" t="s">
        <v>5548</v>
      </c>
      <c r="I130" s="680" t="s">
        <v>5549</v>
      </c>
      <c r="J130" s="680" t="s">
        <v>5550</v>
      </c>
    </row>
    <row r="131" spans="1:10" ht="50" customHeight="1" x14ac:dyDescent="0.45">
      <c r="A131" s="701" t="s">
        <v>5551</v>
      </c>
      <c r="B131" s="680" t="s">
        <v>5552</v>
      </c>
      <c r="C131" s="680" t="s">
        <v>5553</v>
      </c>
      <c r="D131" s="680" t="s">
        <v>5554</v>
      </c>
      <c r="E131" s="680" t="s">
        <v>5555</v>
      </c>
      <c r="F131" s="680" t="s">
        <v>5556</v>
      </c>
      <c r="G131" s="680" t="s">
        <v>5557</v>
      </c>
      <c r="H131" s="680" t="s">
        <v>5558</v>
      </c>
      <c r="I131" s="680" t="s">
        <v>5559</v>
      </c>
      <c r="J131" s="680" t="s">
        <v>5560</v>
      </c>
    </row>
    <row r="132" spans="1:10" ht="50" customHeight="1" x14ac:dyDescent="0.45">
      <c r="A132" s="701" t="s">
        <v>5561</v>
      </c>
      <c r="B132" s="680" t="s">
        <v>5562</v>
      </c>
      <c r="C132" s="680" t="s">
        <v>5563</v>
      </c>
      <c r="D132" s="680" t="s">
        <v>5564</v>
      </c>
      <c r="E132" s="680" t="s">
        <v>5565</v>
      </c>
      <c r="F132" s="680" t="s">
        <v>5566</v>
      </c>
      <c r="G132" s="680" t="s">
        <v>5567</v>
      </c>
      <c r="H132" s="680" t="s">
        <v>5568</v>
      </c>
      <c r="I132" s="680" t="s">
        <v>5569</v>
      </c>
      <c r="J132" s="680" t="s">
        <v>5570</v>
      </c>
    </row>
    <row r="133" spans="1:10" ht="50" customHeight="1" x14ac:dyDescent="0.45">
      <c r="A133" s="701" t="s">
        <v>5571</v>
      </c>
      <c r="B133" s="680" t="s">
        <v>5572</v>
      </c>
      <c r="C133" s="680" t="s">
        <v>5573</v>
      </c>
      <c r="D133" s="680" t="s">
        <v>5574</v>
      </c>
      <c r="E133" s="680" t="s">
        <v>5575</v>
      </c>
      <c r="F133" s="680" t="s">
        <v>5576</v>
      </c>
      <c r="G133" s="680" t="s">
        <v>5577</v>
      </c>
      <c r="H133" s="680" t="s">
        <v>5578</v>
      </c>
      <c r="I133" s="680" t="s">
        <v>5579</v>
      </c>
      <c r="J133" s="680" t="s">
        <v>5580</v>
      </c>
    </row>
    <row r="134" spans="1:10" ht="50" customHeight="1" x14ac:dyDescent="0.45">
      <c r="A134" s="701" t="s">
        <v>5581</v>
      </c>
      <c r="B134" s="680" t="s">
        <v>5582</v>
      </c>
      <c r="C134" s="680" t="s">
        <v>5583</v>
      </c>
      <c r="D134" s="680" t="s">
        <v>5584</v>
      </c>
      <c r="E134" s="680" t="s">
        <v>5585</v>
      </c>
      <c r="F134" s="680" t="s">
        <v>5586</v>
      </c>
      <c r="G134" s="680" t="s">
        <v>5587</v>
      </c>
      <c r="H134" s="680" t="s">
        <v>5588</v>
      </c>
      <c r="I134" s="680" t="s">
        <v>5589</v>
      </c>
      <c r="J134" s="680" t="s">
        <v>5590</v>
      </c>
    </row>
    <row r="135" spans="1:10" ht="50" customHeight="1" x14ac:dyDescent="0.45">
      <c r="A135" s="701" t="s">
        <v>5591</v>
      </c>
      <c r="B135" s="680" t="s">
        <v>5592</v>
      </c>
      <c r="C135" s="680" t="s">
        <v>5593</v>
      </c>
      <c r="D135" s="680" t="s">
        <v>5594</v>
      </c>
      <c r="E135" s="680" t="s">
        <v>5595</v>
      </c>
      <c r="F135" s="680" t="s">
        <v>5596</v>
      </c>
      <c r="G135" s="680" t="s">
        <v>5597</v>
      </c>
      <c r="H135" s="680" t="s">
        <v>5598</v>
      </c>
      <c r="I135" s="680" t="s">
        <v>5599</v>
      </c>
      <c r="J135" s="680" t="s">
        <v>5600</v>
      </c>
    </row>
  </sheetData>
  <mergeCells count="11">
    <mergeCell ref="A71:H71"/>
    <mergeCell ref="A82:F82"/>
    <mergeCell ref="A93:G93"/>
    <mergeCell ref="A108:G108"/>
    <mergeCell ref="A119:J119"/>
    <mergeCell ref="A1:J1"/>
    <mergeCell ref="A2:J2"/>
    <mergeCell ref="A4:H4"/>
    <mergeCell ref="A22:H22"/>
    <mergeCell ref="A40:G40"/>
    <mergeCell ref="A48:H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1F76-B43E-47DC-97FF-4E552194CCF6}">
  <dimension ref="A1:F159"/>
  <sheetViews>
    <sheetView workbookViewId="0">
      <pane ySplit="3" topLeftCell="A35" activePane="bottomLeft" state="frozen"/>
      <selection pane="bottomLeft" activeCell="A35" sqref="A1:XFD1048576"/>
    </sheetView>
  </sheetViews>
  <sheetFormatPr defaultRowHeight="14.25" x14ac:dyDescent="0.45"/>
  <cols>
    <col min="1" max="1" width="49.796875" customWidth="1"/>
    <col min="2" max="2" width="35.53125" customWidth="1"/>
    <col min="3" max="3" width="53.33203125" customWidth="1"/>
    <col min="4" max="6" width="62.19921875" customWidth="1"/>
  </cols>
  <sheetData>
    <row r="1" spans="1:5" ht="23.25" x14ac:dyDescent="0.7">
      <c r="A1" s="667" t="s">
        <v>4483</v>
      </c>
      <c r="B1" s="667"/>
      <c r="C1" s="667"/>
      <c r="D1" s="667"/>
      <c r="E1" s="667"/>
    </row>
    <row r="2" spans="1:5" x14ac:dyDescent="0.45">
      <c r="A2" s="668" t="s">
        <v>4484</v>
      </c>
      <c r="B2" s="668"/>
      <c r="C2" s="668"/>
      <c r="D2" s="668"/>
      <c r="E2" s="668"/>
    </row>
    <row r="4" spans="1:5" ht="18" x14ac:dyDescent="0.55000000000000004">
      <c r="A4" s="669" t="s">
        <v>4485</v>
      </c>
      <c r="B4" s="669"/>
      <c r="C4" s="669"/>
      <c r="D4" s="669"/>
      <c r="E4" s="669"/>
    </row>
    <row r="5" spans="1:5" ht="21" x14ac:dyDescent="0.65">
      <c r="A5" s="639" t="s">
        <v>4486</v>
      </c>
      <c r="B5" s="646" t="s">
        <v>4487</v>
      </c>
    </row>
    <row r="7" spans="1:5" x14ac:dyDescent="0.45">
      <c r="A7" s="574" t="s">
        <v>4319</v>
      </c>
      <c r="B7" s="575" t="s">
        <v>4488</v>
      </c>
      <c r="C7" s="574" t="s">
        <v>4042</v>
      </c>
      <c r="D7" s="574" t="s">
        <v>4456</v>
      </c>
      <c r="E7" s="574" t="s">
        <v>4489</v>
      </c>
    </row>
    <row r="8" spans="1:5" x14ac:dyDescent="0.45">
      <c r="A8" s="592" t="s">
        <v>4490</v>
      </c>
      <c r="B8" s="647">
        <v>46305</v>
      </c>
      <c r="C8" t="s">
        <v>4491</v>
      </c>
      <c r="D8" t="s">
        <v>4492</v>
      </c>
      <c r="E8" t="s">
        <v>4493</v>
      </c>
    </row>
    <row r="9" spans="1:5" x14ac:dyDescent="0.45">
      <c r="A9" s="592" t="s">
        <v>4494</v>
      </c>
      <c r="B9" s="648" t="s">
        <v>4495</v>
      </c>
      <c r="C9" t="s">
        <v>4496</v>
      </c>
      <c r="D9" t="s">
        <v>4497</v>
      </c>
      <c r="E9" t="s">
        <v>4498</v>
      </c>
    </row>
    <row r="10" spans="1:5" x14ac:dyDescent="0.45">
      <c r="A10" s="592" t="s">
        <v>4499</v>
      </c>
      <c r="B10" s="649" t="s">
        <v>4500</v>
      </c>
      <c r="C10" t="s">
        <v>4501</v>
      </c>
      <c r="D10" t="s">
        <v>4502</v>
      </c>
      <c r="E10" t="s">
        <v>4503</v>
      </c>
    </row>
    <row r="11" spans="1:5" x14ac:dyDescent="0.45">
      <c r="A11" s="592" t="s">
        <v>4504</v>
      </c>
      <c r="B11" s="650">
        <v>46183</v>
      </c>
      <c r="C11" t="s">
        <v>4505</v>
      </c>
      <c r="D11" t="s">
        <v>4506</v>
      </c>
      <c r="E11" t="s">
        <v>4507</v>
      </c>
    </row>
    <row r="12" spans="1:5" x14ac:dyDescent="0.45">
      <c r="A12" s="592" t="s">
        <v>4508</v>
      </c>
      <c r="B12" s="647">
        <v>46244</v>
      </c>
      <c r="C12" t="s">
        <v>4509</v>
      </c>
      <c r="D12" t="s">
        <v>4510</v>
      </c>
      <c r="E12" t="s">
        <v>4511</v>
      </c>
    </row>
    <row r="13" spans="1:5" x14ac:dyDescent="0.45">
      <c r="A13" s="592" t="s">
        <v>4512</v>
      </c>
      <c r="B13" s="647">
        <v>46275</v>
      </c>
      <c r="C13" t="s">
        <v>4513</v>
      </c>
      <c r="D13" t="s">
        <v>4514</v>
      </c>
      <c r="E13" t="s">
        <v>4515</v>
      </c>
    </row>
    <row r="14" spans="1:5" x14ac:dyDescent="0.45">
      <c r="A14" s="592" t="s">
        <v>4516</v>
      </c>
      <c r="B14" s="651">
        <v>46213</v>
      </c>
      <c r="C14" t="s">
        <v>4517</v>
      </c>
      <c r="D14" t="s">
        <v>4518</v>
      </c>
      <c r="E14" t="s">
        <v>4519</v>
      </c>
    </row>
    <row r="15" spans="1:5" x14ac:dyDescent="0.45">
      <c r="A15" s="592" t="s">
        <v>4520</v>
      </c>
      <c r="B15" s="652">
        <v>46152</v>
      </c>
      <c r="C15" t="s">
        <v>4521</v>
      </c>
      <c r="D15" t="s">
        <v>4522</v>
      </c>
      <c r="E15" t="s">
        <v>4523</v>
      </c>
    </row>
    <row r="16" spans="1:5" x14ac:dyDescent="0.45">
      <c r="A16" s="592" t="s">
        <v>4524</v>
      </c>
      <c r="B16" s="636" t="s">
        <v>4525</v>
      </c>
      <c r="C16" t="s">
        <v>4526</v>
      </c>
      <c r="D16" t="s">
        <v>4527</v>
      </c>
      <c r="E16" t="s">
        <v>4528</v>
      </c>
    </row>
    <row r="17" spans="1:5" x14ac:dyDescent="0.45">
      <c r="A17" s="592" t="s">
        <v>4529</v>
      </c>
      <c r="B17" s="648" t="s">
        <v>4495</v>
      </c>
      <c r="C17" t="s">
        <v>4530</v>
      </c>
      <c r="D17" t="s">
        <v>4531</v>
      </c>
      <c r="E17" t="s">
        <v>4532</v>
      </c>
    </row>
    <row r="19" spans="1:5" ht="23.25" x14ac:dyDescent="0.7">
      <c r="A19" s="640" t="s">
        <v>4533</v>
      </c>
      <c r="B19" s="653">
        <f>(10+9.5+5.5+6+8+9+7+5+7.5+9.5)/10</f>
        <v>7.7</v>
      </c>
      <c r="C19" s="601" t="s">
        <v>4534</v>
      </c>
    </row>
    <row r="22" spans="1:5" ht="18" x14ac:dyDescent="0.55000000000000004">
      <c r="A22" s="670" t="s">
        <v>4535</v>
      </c>
      <c r="B22" s="670"/>
      <c r="C22" s="670"/>
      <c r="D22" s="670"/>
      <c r="E22" s="670"/>
    </row>
    <row r="23" spans="1:5" x14ac:dyDescent="0.45">
      <c r="A23" s="613" t="s">
        <v>4536</v>
      </c>
      <c r="B23" s="613"/>
      <c r="C23" s="613"/>
      <c r="D23" s="613"/>
      <c r="E23" s="613"/>
    </row>
    <row r="25" spans="1:5" ht="15.75" x14ac:dyDescent="0.5">
      <c r="A25" s="654" t="s">
        <v>4537</v>
      </c>
    </row>
    <row r="26" spans="1:5" x14ac:dyDescent="0.45">
      <c r="A26" s="592" t="s">
        <v>4538</v>
      </c>
      <c r="B26" t="s">
        <v>4539</v>
      </c>
    </row>
    <row r="27" spans="1:5" x14ac:dyDescent="0.45">
      <c r="A27" s="592" t="s">
        <v>4540</v>
      </c>
      <c r="B27" t="s">
        <v>4541</v>
      </c>
    </row>
    <row r="28" spans="1:5" x14ac:dyDescent="0.45">
      <c r="A28" s="655" t="s">
        <v>4542</v>
      </c>
      <c r="B28" t="s">
        <v>4543</v>
      </c>
    </row>
    <row r="29" spans="1:5" x14ac:dyDescent="0.45">
      <c r="A29" s="655" t="s">
        <v>4544</v>
      </c>
      <c r="B29" t="s">
        <v>4545</v>
      </c>
    </row>
    <row r="30" spans="1:5" x14ac:dyDescent="0.45">
      <c r="A30" s="655" t="s">
        <v>4546</v>
      </c>
      <c r="B30" t="s">
        <v>4547</v>
      </c>
    </row>
    <row r="32" spans="1:5" ht="15.75" x14ac:dyDescent="0.5">
      <c r="A32" s="654" t="s">
        <v>4548</v>
      </c>
    </row>
    <row r="33" spans="1:2" x14ac:dyDescent="0.45">
      <c r="A33" s="655" t="s">
        <v>4538</v>
      </c>
      <c r="B33" t="s">
        <v>4549</v>
      </c>
    </row>
    <row r="34" spans="1:2" x14ac:dyDescent="0.45">
      <c r="A34" s="655" t="s">
        <v>4550</v>
      </c>
      <c r="B34" t="s">
        <v>4551</v>
      </c>
    </row>
    <row r="36" spans="1:2" ht="15.75" x14ac:dyDescent="0.5">
      <c r="A36" s="656" t="s">
        <v>4552</v>
      </c>
    </row>
    <row r="37" spans="1:2" x14ac:dyDescent="0.45">
      <c r="A37" s="592" t="s">
        <v>4538</v>
      </c>
      <c r="B37" t="s">
        <v>4553</v>
      </c>
    </row>
    <row r="38" spans="1:2" x14ac:dyDescent="0.45">
      <c r="A38" s="655" t="s">
        <v>4550</v>
      </c>
      <c r="B38" t="s">
        <v>4554</v>
      </c>
    </row>
    <row r="40" spans="1:2" ht="15.75" x14ac:dyDescent="0.5">
      <c r="A40" s="656" t="s">
        <v>4555</v>
      </c>
    </row>
    <row r="41" spans="1:2" x14ac:dyDescent="0.45">
      <c r="A41" s="592" t="s">
        <v>4538</v>
      </c>
      <c r="B41" t="s">
        <v>4556</v>
      </c>
    </row>
    <row r="42" spans="1:2" x14ac:dyDescent="0.45">
      <c r="A42" s="655" t="s">
        <v>4550</v>
      </c>
      <c r="B42" t="s">
        <v>4557</v>
      </c>
    </row>
    <row r="44" spans="1:2" ht="15.75" x14ac:dyDescent="0.5">
      <c r="A44" s="657" t="s">
        <v>4558</v>
      </c>
    </row>
    <row r="45" spans="1:2" x14ac:dyDescent="0.45">
      <c r="A45" s="592" t="s">
        <v>4538</v>
      </c>
      <c r="B45" t="s">
        <v>4559</v>
      </c>
    </row>
    <row r="46" spans="1:2" x14ac:dyDescent="0.45">
      <c r="A46" s="655" t="s">
        <v>4550</v>
      </c>
      <c r="B46" t="s">
        <v>4560</v>
      </c>
    </row>
    <row r="49" spans="1:5" ht="18" x14ac:dyDescent="0.55000000000000004">
      <c r="A49" s="670" t="s">
        <v>4561</v>
      </c>
      <c r="B49" s="670"/>
      <c r="C49" s="670"/>
      <c r="D49" s="670"/>
      <c r="E49" s="670"/>
    </row>
    <row r="50" spans="1:5" x14ac:dyDescent="0.45">
      <c r="A50" s="613" t="s">
        <v>4562</v>
      </c>
      <c r="B50" s="613"/>
      <c r="C50" s="613"/>
      <c r="D50" s="613"/>
      <c r="E50" s="613"/>
    </row>
    <row r="52" spans="1:5" x14ac:dyDescent="0.45">
      <c r="A52" s="595" t="s">
        <v>4563</v>
      </c>
      <c r="B52" s="595" t="s">
        <v>4564</v>
      </c>
      <c r="C52" s="595" t="s">
        <v>4243</v>
      </c>
      <c r="D52" s="595" t="s">
        <v>4565</v>
      </c>
      <c r="E52" s="600" t="s">
        <v>2476</v>
      </c>
    </row>
    <row r="53" spans="1:5" x14ac:dyDescent="0.45">
      <c r="A53" s="655" t="s">
        <v>4566</v>
      </c>
      <c r="B53" t="s">
        <v>4567</v>
      </c>
      <c r="C53" t="s">
        <v>4568</v>
      </c>
      <c r="D53" t="s">
        <v>4569</v>
      </c>
      <c r="E53" s="591" t="s">
        <v>4226</v>
      </c>
    </row>
    <row r="54" spans="1:5" x14ac:dyDescent="0.45">
      <c r="B54" t="s">
        <v>4570</v>
      </c>
      <c r="C54" t="s">
        <v>4571</v>
      </c>
      <c r="D54" t="s">
        <v>4572</v>
      </c>
      <c r="E54" s="591" t="s">
        <v>4229</v>
      </c>
    </row>
    <row r="55" spans="1:5" x14ac:dyDescent="0.45">
      <c r="A55" s="655" t="s">
        <v>4573</v>
      </c>
      <c r="B55" t="s">
        <v>4574</v>
      </c>
      <c r="C55" t="s">
        <v>4575</v>
      </c>
      <c r="D55" t="s">
        <v>4576</v>
      </c>
      <c r="E55" s="591" t="s">
        <v>4226</v>
      </c>
    </row>
    <row r="56" spans="1:5" x14ac:dyDescent="0.45">
      <c r="B56" t="s">
        <v>4577</v>
      </c>
      <c r="C56" t="s">
        <v>4578</v>
      </c>
      <c r="D56" t="s">
        <v>4579</v>
      </c>
      <c r="E56" s="591" t="s">
        <v>4229</v>
      </c>
    </row>
    <row r="57" spans="1:5" x14ac:dyDescent="0.45">
      <c r="B57" t="s">
        <v>4580</v>
      </c>
      <c r="C57" t="s">
        <v>4581</v>
      </c>
      <c r="D57" t="s">
        <v>4582</v>
      </c>
      <c r="E57" s="591" t="s">
        <v>4226</v>
      </c>
    </row>
    <row r="58" spans="1:5" x14ac:dyDescent="0.45">
      <c r="A58" s="655" t="s">
        <v>4583</v>
      </c>
      <c r="B58" t="s">
        <v>4584</v>
      </c>
      <c r="C58" t="s">
        <v>4585</v>
      </c>
      <c r="D58" t="s">
        <v>4586</v>
      </c>
      <c r="E58" s="591" t="s">
        <v>4226</v>
      </c>
    </row>
    <row r="59" spans="1:5" x14ac:dyDescent="0.45">
      <c r="B59" t="s">
        <v>4587</v>
      </c>
      <c r="C59" t="s">
        <v>4588</v>
      </c>
      <c r="D59" t="s">
        <v>4589</v>
      </c>
      <c r="E59" s="591" t="s">
        <v>4226</v>
      </c>
    </row>
    <row r="60" spans="1:5" x14ac:dyDescent="0.45">
      <c r="B60" t="s">
        <v>4590</v>
      </c>
      <c r="C60" t="s">
        <v>4591</v>
      </c>
      <c r="D60" t="s">
        <v>4592</v>
      </c>
      <c r="E60" s="591" t="s">
        <v>4593</v>
      </c>
    </row>
    <row r="61" spans="1:5" x14ac:dyDescent="0.45">
      <c r="A61" s="655" t="s">
        <v>4594</v>
      </c>
      <c r="B61" t="s">
        <v>4595</v>
      </c>
      <c r="C61" t="s">
        <v>4596</v>
      </c>
      <c r="D61" t="s">
        <v>4597</v>
      </c>
      <c r="E61" s="591" t="s">
        <v>4229</v>
      </c>
    </row>
    <row r="62" spans="1:5" x14ac:dyDescent="0.45">
      <c r="B62" t="s">
        <v>4598</v>
      </c>
      <c r="C62" t="s">
        <v>4599</v>
      </c>
      <c r="D62" t="s">
        <v>4600</v>
      </c>
      <c r="E62" s="591" t="s">
        <v>4229</v>
      </c>
    </row>
    <row r="65" spans="1:6" ht="18" x14ac:dyDescent="0.55000000000000004">
      <c r="A65" s="670" t="s">
        <v>4601</v>
      </c>
      <c r="B65" s="670"/>
      <c r="C65" s="670"/>
      <c r="D65" s="670"/>
      <c r="E65" s="670"/>
      <c r="F65" s="670"/>
    </row>
    <row r="66" spans="1:6" x14ac:dyDescent="0.45">
      <c r="A66" s="613" t="s">
        <v>4602</v>
      </c>
      <c r="B66" s="613"/>
      <c r="C66" s="613"/>
      <c r="D66" s="613"/>
      <c r="E66" s="613"/>
      <c r="F66" s="613"/>
    </row>
    <row r="68" spans="1:6" x14ac:dyDescent="0.45">
      <c r="A68" s="600" t="s">
        <v>0</v>
      </c>
      <c r="B68" s="595" t="s">
        <v>4603</v>
      </c>
      <c r="C68" s="600" t="s">
        <v>4604</v>
      </c>
      <c r="D68" s="600" t="s">
        <v>4605</v>
      </c>
      <c r="E68" s="600" t="s">
        <v>4606</v>
      </c>
      <c r="F68" s="600" t="s">
        <v>4607</v>
      </c>
    </row>
    <row r="69" spans="1:6" x14ac:dyDescent="0.45">
      <c r="A69" s="593">
        <v>1</v>
      </c>
      <c r="B69" s="592" t="s">
        <v>4608</v>
      </c>
      <c r="C69" s="591" t="s">
        <v>4609</v>
      </c>
      <c r="D69" s="591" t="s">
        <v>4610</v>
      </c>
      <c r="E69" s="591" t="s">
        <v>4611</v>
      </c>
      <c r="F69" s="591" t="s">
        <v>4612</v>
      </c>
    </row>
    <row r="70" spans="1:6" x14ac:dyDescent="0.45">
      <c r="A70" s="593">
        <v>2</v>
      </c>
      <c r="B70" s="592" t="s">
        <v>4613</v>
      </c>
      <c r="C70" s="591" t="s">
        <v>4609</v>
      </c>
      <c r="D70" s="591" t="s">
        <v>4614</v>
      </c>
      <c r="E70" s="591" t="s">
        <v>4611</v>
      </c>
      <c r="F70" s="591" t="s">
        <v>4615</v>
      </c>
    </row>
    <row r="71" spans="1:6" x14ac:dyDescent="0.45">
      <c r="A71" s="593">
        <v>3</v>
      </c>
      <c r="B71" s="592" t="s">
        <v>4616</v>
      </c>
      <c r="C71" s="591" t="s">
        <v>4617</v>
      </c>
      <c r="D71" s="591" t="s">
        <v>4609</v>
      </c>
      <c r="E71" s="591" t="s">
        <v>4618</v>
      </c>
      <c r="F71" s="591" t="s">
        <v>4619</v>
      </c>
    </row>
    <row r="72" spans="1:6" x14ac:dyDescent="0.45">
      <c r="A72" s="593">
        <v>4</v>
      </c>
      <c r="B72" s="592" t="s">
        <v>4620</v>
      </c>
      <c r="C72" s="591" t="s">
        <v>4617</v>
      </c>
      <c r="D72" s="591" t="s">
        <v>4609</v>
      </c>
      <c r="E72" s="591" t="s">
        <v>4618</v>
      </c>
      <c r="F72" s="591" t="s">
        <v>4621</v>
      </c>
    </row>
    <row r="73" spans="1:6" x14ac:dyDescent="0.45">
      <c r="A73" s="593">
        <v>5</v>
      </c>
      <c r="B73" s="592" t="s">
        <v>4622</v>
      </c>
      <c r="C73" s="591" t="s">
        <v>4609</v>
      </c>
      <c r="D73" s="591" t="s">
        <v>4617</v>
      </c>
      <c r="E73" s="591" t="s">
        <v>4623</v>
      </c>
      <c r="F73" s="591" t="s">
        <v>4624</v>
      </c>
    </row>
    <row r="74" spans="1:6" x14ac:dyDescent="0.45">
      <c r="A74" s="593">
        <v>6</v>
      </c>
      <c r="B74" s="592" t="s">
        <v>4625</v>
      </c>
      <c r="C74" s="591" t="s">
        <v>4609</v>
      </c>
      <c r="D74" s="591" t="s">
        <v>4610</v>
      </c>
      <c r="E74" s="591" t="s">
        <v>4626</v>
      </c>
      <c r="F74" s="591" t="s">
        <v>4627</v>
      </c>
    </row>
    <row r="75" spans="1:6" x14ac:dyDescent="0.45">
      <c r="A75" s="593">
        <v>7</v>
      </c>
      <c r="B75" s="592" t="s">
        <v>4628</v>
      </c>
      <c r="C75" s="591" t="s">
        <v>4617</v>
      </c>
      <c r="D75" s="591" t="s">
        <v>4609</v>
      </c>
      <c r="E75" s="591" t="s">
        <v>4629</v>
      </c>
      <c r="F75" s="591" t="s">
        <v>4630</v>
      </c>
    </row>
    <row r="76" spans="1:6" x14ac:dyDescent="0.45">
      <c r="A76" s="593">
        <v>8</v>
      </c>
      <c r="B76" s="592" t="s">
        <v>4631</v>
      </c>
      <c r="C76" s="591" t="s">
        <v>4610</v>
      </c>
      <c r="D76" s="591" t="s">
        <v>4609</v>
      </c>
      <c r="E76" s="591" t="s">
        <v>4632</v>
      </c>
      <c r="F76" s="591" t="s">
        <v>4633</v>
      </c>
    </row>
    <row r="79" spans="1:6" ht="18" x14ac:dyDescent="0.55000000000000004">
      <c r="A79" s="670" t="s">
        <v>4639</v>
      </c>
      <c r="B79" s="670"/>
      <c r="C79" s="670"/>
      <c r="D79" s="670"/>
    </row>
    <row r="80" spans="1:6" x14ac:dyDescent="0.45">
      <c r="A80" s="595" t="s">
        <v>4039</v>
      </c>
      <c r="B80" s="600" t="s">
        <v>4040</v>
      </c>
      <c r="C80" s="600" t="s">
        <v>4041</v>
      </c>
      <c r="D80" s="595" t="s">
        <v>4042</v>
      </c>
    </row>
    <row r="81" spans="1:5" ht="21" x14ac:dyDescent="0.65">
      <c r="A81" t="s">
        <v>4640</v>
      </c>
      <c r="B81" s="659">
        <f>COUNTIF('All 108 Regulators - Frameworks'!BB:BB,"DEEP")</f>
        <v>115</v>
      </c>
      <c r="C81" s="602">
        <f>IFERROR(B81/(B81+B82+B83+B84),0)</f>
        <v>0.25498891352549891</v>
      </c>
      <c r="D81" t="s">
        <v>4641</v>
      </c>
    </row>
    <row r="82" spans="1:5" ht="21" x14ac:dyDescent="0.65">
      <c r="A82" t="s">
        <v>4642</v>
      </c>
      <c r="B82" s="660">
        <f>COUNTIF('All 108 Regulators - Frameworks'!BB:BB,"TEMPLATE")</f>
        <v>336</v>
      </c>
      <c r="C82" s="602">
        <f>IFERROR(B82/(B81+B82+B83+B84),0)</f>
        <v>0.74501108647450109</v>
      </c>
      <c r="D82" t="s">
        <v>4643</v>
      </c>
    </row>
    <row r="83" spans="1:5" ht="21" x14ac:dyDescent="0.65">
      <c r="A83" t="s">
        <v>4644</v>
      </c>
      <c r="B83" s="661">
        <f>COUNTIF('All 108 Regulators - Frameworks'!BB:BB,"SHALLOW")</f>
        <v>0</v>
      </c>
      <c r="C83" s="602">
        <f>IFERROR(B83/(B81+B82+B83+B84),0)</f>
        <v>0</v>
      </c>
      <c r="D83" t="s">
        <v>4645</v>
      </c>
    </row>
    <row r="84" spans="1:5" ht="21" x14ac:dyDescent="0.65">
      <c r="A84" t="s">
        <v>4646</v>
      </c>
      <c r="B84" s="662">
        <f>COUNTIF('All 108 Regulators - Frameworks'!BB:BB,"SPARSE")</f>
        <v>0</v>
      </c>
      <c r="C84" s="602">
        <f>IFERROR(B84/(B81+B82+B83+B84),0)</f>
        <v>0</v>
      </c>
      <c r="D84" t="s">
        <v>4647</v>
      </c>
    </row>
    <row r="86" spans="1:5" ht="21" x14ac:dyDescent="0.65">
      <c r="A86" s="663" t="s">
        <v>4648</v>
      </c>
      <c r="B86" s="664">
        <f>AVERAGEIF('All 108 Regulators - Frameworks'!BF:BF,"&gt;0")</f>
        <v>9.917960088691796</v>
      </c>
      <c r="C86" s="578" t="s">
        <v>4649</v>
      </c>
    </row>
    <row r="87" spans="1:5" ht="21" x14ac:dyDescent="0.65">
      <c r="A87" s="663" t="s">
        <v>4650</v>
      </c>
      <c r="B87" s="631">
        <f>COUNTIFS('All 108 Regulators - Frameworks'!BB:BB,"DEEP",'All 108 Regulators - Frameworks'!N:N,"HIGHEST")</f>
        <v>70</v>
      </c>
      <c r="C87" s="581" t="s">
        <v>4651</v>
      </c>
    </row>
    <row r="88" spans="1:5" ht="21" x14ac:dyDescent="0.65">
      <c r="A88" s="663" t="s">
        <v>4652</v>
      </c>
      <c r="B88" s="660">
        <f>COUNTIFS('All 108 Regulators - Frameworks'!BB:BB,"TEMPLATE",'All 108 Regulators - Frameworks'!N:N,"HIGHEST")</f>
        <v>69</v>
      </c>
      <c r="C88" s="583" t="s">
        <v>4653</v>
      </c>
    </row>
    <row r="91" spans="1:5" ht="18" x14ac:dyDescent="0.55000000000000004">
      <c r="A91" s="670" t="s">
        <v>4654</v>
      </c>
      <c r="B91" s="670"/>
      <c r="C91" s="670"/>
      <c r="D91" s="670"/>
      <c r="E91" s="670"/>
    </row>
    <row r="92" spans="1:5" x14ac:dyDescent="0.45">
      <c r="A92" s="613" t="s">
        <v>4655</v>
      </c>
      <c r="B92" s="613"/>
      <c r="C92" s="613"/>
      <c r="D92" s="613"/>
      <c r="E92" s="613"/>
    </row>
    <row r="94" spans="1:5" x14ac:dyDescent="0.45">
      <c r="A94" s="595" t="s">
        <v>4656</v>
      </c>
      <c r="B94" s="595" t="s">
        <v>4657</v>
      </c>
      <c r="C94" s="595" t="s">
        <v>4658</v>
      </c>
      <c r="D94" s="595" t="s">
        <v>4659</v>
      </c>
      <c r="E94" s="595" t="s">
        <v>4660</v>
      </c>
    </row>
    <row r="95" spans="1:5" x14ac:dyDescent="0.45">
      <c r="A95" t="s">
        <v>4661</v>
      </c>
      <c r="B95" t="s">
        <v>4662</v>
      </c>
      <c r="C95" t="s">
        <v>4663</v>
      </c>
      <c r="D95" t="s">
        <v>4664</v>
      </c>
      <c r="E95" t="s">
        <v>4665</v>
      </c>
    </row>
    <row r="96" spans="1:5" x14ac:dyDescent="0.45">
      <c r="A96" t="s">
        <v>4666</v>
      </c>
      <c r="B96" t="s">
        <v>4667</v>
      </c>
      <c r="C96" t="s">
        <v>4668</v>
      </c>
      <c r="D96" t="s">
        <v>4669</v>
      </c>
      <c r="E96" t="s">
        <v>4670</v>
      </c>
    </row>
    <row r="97" spans="1:5" x14ac:dyDescent="0.45">
      <c r="A97" t="s">
        <v>4671</v>
      </c>
      <c r="B97" t="s">
        <v>4672</v>
      </c>
      <c r="C97" t="s">
        <v>4673</v>
      </c>
      <c r="D97" t="s">
        <v>4674</v>
      </c>
      <c r="E97" t="s">
        <v>4675</v>
      </c>
    </row>
    <row r="98" spans="1:5" x14ac:dyDescent="0.45">
      <c r="A98" t="s">
        <v>4676</v>
      </c>
      <c r="B98" t="s">
        <v>4677</v>
      </c>
      <c r="C98" t="s">
        <v>4678</v>
      </c>
      <c r="D98" t="s">
        <v>4679</v>
      </c>
      <c r="E98" t="s">
        <v>4680</v>
      </c>
    </row>
    <row r="99" spans="1:5" x14ac:dyDescent="0.45">
      <c r="A99" t="s">
        <v>4681</v>
      </c>
      <c r="B99" t="s">
        <v>4682</v>
      </c>
      <c r="C99" t="s">
        <v>4683</v>
      </c>
      <c r="D99" t="s">
        <v>4684</v>
      </c>
      <c r="E99" t="s">
        <v>4685</v>
      </c>
    </row>
    <row r="100" spans="1:5" x14ac:dyDescent="0.45">
      <c r="A100" t="s">
        <v>4686</v>
      </c>
      <c r="B100" t="s">
        <v>4687</v>
      </c>
      <c r="C100" t="s">
        <v>4688</v>
      </c>
      <c r="D100" t="s">
        <v>4689</v>
      </c>
      <c r="E100" t="s">
        <v>4690</v>
      </c>
    </row>
    <row r="101" spans="1:5" x14ac:dyDescent="0.45">
      <c r="A101" t="s">
        <v>4691</v>
      </c>
      <c r="B101" t="s">
        <v>4692</v>
      </c>
      <c r="C101" t="s">
        <v>4693</v>
      </c>
      <c r="D101" t="s">
        <v>4694</v>
      </c>
      <c r="E101" t="s">
        <v>4695</v>
      </c>
    </row>
    <row r="102" spans="1:5" x14ac:dyDescent="0.45">
      <c r="A102" t="s">
        <v>4696</v>
      </c>
      <c r="B102" t="s">
        <v>4697</v>
      </c>
      <c r="C102" t="s">
        <v>4698</v>
      </c>
      <c r="D102" t="s">
        <v>4699</v>
      </c>
      <c r="E102" t="s">
        <v>4700</v>
      </c>
    </row>
    <row r="105" spans="1:5" ht="18" x14ac:dyDescent="0.55000000000000004">
      <c r="A105" s="670" t="s">
        <v>4701</v>
      </c>
      <c r="B105" s="670"/>
      <c r="C105" s="670"/>
      <c r="D105" s="670"/>
      <c r="E105" s="670"/>
    </row>
    <row r="106" spans="1:5" x14ac:dyDescent="0.45">
      <c r="A106" s="613" t="s">
        <v>4702</v>
      </c>
      <c r="B106" s="613"/>
      <c r="C106" s="613"/>
      <c r="D106" s="613"/>
      <c r="E106" s="613"/>
    </row>
    <row r="108" spans="1:5" x14ac:dyDescent="0.45">
      <c r="A108" s="595" t="s">
        <v>4703</v>
      </c>
      <c r="B108" s="595" t="s">
        <v>4704</v>
      </c>
      <c r="C108" s="595" t="s">
        <v>4705</v>
      </c>
      <c r="D108" s="595" t="s">
        <v>4706</v>
      </c>
      <c r="E108" s="600" t="s">
        <v>2476</v>
      </c>
    </row>
    <row r="109" spans="1:5" x14ac:dyDescent="0.45">
      <c r="A109" s="665" t="s">
        <v>4707</v>
      </c>
      <c r="B109" t="s">
        <v>4708</v>
      </c>
      <c r="C109" t="s">
        <v>4709</v>
      </c>
      <c r="D109" s="666" t="s">
        <v>4710</v>
      </c>
      <c r="E109" s="591" t="s">
        <v>4226</v>
      </c>
    </row>
    <row r="110" spans="1:5" x14ac:dyDescent="0.45">
      <c r="A110" s="665" t="s">
        <v>4711</v>
      </c>
      <c r="B110" t="s">
        <v>4712</v>
      </c>
      <c r="C110" t="s">
        <v>4713</v>
      </c>
      <c r="D110" s="666" t="s">
        <v>4714</v>
      </c>
      <c r="E110" s="591" t="s">
        <v>4226</v>
      </c>
    </row>
    <row r="111" spans="1:5" x14ac:dyDescent="0.45">
      <c r="A111" s="665" t="s">
        <v>4715</v>
      </c>
      <c r="B111" t="s">
        <v>4716</v>
      </c>
      <c r="C111" t="s">
        <v>4717</v>
      </c>
      <c r="D111" s="666" t="s">
        <v>4718</v>
      </c>
      <c r="E111" s="591" t="s">
        <v>4226</v>
      </c>
    </row>
    <row r="112" spans="1:5" x14ac:dyDescent="0.45">
      <c r="A112" s="665" t="s">
        <v>4719</v>
      </c>
      <c r="B112" t="s">
        <v>4720</v>
      </c>
      <c r="C112" t="s">
        <v>4721</v>
      </c>
      <c r="D112" s="666" t="s">
        <v>4722</v>
      </c>
      <c r="E112" s="591" t="s">
        <v>4229</v>
      </c>
    </row>
    <row r="113" spans="1:5" x14ac:dyDescent="0.45">
      <c r="A113" s="665" t="s">
        <v>4723</v>
      </c>
      <c r="B113" t="s">
        <v>4724</v>
      </c>
      <c r="C113" t="s">
        <v>4725</v>
      </c>
      <c r="D113" s="666" t="s">
        <v>4726</v>
      </c>
      <c r="E113" s="591" t="s">
        <v>4229</v>
      </c>
    </row>
    <row r="114" spans="1:5" x14ac:dyDescent="0.45">
      <c r="A114" s="665" t="s">
        <v>4727</v>
      </c>
      <c r="B114" t="s">
        <v>4728</v>
      </c>
      <c r="C114" t="s">
        <v>4729</v>
      </c>
      <c r="D114" s="666" t="s">
        <v>4730</v>
      </c>
      <c r="E114" s="591" t="s">
        <v>4229</v>
      </c>
    </row>
    <row r="115" spans="1:5" x14ac:dyDescent="0.45">
      <c r="A115" s="665" t="s">
        <v>4731</v>
      </c>
      <c r="B115" t="s">
        <v>4732</v>
      </c>
      <c r="C115" t="s">
        <v>4733</v>
      </c>
      <c r="D115" t="s">
        <v>4734</v>
      </c>
      <c r="E115" s="591" t="s">
        <v>4593</v>
      </c>
    </row>
    <row r="116" spans="1:5" x14ac:dyDescent="0.45">
      <c r="A116" s="665" t="s">
        <v>4735</v>
      </c>
      <c r="B116" t="s">
        <v>4736</v>
      </c>
      <c r="C116" t="s">
        <v>4737</v>
      </c>
      <c r="D116" t="s">
        <v>4738</v>
      </c>
      <c r="E116" s="591" t="s">
        <v>4226</v>
      </c>
    </row>
    <row r="119" spans="1:5" ht="17.649999999999999" x14ac:dyDescent="0.5">
      <c r="A119" s="673" t="s">
        <v>4739</v>
      </c>
      <c r="B119" s="673"/>
      <c r="C119" s="673"/>
      <c r="D119" s="673"/>
      <c r="E119" s="673"/>
    </row>
    <row r="121" spans="1:5" ht="15.75" x14ac:dyDescent="0.5">
      <c r="A121" s="671" t="s">
        <v>4740</v>
      </c>
    </row>
    <row r="122" spans="1:5" x14ac:dyDescent="0.45">
      <c r="A122" t="s">
        <v>4741</v>
      </c>
    </row>
    <row r="123" spans="1:5" x14ac:dyDescent="0.45">
      <c r="A123" t="s">
        <v>4742</v>
      </c>
    </row>
    <row r="124" spans="1:5" x14ac:dyDescent="0.45">
      <c r="A124" t="s">
        <v>4743</v>
      </c>
    </row>
    <row r="125" spans="1:5" x14ac:dyDescent="0.45">
      <c r="A125" t="s">
        <v>4744</v>
      </c>
    </row>
    <row r="126" spans="1:5" x14ac:dyDescent="0.45">
      <c r="A126" t="s">
        <v>4745</v>
      </c>
    </row>
    <row r="127" spans="1:5" x14ac:dyDescent="0.45">
      <c r="A127" t="s">
        <v>4746</v>
      </c>
    </row>
    <row r="128" spans="1:5" x14ac:dyDescent="0.45">
      <c r="A128" t="s">
        <v>4747</v>
      </c>
    </row>
    <row r="129" spans="1:2" x14ac:dyDescent="0.45">
      <c r="A129" t="s">
        <v>4748</v>
      </c>
    </row>
    <row r="130" spans="1:2" x14ac:dyDescent="0.45">
      <c r="A130" t="s">
        <v>4749</v>
      </c>
    </row>
    <row r="132" spans="1:2" ht="15.75" x14ac:dyDescent="0.5">
      <c r="A132" s="672" t="s">
        <v>4750</v>
      </c>
    </row>
    <row r="133" spans="1:2" x14ac:dyDescent="0.45">
      <c r="A133" t="s">
        <v>4751</v>
      </c>
    </row>
    <row r="134" spans="1:2" x14ac:dyDescent="0.45">
      <c r="A134" t="s">
        <v>4752</v>
      </c>
    </row>
    <row r="135" spans="1:2" x14ac:dyDescent="0.45">
      <c r="A135" t="s">
        <v>4753</v>
      </c>
    </row>
    <row r="136" spans="1:2" x14ac:dyDescent="0.45">
      <c r="A136" t="s">
        <v>4754</v>
      </c>
    </row>
    <row r="137" spans="1:2" x14ac:dyDescent="0.45">
      <c r="A137" t="s">
        <v>4755</v>
      </c>
    </row>
    <row r="138" spans="1:2" x14ac:dyDescent="0.45">
      <c r="A138" t="s">
        <v>4756</v>
      </c>
    </row>
    <row r="140" spans="1:2" ht="15.75" x14ac:dyDescent="0.5">
      <c r="A140" s="654" t="s">
        <v>4757</v>
      </c>
    </row>
    <row r="141" spans="1:2" ht="18" x14ac:dyDescent="0.55000000000000004">
      <c r="A141" s="592" t="s">
        <v>4758</v>
      </c>
      <c r="B141" s="576" t="s">
        <v>4759</v>
      </c>
    </row>
    <row r="142" spans="1:2" ht="18" x14ac:dyDescent="0.55000000000000004">
      <c r="A142" s="592" t="s">
        <v>4760</v>
      </c>
      <c r="B142" s="576" t="s">
        <v>4761</v>
      </c>
    </row>
    <row r="143" spans="1:2" ht="18" x14ac:dyDescent="0.55000000000000004">
      <c r="A143" s="592" t="s">
        <v>4762</v>
      </c>
      <c r="B143" s="576">
        <f>B81+B82</f>
        <v>451</v>
      </c>
    </row>
    <row r="144" spans="1:2" ht="18" x14ac:dyDescent="0.55000000000000004">
      <c r="A144" s="592" t="s">
        <v>4763</v>
      </c>
      <c r="B144" s="576" t="str">
        <f>B81&amp;" DEEP ("&amp;TEXT(C81,"0.0%")&amp;") + "&amp;B82&amp;" TEMPLATE ("&amp;TEXT(C82,"0.0%")&amp;")"</f>
        <v>115 DEEP (25.5%) + 336 TEMPLATE (74.5%)</v>
      </c>
    </row>
    <row r="145" spans="1:5" ht="18" x14ac:dyDescent="0.55000000000000004">
      <c r="A145" s="592" t="s">
        <v>4764</v>
      </c>
      <c r="B145" s="584" t="s">
        <v>4765</v>
      </c>
    </row>
    <row r="147" spans="1:5" ht="18" x14ac:dyDescent="0.55000000000000004">
      <c r="A147" s="670" t="s">
        <v>4861</v>
      </c>
      <c r="B147" s="670"/>
      <c r="C147" s="670"/>
      <c r="D147" s="670"/>
      <c r="E147" s="670"/>
    </row>
    <row r="148" spans="1:5" x14ac:dyDescent="0.45">
      <c r="A148" s="595" t="s">
        <v>4862</v>
      </c>
      <c r="B148" s="600" t="s">
        <v>4863</v>
      </c>
      <c r="C148" s="600" t="s">
        <v>4864</v>
      </c>
      <c r="D148" s="600" t="s">
        <v>4865</v>
      </c>
      <c r="E148" s="600" t="s">
        <v>4866</v>
      </c>
    </row>
    <row r="149" spans="1:5" x14ac:dyDescent="0.45">
      <c r="A149" t="s">
        <v>4867</v>
      </c>
      <c r="B149" s="591">
        <v>98</v>
      </c>
      <c r="C149" s="648">
        <f>B81</f>
        <v>115</v>
      </c>
      <c r="D149" s="648">
        <f>C149-B149</f>
        <v>17</v>
      </c>
      <c r="E149" t="s">
        <v>4868</v>
      </c>
    </row>
    <row r="150" spans="1:5" x14ac:dyDescent="0.45">
      <c r="A150" t="s">
        <v>4869</v>
      </c>
      <c r="B150" s="591">
        <v>353</v>
      </c>
      <c r="C150" s="649">
        <f>B82</f>
        <v>336</v>
      </c>
      <c r="D150" s="636">
        <f>C150-B150</f>
        <v>-17</v>
      </c>
      <c r="E150" t="s">
        <v>4870</v>
      </c>
    </row>
    <row r="151" spans="1:5" ht="18" x14ac:dyDescent="0.55000000000000004">
      <c r="A151" t="s">
        <v>4871</v>
      </c>
      <c r="B151" s="591">
        <v>53</v>
      </c>
      <c r="C151" s="582">
        <f>B87</f>
        <v>70</v>
      </c>
      <c r="D151" s="676">
        <f>C151-B151</f>
        <v>17</v>
      </c>
      <c r="E151" t="s">
        <v>4872</v>
      </c>
    </row>
    <row r="152" spans="1:5" x14ac:dyDescent="0.45">
      <c r="A152" t="s">
        <v>4873</v>
      </c>
      <c r="B152" s="591">
        <v>86</v>
      </c>
      <c r="C152" s="649">
        <f>B88</f>
        <v>69</v>
      </c>
      <c r="D152" s="636">
        <f>C152-B152</f>
        <v>-17</v>
      </c>
      <c r="E152" t="s">
        <v>4874</v>
      </c>
    </row>
    <row r="154" spans="1:5" ht="15.75" x14ac:dyDescent="0.5">
      <c r="A154" s="672" t="s">
        <v>4875</v>
      </c>
    </row>
    <row r="155" spans="1:5" x14ac:dyDescent="0.45">
      <c r="A155" t="s">
        <v>4876</v>
      </c>
    </row>
    <row r="156" spans="1:5" x14ac:dyDescent="0.45">
      <c r="A156" t="s">
        <v>4877</v>
      </c>
    </row>
    <row r="158" spans="1:5" ht="23.25" x14ac:dyDescent="0.7">
      <c r="A158" s="639" t="s">
        <v>4878</v>
      </c>
      <c r="B158" s="677" t="s">
        <v>4879</v>
      </c>
    </row>
    <row r="159" spans="1:5" x14ac:dyDescent="0.45">
      <c r="A159" s="592" t="s">
        <v>4880</v>
      </c>
      <c r="B159" t="s">
        <v>4881</v>
      </c>
    </row>
  </sheetData>
  <mergeCells count="16">
    <mergeCell ref="A105:E105"/>
    <mergeCell ref="A106:E106"/>
    <mergeCell ref="A119:E119"/>
    <mergeCell ref="A147:E147"/>
    <mergeCell ref="A50:E50"/>
    <mergeCell ref="A65:F65"/>
    <mergeCell ref="A66:F66"/>
    <mergeCell ref="A79:D79"/>
    <mergeCell ref="A91:E91"/>
    <mergeCell ref="A92:E92"/>
    <mergeCell ref="A1:E1"/>
    <mergeCell ref="A2:E2"/>
    <mergeCell ref="A4:E4"/>
    <mergeCell ref="A22:E22"/>
    <mergeCell ref="A23:E23"/>
    <mergeCell ref="A49:E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01"/>
  <sheetViews>
    <sheetView zoomScaleNormal="100" workbookViewId="0">
      <pane ySplit="2" topLeftCell="A65" activePane="bottomLeft" state="frozen"/>
      <selection pane="bottomLeft" sqref="A1:XFD1048576"/>
    </sheetView>
  </sheetViews>
  <sheetFormatPr defaultColWidth="8.6640625" defaultRowHeight="14.25" x14ac:dyDescent="0.45"/>
  <cols>
    <col min="1" max="1" width="5" customWidth="1"/>
    <col min="2" max="2" width="13" customWidth="1"/>
    <col min="3" max="3" width="30" customWidth="1"/>
    <col min="4" max="4" width="26" customWidth="1"/>
    <col min="5" max="5" width="20" customWidth="1"/>
    <col min="6" max="6" width="38" customWidth="1"/>
    <col min="7" max="7" width="28" customWidth="1"/>
    <col min="8" max="8" width="20" customWidth="1"/>
    <col min="9" max="10" width="9" customWidth="1"/>
    <col min="11" max="11" width="22" customWidth="1"/>
    <col min="12" max="12" width="18" customWidth="1"/>
    <col min="13" max="13" width="42" customWidth="1"/>
    <col min="14" max="14" width="14" customWidth="1"/>
    <col min="15" max="15" width="40" customWidth="1"/>
    <col min="16" max="16" width="36" customWidth="1"/>
    <col min="17" max="17" width="30" customWidth="1"/>
    <col min="18" max="18" width="60" customWidth="1"/>
    <col min="19" max="21" width="28" customWidth="1"/>
    <col min="22" max="22" width="40" customWidth="1"/>
    <col min="23" max="23" width="32" customWidth="1"/>
    <col min="24" max="24" width="36" customWidth="1"/>
    <col min="25" max="25" width="16" customWidth="1"/>
    <col min="26" max="26" width="30" customWidth="1"/>
    <col min="27" max="27" width="22" customWidth="1"/>
    <col min="28" max="28" width="34" customWidth="1"/>
    <col min="29" max="29" width="36" customWidth="1"/>
    <col min="30" max="30" width="16" customWidth="1"/>
    <col min="31" max="31" width="36" customWidth="1"/>
    <col min="32" max="32" width="30" customWidth="1"/>
    <col min="33" max="33" width="32" customWidth="1"/>
    <col min="34" max="34" width="42" customWidth="1"/>
    <col min="35" max="35" width="38" customWidth="1"/>
    <col min="36" max="36" width="48" customWidth="1"/>
    <col min="37" max="38" width="44" customWidth="1"/>
    <col min="39" max="39" width="48" customWidth="1"/>
    <col min="40" max="40" width="40" customWidth="1"/>
    <col min="41" max="41" width="44" customWidth="1"/>
    <col min="42" max="42" width="14" customWidth="1"/>
    <col min="43" max="43" width="42" customWidth="1"/>
    <col min="44" max="44" width="32" customWidth="1"/>
    <col min="45" max="45" width="20" customWidth="1"/>
    <col min="46" max="46" width="32" customWidth="1"/>
    <col min="47" max="47" width="46" customWidth="1"/>
    <col min="48" max="48" width="36" customWidth="1"/>
    <col min="49" max="49" width="34" customWidth="1"/>
    <col min="50" max="50" width="36" customWidth="1"/>
    <col min="51" max="51" width="40" customWidth="1"/>
    <col min="52" max="52" width="42" customWidth="1"/>
    <col min="53" max="53" width="16" customWidth="1"/>
  </cols>
  <sheetData>
    <row r="1" spans="1:58" ht="21.75" customHeight="1" x14ac:dyDescent="0.4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6" t="s">
        <v>34</v>
      </c>
      <c r="AJ1" s="7" t="s">
        <v>35</v>
      </c>
      <c r="AK1" s="8" t="s">
        <v>36</v>
      </c>
      <c r="AL1" s="9" t="s">
        <v>37</v>
      </c>
      <c r="AM1" s="10" t="s">
        <v>38</v>
      </c>
      <c r="AN1" s="11" t="s">
        <v>39</v>
      </c>
      <c r="AO1" s="5" t="s">
        <v>40</v>
      </c>
      <c r="AP1" s="7" t="s">
        <v>41</v>
      </c>
      <c r="AQ1" s="12" t="s">
        <v>42</v>
      </c>
      <c r="AR1" s="8" t="s">
        <v>43</v>
      </c>
      <c r="AS1" s="10" t="s">
        <v>44</v>
      </c>
      <c r="AT1" s="9" t="s">
        <v>45</v>
      </c>
      <c r="AU1" s="13" t="s">
        <v>46</v>
      </c>
      <c r="AV1" s="7" t="s">
        <v>47</v>
      </c>
      <c r="AW1" s="5" t="s">
        <v>48</v>
      </c>
      <c r="AX1" s="8" t="s">
        <v>49</v>
      </c>
      <c r="AY1" s="14" t="s">
        <v>50</v>
      </c>
      <c r="AZ1" s="7" t="s">
        <v>51</v>
      </c>
      <c r="BA1" s="7" t="s">
        <v>52</v>
      </c>
    </row>
    <row r="3" spans="1:58" ht="19.5" customHeight="1" x14ac:dyDescent="0.45">
      <c r="A3" s="15"/>
      <c r="B3" s="16" t="s">
        <v>53</v>
      </c>
      <c r="C3" s="15"/>
      <c r="D3" s="15"/>
      <c r="E3" s="15"/>
      <c r="F3" s="15"/>
      <c r="G3" s="15"/>
      <c r="H3" s="15"/>
      <c r="I3" s="15"/>
      <c r="J3" s="15"/>
      <c r="K3" s="15"/>
      <c r="L3" s="15"/>
      <c r="M3" s="15"/>
      <c r="N3" s="15"/>
      <c r="O3" s="15"/>
      <c r="P3" s="15"/>
      <c r="BB3" s="658" t="s">
        <v>4634</v>
      </c>
      <c r="BC3" s="658" t="s">
        <v>4635</v>
      </c>
      <c r="BD3" s="658" t="s">
        <v>4636</v>
      </c>
      <c r="BE3" s="658" t="s">
        <v>4637</v>
      </c>
      <c r="BF3" s="658" t="s">
        <v>4638</v>
      </c>
    </row>
    <row r="4" spans="1:58" ht="42" customHeight="1" x14ac:dyDescent="0.45">
      <c r="A4" s="17">
        <v>1</v>
      </c>
      <c r="B4" s="18" t="s">
        <v>54</v>
      </c>
      <c r="C4" s="19" t="s">
        <v>55</v>
      </c>
      <c r="D4" s="19" t="s">
        <v>56</v>
      </c>
      <c r="E4" s="18" t="s">
        <v>57</v>
      </c>
      <c r="F4" s="20" t="s">
        <v>58</v>
      </c>
      <c r="G4" s="19" t="s">
        <v>59</v>
      </c>
      <c r="H4" s="19" t="s">
        <v>60</v>
      </c>
      <c r="I4" s="21" t="s">
        <v>61</v>
      </c>
      <c r="J4" s="21" t="s">
        <v>62</v>
      </c>
      <c r="K4" s="19" t="s">
        <v>63</v>
      </c>
      <c r="L4" s="22" t="s">
        <v>64</v>
      </c>
      <c r="M4" s="19" t="s">
        <v>65</v>
      </c>
      <c r="N4" s="23" t="s">
        <v>66</v>
      </c>
      <c r="O4" s="24" t="s">
        <v>67</v>
      </c>
      <c r="P4" s="19" t="s">
        <v>68</v>
      </c>
      <c r="Q4" s="19" t="s">
        <v>69</v>
      </c>
      <c r="R4" s="19" t="s">
        <v>70</v>
      </c>
      <c r="S4" s="21" t="s">
        <v>71</v>
      </c>
      <c r="T4" s="19" t="s">
        <v>72</v>
      </c>
      <c r="U4" s="25" t="s">
        <v>73</v>
      </c>
      <c r="V4" s="19" t="s">
        <v>74</v>
      </c>
      <c r="W4" s="20" t="s">
        <v>75</v>
      </c>
      <c r="X4" s="19" t="s">
        <v>76</v>
      </c>
      <c r="Y4" s="22" t="s">
        <v>77</v>
      </c>
      <c r="Z4" s="19" t="s">
        <v>78</v>
      </c>
      <c r="AA4" s="21" t="s">
        <v>79</v>
      </c>
      <c r="AB4" s="19" t="s">
        <v>80</v>
      </c>
      <c r="AC4" s="19" t="s">
        <v>81</v>
      </c>
      <c r="AD4" s="22" t="s">
        <v>82</v>
      </c>
      <c r="AE4" s="26" t="s">
        <v>83</v>
      </c>
      <c r="AF4" s="27" t="s">
        <v>84</v>
      </c>
      <c r="AG4" s="19" t="s">
        <v>85</v>
      </c>
      <c r="AH4" s="19" t="s">
        <v>86</v>
      </c>
      <c r="AI4" s="28" t="s">
        <v>87</v>
      </c>
      <c r="AJ4" s="19" t="s">
        <v>88</v>
      </c>
      <c r="AK4" s="29" t="s">
        <v>89</v>
      </c>
      <c r="AL4" s="30" t="s">
        <v>90</v>
      </c>
      <c r="AM4" s="31" t="s">
        <v>91</v>
      </c>
      <c r="AN4" s="32" t="s">
        <v>92</v>
      </c>
      <c r="AO4" s="33" t="s">
        <v>93</v>
      </c>
      <c r="AP4" s="34" t="s">
        <v>94</v>
      </c>
      <c r="AQ4" s="35" t="s">
        <v>95</v>
      </c>
      <c r="AR4" s="29" t="s">
        <v>96</v>
      </c>
      <c r="AS4" s="22" t="s">
        <v>97</v>
      </c>
      <c r="AT4" s="30" t="s">
        <v>98</v>
      </c>
      <c r="AU4" s="36" t="s">
        <v>99</v>
      </c>
      <c r="AV4" s="37" t="s">
        <v>100</v>
      </c>
      <c r="AW4" s="38" t="s">
        <v>101</v>
      </c>
      <c r="AX4" s="39" t="s">
        <v>102</v>
      </c>
      <c r="AY4" s="40" t="s">
        <v>103</v>
      </c>
      <c r="AZ4" s="37" t="s">
        <v>104</v>
      </c>
      <c r="BA4" s="41" t="s">
        <v>105</v>
      </c>
      <c r="BB4" s="591" t="str">
        <f>IF(E4="","",IF(ISNUMBER(SEARCH("Institutional theory and regulatory governance theory underpin",AI4)),"TEMPLATE",IF(LEN(AI4)&gt;100,"DEEP",IF(AI4="","SPARSE","SHALLOW"))))</f>
        <v>DEEP</v>
      </c>
      <c r="BC4" s="591" t="str">
        <f>IF(E4="","",D4&amp;"-"&amp;B4&amp;"-"&amp;E4)</f>
        <v>3. Cybersecurity &amp; Data-NCA-ECC-2:2024</v>
      </c>
      <c r="BD4" s="591" t="str">
        <f>IF(E4="","",SUBSTITUTE(SUBSTITUTE(B4&amp;"-"&amp;E4," ",""),":","-"))</f>
        <v>NCA-ECC-2-2024</v>
      </c>
      <c r="BE4" s="591" t="str">
        <f>IF(E4="","",IF(ISNUMBER(SEARCH("ECC",E4)),"NCA-ECC-2-2024",IF(ISNUMBER(SEARCH("OTCC",E4)),"NCA-ECC-2-2024",IF(ISNUMBER(SEARCH("CCC",E4)),"NCA-ECC-2-2024",IF(ISNUMBER(SEARCH("DCC",E4)),"NCA-ECC-2-2024",IF(ISNUMBER(SEARCH("CSCC",E4)),"NCA-ECC-2-2024",IF(ISNUMBER(SEARCH("PDPL-IR",E4)),"PDPL-2021",IF(ISNUMBER(SEARCH("PDPL-DTR",E4)),"PDPL-2021","NONE"))))))))</f>
        <v>NCA-ECC-2-2024</v>
      </c>
      <c r="BF4" s="594">
        <f>IF(E4="","",IF(BB4="DEEP",10,IF(BB4="SHALLOW",5,IF(BB4="TEMPLATE",3,1)))+IF(N4="HIGHEST",5,IF(N4="HIGH",3,IF(N4="MODERATE",1,0)))+IF(ISNUMBER(SEARCH("Mandatory",L4)),3,0))</f>
        <v>18</v>
      </c>
    </row>
    <row r="5" spans="1:58" ht="42" customHeight="1" x14ac:dyDescent="0.45">
      <c r="A5" s="42">
        <v>2</v>
      </c>
      <c r="B5" s="43" t="s">
        <v>54</v>
      </c>
      <c r="C5" s="44" t="s">
        <v>55</v>
      </c>
      <c r="D5" s="44" t="s">
        <v>56</v>
      </c>
      <c r="E5" s="43" t="s">
        <v>106</v>
      </c>
      <c r="F5" s="45" t="s">
        <v>107</v>
      </c>
      <c r="G5" s="44" t="s">
        <v>108</v>
      </c>
      <c r="H5" s="44" t="s">
        <v>106</v>
      </c>
      <c r="I5" s="46" t="s">
        <v>109</v>
      </c>
      <c r="J5" s="46" t="s">
        <v>110</v>
      </c>
      <c r="K5" s="44" t="s">
        <v>63</v>
      </c>
      <c r="L5" s="22" t="s">
        <v>64</v>
      </c>
      <c r="M5" s="44" t="s">
        <v>111</v>
      </c>
      <c r="N5" s="47" t="s">
        <v>66</v>
      </c>
      <c r="O5" s="48" t="s">
        <v>112</v>
      </c>
      <c r="P5" s="44" t="s">
        <v>113</v>
      </c>
      <c r="Q5" s="19" t="s">
        <v>114</v>
      </c>
      <c r="R5" s="19" t="s">
        <v>115</v>
      </c>
      <c r="S5" s="21" t="s">
        <v>116</v>
      </c>
      <c r="T5" s="19" t="s">
        <v>117</v>
      </c>
      <c r="U5" s="25" t="s">
        <v>118</v>
      </c>
      <c r="V5" s="19" t="s">
        <v>119</v>
      </c>
      <c r="W5" s="20" t="s">
        <v>120</v>
      </c>
      <c r="X5" s="19" t="s">
        <v>121</v>
      </c>
      <c r="Y5" s="49" t="s">
        <v>122</v>
      </c>
      <c r="Z5" s="19" t="s">
        <v>123</v>
      </c>
      <c r="AA5" s="21" t="s">
        <v>124</v>
      </c>
      <c r="AB5" s="19" t="s">
        <v>125</v>
      </c>
      <c r="AC5" s="19" t="s">
        <v>126</v>
      </c>
      <c r="AD5" s="22" t="s">
        <v>82</v>
      </c>
      <c r="AE5" s="50" t="s">
        <v>127</v>
      </c>
      <c r="AF5" s="27" t="s">
        <v>128</v>
      </c>
      <c r="AG5" s="19" t="s">
        <v>129</v>
      </c>
      <c r="AH5" s="19" t="s">
        <v>130</v>
      </c>
      <c r="AI5" s="28" t="s">
        <v>131</v>
      </c>
      <c r="AJ5" s="19" t="s">
        <v>132</v>
      </c>
      <c r="AK5" s="29" t="s">
        <v>133</v>
      </c>
      <c r="AL5" s="30" t="s">
        <v>134</v>
      </c>
      <c r="AM5" s="31" t="s">
        <v>135</v>
      </c>
      <c r="AN5" s="32" t="s">
        <v>136</v>
      </c>
      <c r="AO5" s="33" t="s">
        <v>137</v>
      </c>
      <c r="AP5" s="51" t="s">
        <v>138</v>
      </c>
      <c r="AQ5" s="35" t="s">
        <v>139</v>
      </c>
      <c r="AR5" s="29" t="s">
        <v>140</v>
      </c>
      <c r="AS5" s="22" t="s">
        <v>141</v>
      </c>
      <c r="AT5" s="30" t="s">
        <v>142</v>
      </c>
      <c r="AU5" s="36" t="s">
        <v>143</v>
      </c>
      <c r="AV5" s="37" t="s">
        <v>144</v>
      </c>
      <c r="AW5" s="38" t="s">
        <v>145</v>
      </c>
      <c r="AX5" s="39" t="s">
        <v>146</v>
      </c>
      <c r="AY5" s="40" t="s">
        <v>147</v>
      </c>
      <c r="AZ5" s="37" t="s">
        <v>104</v>
      </c>
      <c r="BA5" s="41" t="s">
        <v>105</v>
      </c>
      <c r="BB5" s="591" t="str">
        <f t="shared" ref="BB5:BB68" si="0">IF(E5="","",IF(ISNUMBER(SEARCH("Institutional theory and regulatory governance theory underpin",AI5)),"TEMPLATE",IF(LEN(AI5)&gt;100,"DEEP",IF(AI5="","SPARSE","SHALLOW"))))</f>
        <v>DEEP</v>
      </c>
      <c r="BC5" s="591" t="str">
        <f t="shared" ref="BC5:BC68" si="1">IF(E5="","",D5&amp;"-"&amp;B5&amp;"-"&amp;E5)</f>
        <v>3. Cybersecurity &amp; Data-NCA-OTCC-1:2022</v>
      </c>
      <c r="BD5" s="591" t="str">
        <f t="shared" ref="BD5:BD68" si="2">IF(E5="","",SUBSTITUTE(SUBSTITUTE(B5&amp;"-"&amp;E5," ",""),":","-"))</f>
        <v>NCA-OTCC-1-2022</v>
      </c>
      <c r="BE5" s="591" t="str">
        <f t="shared" ref="BE5:BE68" si="3">IF(E5="","",IF(ISNUMBER(SEARCH("ECC",E5)),"NCA-ECC-2-2024",IF(ISNUMBER(SEARCH("OTCC",E5)),"NCA-ECC-2-2024",IF(ISNUMBER(SEARCH("CCC",E5)),"NCA-ECC-2-2024",IF(ISNUMBER(SEARCH("DCC",E5)),"NCA-ECC-2-2024",IF(ISNUMBER(SEARCH("CSCC",E5)),"NCA-ECC-2-2024",IF(ISNUMBER(SEARCH("PDPL-IR",E5)),"PDPL-2021",IF(ISNUMBER(SEARCH("PDPL-DTR",E5)),"PDPL-2021","NONE"))))))))</f>
        <v>NCA-ECC-2-2024</v>
      </c>
      <c r="BF5" s="594">
        <f t="shared" ref="BF5:BF68" si="4">IF(E5="","",IF(BB5="DEEP",10,IF(BB5="SHALLOW",5,IF(BB5="TEMPLATE",3,1)))+IF(N5="HIGHEST",5,IF(N5="HIGH",3,IF(N5="MODERATE",1,0)))+IF(ISNUMBER(SEARCH("Mandatory",L5)),3,0))</f>
        <v>18</v>
      </c>
    </row>
    <row r="6" spans="1:58" ht="42" customHeight="1" x14ac:dyDescent="0.45">
      <c r="A6" s="17">
        <v>3</v>
      </c>
      <c r="B6" s="18" t="s">
        <v>54</v>
      </c>
      <c r="C6" s="19" t="s">
        <v>55</v>
      </c>
      <c r="D6" s="19" t="s">
        <v>56</v>
      </c>
      <c r="E6" s="18" t="s">
        <v>148</v>
      </c>
      <c r="F6" s="20" t="s">
        <v>149</v>
      </c>
      <c r="G6" s="19" t="s">
        <v>150</v>
      </c>
      <c r="H6" s="19" t="s">
        <v>148</v>
      </c>
      <c r="I6" s="21" t="s">
        <v>151</v>
      </c>
      <c r="J6" s="21" t="s">
        <v>152</v>
      </c>
      <c r="K6" s="19" t="s">
        <v>63</v>
      </c>
      <c r="L6" s="22" t="s">
        <v>64</v>
      </c>
      <c r="M6" s="19" t="s">
        <v>153</v>
      </c>
      <c r="N6" s="52" t="s">
        <v>154</v>
      </c>
      <c r="O6" s="24" t="s">
        <v>155</v>
      </c>
      <c r="P6" s="19" t="s">
        <v>156</v>
      </c>
      <c r="Q6" s="19" t="s">
        <v>157</v>
      </c>
      <c r="R6" s="19" t="s">
        <v>158</v>
      </c>
      <c r="S6" s="21" t="s">
        <v>159</v>
      </c>
      <c r="T6" s="19" t="s">
        <v>160</v>
      </c>
      <c r="U6" s="25" t="s">
        <v>161</v>
      </c>
      <c r="V6" s="19" t="s">
        <v>162</v>
      </c>
      <c r="W6" s="20" t="s">
        <v>163</v>
      </c>
      <c r="X6" s="19" t="s">
        <v>164</v>
      </c>
      <c r="Y6" s="49" t="s">
        <v>165</v>
      </c>
      <c r="Z6" s="19" t="s">
        <v>166</v>
      </c>
      <c r="AA6" s="21" t="s">
        <v>167</v>
      </c>
      <c r="AB6" s="19" t="s">
        <v>168</v>
      </c>
      <c r="AC6" s="19" t="s">
        <v>169</v>
      </c>
      <c r="AD6" s="22" t="s">
        <v>82</v>
      </c>
      <c r="AE6" s="50" t="s">
        <v>170</v>
      </c>
      <c r="AF6" s="27" t="s">
        <v>171</v>
      </c>
      <c r="AG6" s="19" t="s">
        <v>172</v>
      </c>
      <c r="AH6" s="19" t="s">
        <v>173</v>
      </c>
      <c r="AI6" s="28" t="s">
        <v>174</v>
      </c>
      <c r="AJ6" s="19" t="s">
        <v>175</v>
      </c>
      <c r="AK6" s="29" t="s">
        <v>176</v>
      </c>
      <c r="AL6" s="30" t="s">
        <v>177</v>
      </c>
      <c r="AM6" s="31" t="s">
        <v>178</v>
      </c>
      <c r="AN6" s="32" t="s">
        <v>179</v>
      </c>
      <c r="AO6" s="33" t="s">
        <v>180</v>
      </c>
      <c r="AP6" s="53" t="s">
        <v>181</v>
      </c>
      <c r="AQ6" s="35" t="s">
        <v>182</v>
      </c>
      <c r="AR6" s="29" t="s">
        <v>183</v>
      </c>
      <c r="AS6" s="22" t="s">
        <v>184</v>
      </c>
      <c r="AT6" s="30" t="s">
        <v>185</v>
      </c>
      <c r="AU6" s="36" t="s">
        <v>186</v>
      </c>
      <c r="AV6" s="37" t="s">
        <v>187</v>
      </c>
      <c r="AW6" s="38" t="s">
        <v>188</v>
      </c>
      <c r="AX6" s="39" t="s">
        <v>189</v>
      </c>
      <c r="AY6" s="40" t="s">
        <v>190</v>
      </c>
      <c r="AZ6" s="37" t="s">
        <v>104</v>
      </c>
      <c r="BA6" s="41" t="s">
        <v>105</v>
      </c>
      <c r="BB6" s="591" t="str">
        <f t="shared" si="0"/>
        <v>DEEP</v>
      </c>
      <c r="BC6" s="591" t="str">
        <f t="shared" si="1"/>
        <v>3. Cybersecurity &amp; Data-NCA-CCC-1:2020</v>
      </c>
      <c r="BD6" s="591" t="str">
        <f t="shared" si="2"/>
        <v>NCA-CCC-1-2020</v>
      </c>
      <c r="BE6" s="591" t="str">
        <f t="shared" si="3"/>
        <v>NCA-ECC-2-2024</v>
      </c>
      <c r="BF6" s="594">
        <f t="shared" si="4"/>
        <v>16</v>
      </c>
    </row>
    <row r="7" spans="1:58" ht="42" customHeight="1" x14ac:dyDescent="0.45">
      <c r="A7" s="42">
        <v>4</v>
      </c>
      <c r="B7" s="43" t="s">
        <v>54</v>
      </c>
      <c r="C7" s="44" t="s">
        <v>55</v>
      </c>
      <c r="D7" s="44" t="s">
        <v>56</v>
      </c>
      <c r="E7" s="43" t="s">
        <v>191</v>
      </c>
      <c r="F7" s="45" t="s">
        <v>192</v>
      </c>
      <c r="G7" s="44" t="s">
        <v>193</v>
      </c>
      <c r="H7" s="44" t="s">
        <v>191</v>
      </c>
      <c r="I7" s="46" t="s">
        <v>109</v>
      </c>
      <c r="J7" s="46" t="s">
        <v>194</v>
      </c>
      <c r="K7" s="44" t="s">
        <v>63</v>
      </c>
      <c r="L7" s="22" t="s">
        <v>64</v>
      </c>
      <c r="M7" s="44" t="s">
        <v>195</v>
      </c>
      <c r="N7" s="54" t="s">
        <v>154</v>
      </c>
      <c r="O7" s="48" t="s">
        <v>196</v>
      </c>
      <c r="P7" s="44" t="s">
        <v>197</v>
      </c>
      <c r="Q7" s="19" t="s">
        <v>198</v>
      </c>
      <c r="R7" s="19" t="s">
        <v>199</v>
      </c>
      <c r="S7" s="21" t="s">
        <v>200</v>
      </c>
      <c r="T7" s="19" t="s">
        <v>201</v>
      </c>
      <c r="U7" s="25" t="s">
        <v>118</v>
      </c>
      <c r="V7" s="19" t="s">
        <v>202</v>
      </c>
      <c r="W7" s="20" t="s">
        <v>203</v>
      </c>
      <c r="X7" s="19" t="s">
        <v>204</v>
      </c>
      <c r="Y7" s="22" t="s">
        <v>205</v>
      </c>
      <c r="Z7" s="19" t="s">
        <v>206</v>
      </c>
      <c r="AA7" s="21" t="s">
        <v>207</v>
      </c>
      <c r="AB7" s="19" t="s">
        <v>208</v>
      </c>
      <c r="AC7" s="19" t="s">
        <v>209</v>
      </c>
      <c r="AD7" s="49" t="s">
        <v>210</v>
      </c>
      <c r="AE7" s="37" t="s">
        <v>211</v>
      </c>
      <c r="AF7" s="27" t="s">
        <v>212</v>
      </c>
      <c r="AG7" s="19" t="s">
        <v>213</v>
      </c>
      <c r="AH7" s="19" t="s">
        <v>214</v>
      </c>
      <c r="AI7" s="28" t="s">
        <v>215</v>
      </c>
      <c r="AJ7" s="19" t="s">
        <v>216</v>
      </c>
      <c r="AK7" s="29" t="s">
        <v>217</v>
      </c>
      <c r="AL7" s="30" t="s">
        <v>218</v>
      </c>
      <c r="AM7" s="31" t="s">
        <v>219</v>
      </c>
      <c r="AN7" s="32" t="s">
        <v>220</v>
      </c>
      <c r="AO7" s="33" t="s">
        <v>221</v>
      </c>
      <c r="AP7" s="51" t="s">
        <v>138</v>
      </c>
      <c r="AQ7" s="35" t="s">
        <v>139</v>
      </c>
      <c r="AR7" s="29" t="s">
        <v>140</v>
      </c>
      <c r="AS7" s="22" t="s">
        <v>141</v>
      </c>
      <c r="AT7" s="30" t="s">
        <v>142</v>
      </c>
      <c r="AU7" s="36" t="s">
        <v>143</v>
      </c>
      <c r="AV7" s="37" t="s">
        <v>144</v>
      </c>
      <c r="AW7" s="38" t="s">
        <v>145</v>
      </c>
      <c r="AX7" s="39" t="s">
        <v>146</v>
      </c>
      <c r="AY7" s="40" t="s">
        <v>147</v>
      </c>
      <c r="AZ7" s="37" t="s">
        <v>104</v>
      </c>
      <c r="BA7" s="41" t="s">
        <v>105</v>
      </c>
      <c r="BB7" s="591" t="str">
        <f t="shared" si="0"/>
        <v>TEMPLATE</v>
      </c>
      <c r="BC7" s="591" t="str">
        <f t="shared" si="1"/>
        <v>3. Cybersecurity &amp; Data-NCA-DCC-1:2022</v>
      </c>
      <c r="BD7" s="591" t="str">
        <f t="shared" si="2"/>
        <v>NCA-DCC-1-2022</v>
      </c>
      <c r="BE7" s="591" t="str">
        <f t="shared" si="3"/>
        <v>NCA-ECC-2-2024</v>
      </c>
      <c r="BF7" s="594">
        <f t="shared" si="4"/>
        <v>9</v>
      </c>
    </row>
    <row r="8" spans="1:58" ht="42" customHeight="1" x14ac:dyDescent="0.45">
      <c r="A8" s="17">
        <v>5</v>
      </c>
      <c r="B8" s="18" t="s">
        <v>54</v>
      </c>
      <c r="C8" s="19" t="s">
        <v>55</v>
      </c>
      <c r="D8" s="19" t="s">
        <v>56</v>
      </c>
      <c r="E8" s="18" t="s">
        <v>222</v>
      </c>
      <c r="F8" s="20" t="s">
        <v>223</v>
      </c>
      <c r="G8" s="19" t="s">
        <v>224</v>
      </c>
      <c r="H8" s="19" t="s">
        <v>222</v>
      </c>
      <c r="I8" s="21" t="s">
        <v>225</v>
      </c>
      <c r="J8" s="21" t="s">
        <v>226</v>
      </c>
      <c r="K8" s="19" t="s">
        <v>63</v>
      </c>
      <c r="L8" s="22" t="s">
        <v>64</v>
      </c>
      <c r="M8" s="19" t="s">
        <v>227</v>
      </c>
      <c r="N8" s="52" t="s">
        <v>154</v>
      </c>
      <c r="O8" s="24" t="s">
        <v>228</v>
      </c>
      <c r="P8" s="19" t="s">
        <v>229</v>
      </c>
      <c r="Q8" s="19" t="s">
        <v>230</v>
      </c>
      <c r="R8" s="19" t="s">
        <v>231</v>
      </c>
      <c r="S8" s="21" t="s">
        <v>232</v>
      </c>
      <c r="T8" s="19" t="s">
        <v>233</v>
      </c>
      <c r="U8" s="25" t="s">
        <v>234</v>
      </c>
      <c r="V8" s="19" t="s">
        <v>235</v>
      </c>
      <c r="W8" s="20" t="s">
        <v>236</v>
      </c>
      <c r="X8" s="19" t="s">
        <v>237</v>
      </c>
      <c r="Y8" s="49" t="s">
        <v>238</v>
      </c>
      <c r="Z8" s="19" t="s">
        <v>239</v>
      </c>
      <c r="AA8" s="21" t="s">
        <v>240</v>
      </c>
      <c r="AB8" s="19" t="s">
        <v>241</v>
      </c>
      <c r="AC8" s="19" t="s">
        <v>242</v>
      </c>
      <c r="AD8" s="49" t="s">
        <v>210</v>
      </c>
      <c r="AE8" s="50" t="s">
        <v>243</v>
      </c>
      <c r="AF8" s="27" t="s">
        <v>244</v>
      </c>
      <c r="AG8" s="19" t="s">
        <v>245</v>
      </c>
      <c r="AH8" s="19" t="s">
        <v>246</v>
      </c>
      <c r="AI8" s="28" t="s">
        <v>215</v>
      </c>
      <c r="AJ8" s="19" t="s">
        <v>216</v>
      </c>
      <c r="AK8" s="29" t="s">
        <v>217</v>
      </c>
      <c r="AL8" s="30" t="s">
        <v>218</v>
      </c>
      <c r="AM8" s="31" t="s">
        <v>219</v>
      </c>
      <c r="AN8" s="32" t="s">
        <v>220</v>
      </c>
      <c r="AO8" s="33" t="s">
        <v>221</v>
      </c>
      <c r="AP8" s="51" t="s">
        <v>138</v>
      </c>
      <c r="AQ8" s="35" t="s">
        <v>139</v>
      </c>
      <c r="AR8" s="29" t="s">
        <v>140</v>
      </c>
      <c r="AS8" s="22" t="s">
        <v>141</v>
      </c>
      <c r="AT8" s="30" t="s">
        <v>142</v>
      </c>
      <c r="AU8" s="36" t="s">
        <v>143</v>
      </c>
      <c r="AV8" s="37" t="s">
        <v>144</v>
      </c>
      <c r="AW8" s="38" t="s">
        <v>145</v>
      </c>
      <c r="AX8" s="39" t="s">
        <v>146</v>
      </c>
      <c r="AY8" s="40" t="s">
        <v>147</v>
      </c>
      <c r="AZ8" s="37" t="s">
        <v>104</v>
      </c>
      <c r="BA8" s="41" t="s">
        <v>105</v>
      </c>
      <c r="BB8" s="591" t="str">
        <f t="shared" si="0"/>
        <v>TEMPLATE</v>
      </c>
      <c r="BC8" s="591" t="str">
        <f t="shared" si="1"/>
        <v>3. Cybersecurity &amp; Data-NCA-CSCC-1:2019</v>
      </c>
      <c r="BD8" s="591" t="str">
        <f t="shared" si="2"/>
        <v>NCA-CSCC-1-2019</v>
      </c>
      <c r="BE8" s="591" t="str">
        <f t="shared" si="3"/>
        <v>NCA-ECC-2-2024</v>
      </c>
      <c r="BF8" s="594">
        <f t="shared" si="4"/>
        <v>9</v>
      </c>
    </row>
    <row r="9" spans="1:58" ht="42" customHeight="1" x14ac:dyDescent="0.45">
      <c r="A9" s="42">
        <v>6</v>
      </c>
      <c r="B9" s="43" t="s">
        <v>54</v>
      </c>
      <c r="C9" s="44" t="s">
        <v>55</v>
      </c>
      <c r="D9" s="44" t="s">
        <v>56</v>
      </c>
      <c r="E9" s="43" t="s">
        <v>247</v>
      </c>
      <c r="F9" s="45" t="s">
        <v>248</v>
      </c>
      <c r="G9" s="44" t="s">
        <v>249</v>
      </c>
      <c r="H9" s="44" t="s">
        <v>247</v>
      </c>
      <c r="I9" s="46" t="s">
        <v>250</v>
      </c>
      <c r="J9" s="46" t="s">
        <v>251</v>
      </c>
      <c r="K9" s="44" t="s">
        <v>63</v>
      </c>
      <c r="L9" s="22" t="s">
        <v>64</v>
      </c>
      <c r="M9" s="44" t="s">
        <v>252</v>
      </c>
      <c r="N9" s="55" t="s">
        <v>253</v>
      </c>
      <c r="O9" s="48" t="s">
        <v>254</v>
      </c>
      <c r="P9" s="44" t="s">
        <v>255</v>
      </c>
      <c r="Q9" s="19" t="s">
        <v>256</v>
      </c>
      <c r="R9" s="19" t="s">
        <v>257</v>
      </c>
      <c r="S9" s="21" t="s">
        <v>258</v>
      </c>
      <c r="T9" s="19" t="s">
        <v>201</v>
      </c>
      <c r="U9" s="25" t="s">
        <v>118</v>
      </c>
      <c r="V9" s="19" t="s">
        <v>259</v>
      </c>
      <c r="W9" s="20" t="s">
        <v>260</v>
      </c>
      <c r="X9" s="19" t="s">
        <v>261</v>
      </c>
      <c r="Y9" s="22" t="s">
        <v>205</v>
      </c>
      <c r="Z9" s="19" t="s">
        <v>262</v>
      </c>
      <c r="AA9" s="21" t="s">
        <v>263</v>
      </c>
      <c r="AB9" s="19" t="s">
        <v>264</v>
      </c>
      <c r="AC9" s="19" t="s">
        <v>265</v>
      </c>
      <c r="AD9" s="49" t="s">
        <v>210</v>
      </c>
      <c r="AE9" s="37" t="s">
        <v>266</v>
      </c>
      <c r="AF9" s="56" t="s">
        <v>267</v>
      </c>
      <c r="AG9" s="19" t="s">
        <v>268</v>
      </c>
      <c r="AH9" s="19" t="s">
        <v>269</v>
      </c>
      <c r="AI9" s="28" t="s">
        <v>215</v>
      </c>
      <c r="AJ9" s="19" t="s">
        <v>216</v>
      </c>
      <c r="AK9" s="29" t="s">
        <v>217</v>
      </c>
      <c r="AL9" s="30" t="s">
        <v>218</v>
      </c>
      <c r="AM9" s="31" t="s">
        <v>219</v>
      </c>
      <c r="AN9" s="32" t="s">
        <v>220</v>
      </c>
      <c r="AO9" s="33" t="s">
        <v>221</v>
      </c>
      <c r="AP9" s="51" t="s">
        <v>138</v>
      </c>
      <c r="AQ9" s="35" t="s">
        <v>139</v>
      </c>
      <c r="AR9" s="29" t="s">
        <v>140</v>
      </c>
      <c r="AS9" s="22" t="s">
        <v>141</v>
      </c>
      <c r="AT9" s="30" t="s">
        <v>142</v>
      </c>
      <c r="AU9" s="36" t="s">
        <v>143</v>
      </c>
      <c r="AV9" s="37" t="s">
        <v>144</v>
      </c>
      <c r="AW9" s="38" t="s">
        <v>145</v>
      </c>
      <c r="AX9" s="39" t="s">
        <v>146</v>
      </c>
      <c r="AY9" s="40" t="s">
        <v>147</v>
      </c>
      <c r="AZ9" s="37" t="s">
        <v>104</v>
      </c>
      <c r="BA9" s="41" t="s">
        <v>105</v>
      </c>
      <c r="BB9" s="591" t="str">
        <f t="shared" si="0"/>
        <v>TEMPLATE</v>
      </c>
      <c r="BC9" s="591" t="str">
        <f t="shared" si="1"/>
        <v>3. Cybersecurity &amp; Data-NCA-TCC-1:2021</v>
      </c>
      <c r="BD9" s="591" t="str">
        <f t="shared" si="2"/>
        <v>NCA-TCC-1-2021</v>
      </c>
      <c r="BE9" s="591" t="str">
        <f t="shared" si="3"/>
        <v>NONE</v>
      </c>
      <c r="BF9" s="594">
        <f t="shared" si="4"/>
        <v>7</v>
      </c>
    </row>
    <row r="10" spans="1:58" ht="42" customHeight="1" x14ac:dyDescent="0.45">
      <c r="A10" s="17">
        <v>7</v>
      </c>
      <c r="B10" s="18" t="s">
        <v>54</v>
      </c>
      <c r="C10" s="19" t="s">
        <v>55</v>
      </c>
      <c r="D10" s="19" t="s">
        <v>56</v>
      </c>
      <c r="E10" s="18" t="s">
        <v>270</v>
      </c>
      <c r="F10" s="20" t="s">
        <v>271</v>
      </c>
      <c r="G10" s="19" t="s">
        <v>272</v>
      </c>
      <c r="H10" s="19" t="s">
        <v>270</v>
      </c>
      <c r="I10" s="21" t="s">
        <v>250</v>
      </c>
      <c r="J10" s="21" t="s">
        <v>273</v>
      </c>
      <c r="K10" s="19" t="s">
        <v>63</v>
      </c>
      <c r="L10" s="22" t="s">
        <v>64</v>
      </c>
      <c r="M10" s="19" t="s">
        <v>274</v>
      </c>
      <c r="N10" s="57" t="s">
        <v>275</v>
      </c>
      <c r="O10" s="24" t="s">
        <v>276</v>
      </c>
      <c r="P10" s="19" t="s">
        <v>277</v>
      </c>
      <c r="Q10" s="19" t="s">
        <v>278</v>
      </c>
      <c r="R10" s="19" t="s">
        <v>279</v>
      </c>
      <c r="S10" s="21" t="s">
        <v>280</v>
      </c>
      <c r="T10" s="19" t="s">
        <v>281</v>
      </c>
      <c r="U10" s="25" t="s">
        <v>118</v>
      </c>
      <c r="V10" s="19" t="s">
        <v>282</v>
      </c>
      <c r="W10" s="20" t="s">
        <v>283</v>
      </c>
      <c r="X10" s="19" t="s">
        <v>284</v>
      </c>
      <c r="Y10" s="49" t="s">
        <v>285</v>
      </c>
      <c r="Z10" s="19" t="s">
        <v>286</v>
      </c>
      <c r="AA10" s="21" t="s">
        <v>286</v>
      </c>
      <c r="AB10" s="19" t="s">
        <v>287</v>
      </c>
      <c r="AC10" s="19" t="s">
        <v>288</v>
      </c>
      <c r="AD10" s="49" t="s">
        <v>289</v>
      </c>
      <c r="AE10" s="58" t="s">
        <v>290</v>
      </c>
      <c r="AF10" s="56" t="s">
        <v>291</v>
      </c>
      <c r="AG10" s="19" t="s">
        <v>292</v>
      </c>
      <c r="AH10" s="19" t="s">
        <v>293</v>
      </c>
      <c r="AI10" s="28" t="s">
        <v>215</v>
      </c>
      <c r="AJ10" s="19" t="s">
        <v>216</v>
      </c>
      <c r="AK10" s="29" t="s">
        <v>217</v>
      </c>
      <c r="AL10" s="30" t="s">
        <v>218</v>
      </c>
      <c r="AM10" s="31" t="s">
        <v>219</v>
      </c>
      <c r="AN10" s="32" t="s">
        <v>220</v>
      </c>
      <c r="AO10" s="33" t="s">
        <v>221</v>
      </c>
      <c r="AP10" s="51" t="s">
        <v>138</v>
      </c>
      <c r="AQ10" s="35" t="s">
        <v>139</v>
      </c>
      <c r="AR10" s="29" t="s">
        <v>140</v>
      </c>
      <c r="AS10" s="22" t="s">
        <v>141</v>
      </c>
      <c r="AT10" s="30" t="s">
        <v>142</v>
      </c>
      <c r="AU10" s="36" t="s">
        <v>143</v>
      </c>
      <c r="AV10" s="37" t="s">
        <v>144</v>
      </c>
      <c r="AW10" s="38" t="s">
        <v>145</v>
      </c>
      <c r="AX10" s="39" t="s">
        <v>146</v>
      </c>
      <c r="AY10" s="40" t="s">
        <v>147</v>
      </c>
      <c r="AZ10" s="37" t="s">
        <v>104</v>
      </c>
      <c r="BA10" s="41" t="s">
        <v>105</v>
      </c>
      <c r="BB10" s="591" t="str">
        <f t="shared" si="0"/>
        <v>TEMPLATE</v>
      </c>
      <c r="BC10" s="591" t="str">
        <f t="shared" si="1"/>
        <v>3. Cybersecurity &amp; Data-NCA-OSMACC-1:2021</v>
      </c>
      <c r="BD10" s="591" t="str">
        <f t="shared" si="2"/>
        <v>NCA-OSMACC-1-2021</v>
      </c>
      <c r="BE10" s="591" t="str">
        <f t="shared" si="3"/>
        <v>NONE</v>
      </c>
      <c r="BF10" s="594">
        <f t="shared" si="4"/>
        <v>6</v>
      </c>
    </row>
    <row r="11" spans="1:58" ht="42" customHeight="1" x14ac:dyDescent="0.45">
      <c r="A11" s="42">
        <v>8</v>
      </c>
      <c r="B11" s="43" t="s">
        <v>54</v>
      </c>
      <c r="C11" s="44" t="s">
        <v>55</v>
      </c>
      <c r="D11" s="44" t="s">
        <v>56</v>
      </c>
      <c r="E11" s="43" t="s">
        <v>294</v>
      </c>
      <c r="F11" s="45" t="s">
        <v>295</v>
      </c>
      <c r="G11" s="44" t="s">
        <v>296</v>
      </c>
      <c r="H11" s="44" t="s">
        <v>294</v>
      </c>
      <c r="I11" s="46" t="s">
        <v>151</v>
      </c>
      <c r="J11" s="46" t="s">
        <v>297</v>
      </c>
      <c r="K11" s="44" t="s">
        <v>63</v>
      </c>
      <c r="L11" s="22" t="s">
        <v>64</v>
      </c>
      <c r="M11" s="44" t="s">
        <v>298</v>
      </c>
      <c r="N11" s="54" t="s">
        <v>154</v>
      </c>
      <c r="O11" s="48" t="s">
        <v>299</v>
      </c>
      <c r="P11" s="44" t="s">
        <v>300</v>
      </c>
      <c r="Q11" s="19" t="s">
        <v>301</v>
      </c>
      <c r="R11" s="19" t="s">
        <v>302</v>
      </c>
      <c r="S11" s="21" t="s">
        <v>303</v>
      </c>
      <c r="T11" s="19" t="s">
        <v>304</v>
      </c>
      <c r="U11" s="25" t="s">
        <v>305</v>
      </c>
      <c r="V11" s="19" t="s">
        <v>282</v>
      </c>
      <c r="W11" s="20" t="s">
        <v>283</v>
      </c>
      <c r="X11" s="19" t="s">
        <v>284</v>
      </c>
      <c r="Y11" s="49" t="s">
        <v>285</v>
      </c>
      <c r="Z11" s="19" t="s">
        <v>286</v>
      </c>
      <c r="AA11" s="21" t="s">
        <v>286</v>
      </c>
      <c r="AB11" s="19" t="s">
        <v>287</v>
      </c>
      <c r="AC11" s="19" t="s">
        <v>288</v>
      </c>
      <c r="AD11" s="49" t="s">
        <v>289</v>
      </c>
      <c r="AE11" s="58" t="s">
        <v>290</v>
      </c>
      <c r="AF11" s="56" t="s">
        <v>291</v>
      </c>
      <c r="AG11" s="19" t="s">
        <v>292</v>
      </c>
      <c r="AH11" s="19" t="s">
        <v>293</v>
      </c>
      <c r="AI11" s="28" t="s">
        <v>215</v>
      </c>
      <c r="AJ11" s="19" t="s">
        <v>216</v>
      </c>
      <c r="AK11" s="29" t="s">
        <v>217</v>
      </c>
      <c r="AL11" s="30" t="s">
        <v>218</v>
      </c>
      <c r="AM11" s="31" t="s">
        <v>219</v>
      </c>
      <c r="AN11" s="32" t="s">
        <v>220</v>
      </c>
      <c r="AO11" s="33" t="s">
        <v>221</v>
      </c>
      <c r="AP11" s="51" t="s">
        <v>138</v>
      </c>
      <c r="AQ11" s="35" t="s">
        <v>139</v>
      </c>
      <c r="AR11" s="29" t="s">
        <v>140</v>
      </c>
      <c r="AS11" s="22" t="s">
        <v>141</v>
      </c>
      <c r="AT11" s="30" t="s">
        <v>142</v>
      </c>
      <c r="AU11" s="36" t="s">
        <v>143</v>
      </c>
      <c r="AV11" s="37" t="s">
        <v>144</v>
      </c>
      <c r="AW11" s="38" t="s">
        <v>145</v>
      </c>
      <c r="AX11" s="39" t="s">
        <v>146</v>
      </c>
      <c r="AY11" s="40" t="s">
        <v>147</v>
      </c>
      <c r="AZ11" s="37" t="s">
        <v>104</v>
      </c>
      <c r="BA11" s="41" t="s">
        <v>105</v>
      </c>
      <c r="BB11" s="591" t="str">
        <f t="shared" si="0"/>
        <v>TEMPLATE</v>
      </c>
      <c r="BC11" s="591" t="str">
        <f t="shared" si="1"/>
        <v>3. Cybersecurity &amp; Data-NCA-NCS-1:2020</v>
      </c>
      <c r="BD11" s="591" t="str">
        <f t="shared" si="2"/>
        <v>NCA-NCS-1-2020</v>
      </c>
      <c r="BE11" s="591" t="str">
        <f t="shared" si="3"/>
        <v>NONE</v>
      </c>
      <c r="BF11" s="594">
        <f t="shared" si="4"/>
        <v>9</v>
      </c>
    </row>
    <row r="12" spans="1:58" ht="42" customHeight="1" x14ac:dyDescent="0.45">
      <c r="A12" s="17">
        <v>9</v>
      </c>
      <c r="B12" s="18" t="s">
        <v>54</v>
      </c>
      <c r="C12" s="19" t="s">
        <v>55</v>
      </c>
      <c r="D12" s="19" t="s">
        <v>56</v>
      </c>
      <c r="E12" s="18" t="s">
        <v>306</v>
      </c>
      <c r="F12" s="20" t="s">
        <v>307</v>
      </c>
      <c r="G12" s="19" t="s">
        <v>308</v>
      </c>
      <c r="H12" s="19" t="s">
        <v>309</v>
      </c>
      <c r="I12" s="21" t="s">
        <v>109</v>
      </c>
      <c r="J12" s="21" t="s">
        <v>310</v>
      </c>
      <c r="K12" s="19" t="s">
        <v>63</v>
      </c>
      <c r="L12" s="22" t="s">
        <v>64</v>
      </c>
      <c r="M12" s="19" t="s">
        <v>311</v>
      </c>
      <c r="N12" s="52" t="s">
        <v>154</v>
      </c>
      <c r="O12" s="24" t="s">
        <v>312</v>
      </c>
      <c r="P12" s="19" t="s">
        <v>313</v>
      </c>
      <c r="Q12" s="19" t="s">
        <v>314</v>
      </c>
      <c r="R12" s="19" t="s">
        <v>315</v>
      </c>
      <c r="S12" s="21" t="s">
        <v>316</v>
      </c>
      <c r="T12" s="19" t="s">
        <v>317</v>
      </c>
      <c r="U12" s="25" t="s">
        <v>318</v>
      </c>
      <c r="V12" s="19" t="s">
        <v>282</v>
      </c>
      <c r="W12" s="20" t="s">
        <v>283</v>
      </c>
      <c r="X12" s="19" t="s">
        <v>284</v>
      </c>
      <c r="Y12" s="49" t="s">
        <v>285</v>
      </c>
      <c r="Z12" s="19" t="s">
        <v>286</v>
      </c>
      <c r="AA12" s="21" t="s">
        <v>286</v>
      </c>
      <c r="AB12" s="19" t="s">
        <v>287</v>
      </c>
      <c r="AC12" s="19" t="s">
        <v>288</v>
      </c>
      <c r="AD12" s="49" t="s">
        <v>289</v>
      </c>
      <c r="AE12" s="58" t="s">
        <v>290</v>
      </c>
      <c r="AF12" s="56" t="s">
        <v>291</v>
      </c>
      <c r="AG12" s="19" t="s">
        <v>292</v>
      </c>
      <c r="AH12" s="19" t="s">
        <v>293</v>
      </c>
      <c r="AI12" s="28" t="s">
        <v>215</v>
      </c>
      <c r="AJ12" s="19" t="s">
        <v>216</v>
      </c>
      <c r="AK12" s="29" t="s">
        <v>217</v>
      </c>
      <c r="AL12" s="30" t="s">
        <v>218</v>
      </c>
      <c r="AM12" s="31" t="s">
        <v>219</v>
      </c>
      <c r="AN12" s="32" t="s">
        <v>220</v>
      </c>
      <c r="AO12" s="33" t="s">
        <v>221</v>
      </c>
      <c r="AP12" s="51" t="s">
        <v>138</v>
      </c>
      <c r="AQ12" s="35" t="s">
        <v>139</v>
      </c>
      <c r="AR12" s="29" t="s">
        <v>140</v>
      </c>
      <c r="AS12" s="22" t="s">
        <v>141</v>
      </c>
      <c r="AT12" s="30" t="s">
        <v>142</v>
      </c>
      <c r="AU12" s="36" t="s">
        <v>143</v>
      </c>
      <c r="AV12" s="37" t="s">
        <v>144</v>
      </c>
      <c r="AW12" s="38" t="s">
        <v>145</v>
      </c>
      <c r="AX12" s="39" t="s">
        <v>146</v>
      </c>
      <c r="AY12" s="40" t="s">
        <v>147</v>
      </c>
      <c r="AZ12" s="37" t="s">
        <v>319</v>
      </c>
      <c r="BA12" s="34" t="s">
        <v>320</v>
      </c>
      <c r="BB12" s="591" t="str">
        <f t="shared" si="0"/>
        <v>TEMPLATE</v>
      </c>
      <c r="BC12" s="591" t="str">
        <f t="shared" si="1"/>
        <v>3. Cybersecurity &amp; Data-NCA-SCyWF</v>
      </c>
      <c r="BD12" s="591" t="str">
        <f t="shared" si="2"/>
        <v>NCA-SCyWF</v>
      </c>
      <c r="BE12" s="591" t="str">
        <f t="shared" si="3"/>
        <v>NONE</v>
      </c>
      <c r="BF12" s="594">
        <f t="shared" si="4"/>
        <v>9</v>
      </c>
    </row>
    <row r="13" spans="1:58" ht="42" customHeight="1" x14ac:dyDescent="0.45">
      <c r="A13" s="42">
        <v>10</v>
      </c>
      <c r="B13" s="43" t="s">
        <v>54</v>
      </c>
      <c r="C13" s="44" t="s">
        <v>55</v>
      </c>
      <c r="D13" s="44" t="s">
        <v>56</v>
      </c>
      <c r="E13" s="43" t="s">
        <v>321</v>
      </c>
      <c r="F13" s="45" t="s">
        <v>322</v>
      </c>
      <c r="G13" s="44" t="s">
        <v>323</v>
      </c>
      <c r="H13" s="44" t="s">
        <v>324</v>
      </c>
      <c r="I13" s="46" t="s">
        <v>109</v>
      </c>
      <c r="J13" s="46" t="s">
        <v>310</v>
      </c>
      <c r="K13" s="44" t="s">
        <v>63</v>
      </c>
      <c r="L13" s="22" t="s">
        <v>64</v>
      </c>
      <c r="M13" s="44" t="s">
        <v>325</v>
      </c>
      <c r="N13" s="59" t="s">
        <v>275</v>
      </c>
      <c r="O13" s="48" t="s">
        <v>326</v>
      </c>
      <c r="P13" s="44" t="s">
        <v>327</v>
      </c>
      <c r="Q13" s="19" t="s">
        <v>328</v>
      </c>
      <c r="R13" s="19" t="s">
        <v>329</v>
      </c>
      <c r="S13" s="21" t="s">
        <v>330</v>
      </c>
      <c r="T13" s="19" t="s">
        <v>331</v>
      </c>
      <c r="U13" s="25" t="s">
        <v>332</v>
      </c>
      <c r="V13" s="19" t="s">
        <v>282</v>
      </c>
      <c r="W13" s="20" t="s">
        <v>283</v>
      </c>
      <c r="X13" s="19" t="s">
        <v>284</v>
      </c>
      <c r="Y13" s="49" t="s">
        <v>285</v>
      </c>
      <c r="Z13" s="19" t="s">
        <v>286</v>
      </c>
      <c r="AA13" s="21" t="s">
        <v>286</v>
      </c>
      <c r="AB13" s="19" t="s">
        <v>287</v>
      </c>
      <c r="AC13" s="19" t="s">
        <v>288</v>
      </c>
      <c r="AD13" s="49" t="s">
        <v>289</v>
      </c>
      <c r="AE13" s="58" t="s">
        <v>290</v>
      </c>
      <c r="AF13" s="56" t="s">
        <v>291</v>
      </c>
      <c r="AG13" s="19" t="s">
        <v>292</v>
      </c>
      <c r="AH13" s="19" t="s">
        <v>293</v>
      </c>
      <c r="AI13" s="28" t="s">
        <v>215</v>
      </c>
      <c r="AJ13" s="19" t="s">
        <v>216</v>
      </c>
      <c r="AK13" s="29" t="s">
        <v>217</v>
      </c>
      <c r="AL13" s="30" t="s">
        <v>218</v>
      </c>
      <c r="AM13" s="31" t="s">
        <v>219</v>
      </c>
      <c r="AN13" s="32" t="s">
        <v>220</v>
      </c>
      <c r="AO13" s="33" t="s">
        <v>221</v>
      </c>
      <c r="AP13" s="51" t="s">
        <v>138</v>
      </c>
      <c r="AQ13" s="35" t="s">
        <v>139</v>
      </c>
      <c r="AR13" s="29" t="s">
        <v>140</v>
      </c>
      <c r="AS13" s="22" t="s">
        <v>141</v>
      </c>
      <c r="AT13" s="30" t="s">
        <v>142</v>
      </c>
      <c r="AU13" s="36" t="s">
        <v>143</v>
      </c>
      <c r="AV13" s="37" t="s">
        <v>144</v>
      </c>
      <c r="AW13" s="38" t="s">
        <v>145</v>
      </c>
      <c r="AX13" s="39" t="s">
        <v>146</v>
      </c>
      <c r="AY13" s="40" t="s">
        <v>147</v>
      </c>
      <c r="AZ13" s="37" t="s">
        <v>104</v>
      </c>
      <c r="BA13" s="41" t="s">
        <v>105</v>
      </c>
      <c r="BB13" s="591" t="str">
        <f t="shared" si="0"/>
        <v>TEMPLATE</v>
      </c>
      <c r="BC13" s="591" t="str">
        <f t="shared" si="1"/>
        <v>3. Cybersecurity &amp; Data-NCA-SCyber-Edu</v>
      </c>
      <c r="BD13" s="591" t="str">
        <f t="shared" si="2"/>
        <v>NCA-SCyber-Edu</v>
      </c>
      <c r="BE13" s="591" t="str">
        <f t="shared" si="3"/>
        <v>NONE</v>
      </c>
      <c r="BF13" s="594">
        <f t="shared" si="4"/>
        <v>6</v>
      </c>
    </row>
    <row r="14" spans="1:58" ht="42" customHeight="1" x14ac:dyDescent="0.45">
      <c r="A14" s="17">
        <v>11</v>
      </c>
      <c r="B14" s="18" t="s">
        <v>54</v>
      </c>
      <c r="C14" s="19" t="s">
        <v>55</v>
      </c>
      <c r="D14" s="19" t="s">
        <v>56</v>
      </c>
      <c r="E14" s="18" t="s">
        <v>333</v>
      </c>
      <c r="F14" s="20" t="s">
        <v>334</v>
      </c>
      <c r="G14" s="19" t="s">
        <v>335</v>
      </c>
      <c r="H14" s="19" t="s">
        <v>336</v>
      </c>
      <c r="I14" s="21" t="s">
        <v>337</v>
      </c>
      <c r="J14" s="21" t="s">
        <v>310</v>
      </c>
      <c r="K14" s="19" t="s">
        <v>63</v>
      </c>
      <c r="L14" s="22" t="s">
        <v>64</v>
      </c>
      <c r="M14" s="19" t="s">
        <v>338</v>
      </c>
      <c r="N14" s="23" t="s">
        <v>66</v>
      </c>
      <c r="O14" s="24" t="s">
        <v>339</v>
      </c>
      <c r="P14" s="19" t="s">
        <v>340</v>
      </c>
      <c r="Q14" s="19" t="s">
        <v>341</v>
      </c>
      <c r="R14" s="19" t="s">
        <v>342</v>
      </c>
      <c r="S14" s="21" t="s">
        <v>343</v>
      </c>
      <c r="T14" s="19" t="s">
        <v>344</v>
      </c>
      <c r="U14" s="25" t="s">
        <v>345</v>
      </c>
      <c r="V14" s="19" t="s">
        <v>346</v>
      </c>
      <c r="W14" s="20" t="s">
        <v>347</v>
      </c>
      <c r="X14" s="19" t="s">
        <v>348</v>
      </c>
      <c r="Y14" s="22" t="s">
        <v>205</v>
      </c>
      <c r="Z14" s="19" t="s">
        <v>349</v>
      </c>
      <c r="AA14" s="21" t="s">
        <v>350</v>
      </c>
      <c r="AB14" s="19" t="s">
        <v>351</v>
      </c>
      <c r="AC14" s="19" t="s">
        <v>352</v>
      </c>
      <c r="AD14" s="49" t="s">
        <v>353</v>
      </c>
      <c r="AE14" s="56" t="s">
        <v>354</v>
      </c>
      <c r="AF14" s="60" t="s">
        <v>355</v>
      </c>
      <c r="AG14" s="19" t="s">
        <v>356</v>
      </c>
      <c r="AH14" s="19" t="s">
        <v>357</v>
      </c>
      <c r="AI14" s="28" t="s">
        <v>4780</v>
      </c>
      <c r="AJ14" s="19" t="s">
        <v>4781</v>
      </c>
      <c r="AK14" s="29" t="s">
        <v>4782</v>
      </c>
      <c r="AL14" s="30" t="s">
        <v>4783</v>
      </c>
      <c r="AM14" s="31" t="s">
        <v>4784</v>
      </c>
      <c r="AN14" s="32" t="s">
        <v>220</v>
      </c>
      <c r="AO14" s="33" t="s">
        <v>4785</v>
      </c>
      <c r="AP14" s="51" t="s">
        <v>138</v>
      </c>
      <c r="AQ14" s="35" t="s">
        <v>139</v>
      </c>
      <c r="AR14" s="29" t="s">
        <v>140</v>
      </c>
      <c r="AS14" s="22" t="s">
        <v>141</v>
      </c>
      <c r="AT14" s="30" t="s">
        <v>142</v>
      </c>
      <c r="AU14" s="36" t="s">
        <v>143</v>
      </c>
      <c r="AV14" s="37" t="s">
        <v>144</v>
      </c>
      <c r="AW14" s="38" t="s">
        <v>145</v>
      </c>
      <c r="AX14" s="39" t="s">
        <v>146</v>
      </c>
      <c r="AY14" s="40" t="s">
        <v>147</v>
      </c>
      <c r="AZ14" s="37" t="s">
        <v>358</v>
      </c>
      <c r="BA14" s="34" t="s">
        <v>320</v>
      </c>
      <c r="BB14" s="591" t="str">
        <f t="shared" si="0"/>
        <v>DEEP</v>
      </c>
      <c r="BC14" s="591" t="str">
        <f t="shared" si="1"/>
        <v>3. Cybersecurity &amp; Data-NCA-NCA-REG-2024</v>
      </c>
      <c r="BD14" s="591" t="str">
        <f t="shared" si="2"/>
        <v>NCA-NCA-REG-2024</v>
      </c>
      <c r="BE14" s="591" t="str">
        <f t="shared" si="3"/>
        <v>NONE</v>
      </c>
      <c r="BF14" s="594">
        <f t="shared" si="4"/>
        <v>18</v>
      </c>
    </row>
    <row r="15" spans="1:58" ht="42" customHeight="1" x14ac:dyDescent="0.45">
      <c r="A15" s="42">
        <v>12</v>
      </c>
      <c r="B15" s="43" t="s">
        <v>54</v>
      </c>
      <c r="C15" s="44" t="s">
        <v>55</v>
      </c>
      <c r="D15" s="44" t="s">
        <v>56</v>
      </c>
      <c r="E15" s="43" t="s">
        <v>359</v>
      </c>
      <c r="F15" s="45" t="s">
        <v>360</v>
      </c>
      <c r="G15" s="44" t="s">
        <v>361</v>
      </c>
      <c r="H15" s="44" t="s">
        <v>337</v>
      </c>
      <c r="I15" s="46" t="s">
        <v>337</v>
      </c>
      <c r="J15" s="46" t="s">
        <v>310</v>
      </c>
      <c r="K15" s="44" t="s">
        <v>63</v>
      </c>
      <c r="L15" s="22" t="s">
        <v>64</v>
      </c>
      <c r="M15" s="44" t="s">
        <v>362</v>
      </c>
      <c r="N15" s="55" t="s">
        <v>253</v>
      </c>
      <c r="O15" s="48" t="s">
        <v>363</v>
      </c>
      <c r="P15" s="44" t="s">
        <v>364</v>
      </c>
      <c r="Q15" s="19" t="s">
        <v>365</v>
      </c>
      <c r="R15" s="19" t="s">
        <v>366</v>
      </c>
      <c r="S15" s="21" t="s">
        <v>367</v>
      </c>
      <c r="T15" s="19" t="s">
        <v>368</v>
      </c>
      <c r="U15" s="25" t="s">
        <v>369</v>
      </c>
      <c r="V15" s="19" t="s">
        <v>282</v>
      </c>
      <c r="W15" s="20" t="s">
        <v>283</v>
      </c>
      <c r="X15" s="19" t="s">
        <v>284</v>
      </c>
      <c r="Y15" s="49" t="s">
        <v>285</v>
      </c>
      <c r="Z15" s="19" t="s">
        <v>286</v>
      </c>
      <c r="AA15" s="21" t="s">
        <v>286</v>
      </c>
      <c r="AB15" s="19" t="s">
        <v>287</v>
      </c>
      <c r="AC15" s="19" t="s">
        <v>288</v>
      </c>
      <c r="AD15" s="49" t="s">
        <v>289</v>
      </c>
      <c r="AE15" s="58" t="s">
        <v>290</v>
      </c>
      <c r="AF15" s="56" t="s">
        <v>291</v>
      </c>
      <c r="AG15" s="19" t="s">
        <v>292</v>
      </c>
      <c r="AH15" s="19" t="s">
        <v>293</v>
      </c>
      <c r="AI15" s="28" t="s">
        <v>215</v>
      </c>
      <c r="AJ15" s="19" t="s">
        <v>216</v>
      </c>
      <c r="AK15" s="29" t="s">
        <v>217</v>
      </c>
      <c r="AL15" s="30" t="s">
        <v>218</v>
      </c>
      <c r="AM15" s="31" t="s">
        <v>219</v>
      </c>
      <c r="AN15" s="32" t="s">
        <v>220</v>
      </c>
      <c r="AO15" s="33" t="s">
        <v>221</v>
      </c>
      <c r="AP15" s="51" t="s">
        <v>138</v>
      </c>
      <c r="AQ15" s="35" t="s">
        <v>139</v>
      </c>
      <c r="AR15" s="29" t="s">
        <v>140</v>
      </c>
      <c r="AS15" s="22" t="s">
        <v>141</v>
      </c>
      <c r="AT15" s="30" t="s">
        <v>142</v>
      </c>
      <c r="AU15" s="36" t="s">
        <v>143</v>
      </c>
      <c r="AV15" s="37" t="s">
        <v>144</v>
      </c>
      <c r="AW15" s="38" t="s">
        <v>145</v>
      </c>
      <c r="AX15" s="39" t="s">
        <v>146</v>
      </c>
      <c r="AY15" s="40" t="s">
        <v>147</v>
      </c>
      <c r="AZ15" s="37" t="s">
        <v>104</v>
      </c>
      <c r="BA15" s="41" t="s">
        <v>105</v>
      </c>
      <c r="BB15" s="591" t="str">
        <f t="shared" si="0"/>
        <v>TEMPLATE</v>
      </c>
      <c r="BC15" s="591" t="str">
        <f t="shared" si="1"/>
        <v>3. Cybersecurity &amp; Data-NCA-NCA-MCSOC</v>
      </c>
      <c r="BD15" s="591" t="str">
        <f t="shared" si="2"/>
        <v>NCA-NCA-MCSOC</v>
      </c>
      <c r="BE15" s="591" t="str">
        <f t="shared" si="3"/>
        <v>NONE</v>
      </c>
      <c r="BF15" s="594">
        <f t="shared" si="4"/>
        <v>7</v>
      </c>
    </row>
    <row r="16" spans="1:58" ht="42" customHeight="1" x14ac:dyDescent="0.45">
      <c r="A16" s="17">
        <v>13</v>
      </c>
      <c r="B16" s="18" t="s">
        <v>54</v>
      </c>
      <c r="C16" s="19" t="s">
        <v>55</v>
      </c>
      <c r="D16" s="19" t="s">
        <v>56</v>
      </c>
      <c r="E16" s="18" t="s">
        <v>370</v>
      </c>
      <c r="F16" s="20" t="s">
        <v>371</v>
      </c>
      <c r="G16" s="19" t="s">
        <v>372</v>
      </c>
      <c r="H16" s="19" t="s">
        <v>109</v>
      </c>
      <c r="I16" s="21" t="s">
        <v>109</v>
      </c>
      <c r="J16" s="21" t="s">
        <v>310</v>
      </c>
      <c r="K16" s="19" t="s">
        <v>63</v>
      </c>
      <c r="L16" s="61" t="s">
        <v>373</v>
      </c>
      <c r="M16" s="19" t="s">
        <v>374</v>
      </c>
      <c r="N16" s="57" t="s">
        <v>275</v>
      </c>
      <c r="O16" s="24" t="s">
        <v>375</v>
      </c>
      <c r="P16" s="19" t="s">
        <v>364</v>
      </c>
      <c r="Q16" s="19" t="s">
        <v>376</v>
      </c>
      <c r="R16" s="19" t="s">
        <v>377</v>
      </c>
      <c r="S16" s="21" t="s">
        <v>378</v>
      </c>
      <c r="T16" s="19" t="s">
        <v>281</v>
      </c>
      <c r="U16" s="25" t="s">
        <v>379</v>
      </c>
      <c r="V16" s="19" t="s">
        <v>282</v>
      </c>
      <c r="W16" s="20" t="s">
        <v>283</v>
      </c>
      <c r="X16" s="19" t="s">
        <v>284</v>
      </c>
      <c r="Y16" s="49" t="s">
        <v>285</v>
      </c>
      <c r="Z16" s="19" t="s">
        <v>286</v>
      </c>
      <c r="AA16" s="21" t="s">
        <v>286</v>
      </c>
      <c r="AB16" s="19" t="s">
        <v>287</v>
      </c>
      <c r="AC16" s="19" t="s">
        <v>288</v>
      </c>
      <c r="AD16" s="49" t="s">
        <v>289</v>
      </c>
      <c r="AE16" s="58" t="s">
        <v>290</v>
      </c>
      <c r="AF16" s="56" t="s">
        <v>291</v>
      </c>
      <c r="AG16" s="19" t="s">
        <v>292</v>
      </c>
      <c r="AH16" s="19" t="s">
        <v>293</v>
      </c>
      <c r="AI16" s="28" t="s">
        <v>215</v>
      </c>
      <c r="AJ16" s="19" t="s">
        <v>216</v>
      </c>
      <c r="AK16" s="29" t="s">
        <v>217</v>
      </c>
      <c r="AL16" s="30" t="s">
        <v>218</v>
      </c>
      <c r="AM16" s="31" t="s">
        <v>219</v>
      </c>
      <c r="AN16" s="32" t="s">
        <v>220</v>
      </c>
      <c r="AO16" s="33" t="s">
        <v>221</v>
      </c>
      <c r="AP16" s="51" t="s">
        <v>138</v>
      </c>
      <c r="AQ16" s="35" t="s">
        <v>139</v>
      </c>
      <c r="AR16" s="29" t="s">
        <v>140</v>
      </c>
      <c r="AS16" s="22" t="s">
        <v>141</v>
      </c>
      <c r="AT16" s="30" t="s">
        <v>142</v>
      </c>
      <c r="AU16" s="36" t="s">
        <v>143</v>
      </c>
      <c r="AV16" s="37" t="s">
        <v>144</v>
      </c>
      <c r="AW16" s="38" t="s">
        <v>145</v>
      </c>
      <c r="AX16" s="39" t="s">
        <v>146</v>
      </c>
      <c r="AY16" s="40" t="s">
        <v>147</v>
      </c>
      <c r="AZ16" s="37" t="s">
        <v>104</v>
      </c>
      <c r="BA16" s="41" t="s">
        <v>105</v>
      </c>
      <c r="BB16" s="591" t="str">
        <f t="shared" si="0"/>
        <v>TEMPLATE</v>
      </c>
      <c r="BC16" s="591" t="str">
        <f t="shared" si="1"/>
        <v>3. Cybersecurity &amp; Data-NCA-NCA-CGEC</v>
      </c>
      <c r="BD16" s="591" t="str">
        <f t="shared" si="2"/>
        <v>NCA-NCA-CGEC</v>
      </c>
      <c r="BE16" s="591" t="str">
        <f t="shared" si="3"/>
        <v>NONE</v>
      </c>
      <c r="BF16" s="594">
        <f t="shared" si="4"/>
        <v>3</v>
      </c>
    </row>
    <row r="17" spans="1:58" ht="42" customHeight="1" x14ac:dyDescent="0.45">
      <c r="A17" s="42">
        <v>14</v>
      </c>
      <c r="B17" s="43" t="s">
        <v>380</v>
      </c>
      <c r="C17" s="44" t="s">
        <v>381</v>
      </c>
      <c r="D17" s="44" t="s">
        <v>56</v>
      </c>
      <c r="E17" s="43" t="s">
        <v>382</v>
      </c>
      <c r="F17" s="45" t="s">
        <v>383</v>
      </c>
      <c r="G17" s="44" t="s">
        <v>384</v>
      </c>
      <c r="H17" s="44" t="s">
        <v>385</v>
      </c>
      <c r="I17" s="46" t="s">
        <v>250</v>
      </c>
      <c r="J17" s="46" t="s">
        <v>386</v>
      </c>
      <c r="K17" s="44" t="s">
        <v>63</v>
      </c>
      <c r="L17" s="22" t="s">
        <v>64</v>
      </c>
      <c r="M17" s="44" t="s">
        <v>387</v>
      </c>
      <c r="N17" s="47" t="s">
        <v>66</v>
      </c>
      <c r="O17" s="48" t="s">
        <v>388</v>
      </c>
      <c r="P17" s="44" t="s">
        <v>389</v>
      </c>
      <c r="Q17" s="19" t="s">
        <v>390</v>
      </c>
      <c r="R17" s="19" t="s">
        <v>391</v>
      </c>
      <c r="S17" s="21" t="s">
        <v>392</v>
      </c>
      <c r="T17" s="19" t="s">
        <v>393</v>
      </c>
      <c r="U17" s="25" t="s">
        <v>394</v>
      </c>
      <c r="V17" s="19" t="s">
        <v>395</v>
      </c>
      <c r="W17" s="20" t="s">
        <v>396</v>
      </c>
      <c r="X17" s="19" t="s">
        <v>397</v>
      </c>
      <c r="Y17" s="49" t="s">
        <v>398</v>
      </c>
      <c r="Z17" s="19" t="s">
        <v>399</v>
      </c>
      <c r="AA17" s="21" t="s">
        <v>400</v>
      </c>
      <c r="AB17" s="19" t="s">
        <v>401</v>
      </c>
      <c r="AC17" s="19" t="s">
        <v>402</v>
      </c>
      <c r="AD17" s="49" t="s">
        <v>403</v>
      </c>
      <c r="AE17" s="50" t="s">
        <v>404</v>
      </c>
      <c r="AF17" s="60" t="s">
        <v>405</v>
      </c>
      <c r="AG17" s="19" t="s">
        <v>406</v>
      </c>
      <c r="AH17" s="19" t="s">
        <v>407</v>
      </c>
      <c r="AI17" s="28" t="s">
        <v>408</v>
      </c>
      <c r="AJ17" s="19" t="s">
        <v>409</v>
      </c>
      <c r="AK17" s="29" t="s">
        <v>410</v>
      </c>
      <c r="AL17" s="30" t="s">
        <v>411</v>
      </c>
      <c r="AM17" s="31" t="s">
        <v>412</v>
      </c>
      <c r="AN17" s="32" t="s">
        <v>413</v>
      </c>
      <c r="AO17" s="33" t="s">
        <v>414</v>
      </c>
      <c r="AP17" s="51" t="s">
        <v>415</v>
      </c>
      <c r="AQ17" s="35" t="s">
        <v>416</v>
      </c>
      <c r="AR17" s="29" t="s">
        <v>417</v>
      </c>
      <c r="AS17" s="22" t="s">
        <v>418</v>
      </c>
      <c r="AT17" s="30" t="s">
        <v>419</v>
      </c>
      <c r="AU17" s="36" t="s">
        <v>420</v>
      </c>
      <c r="AV17" s="37" t="s">
        <v>421</v>
      </c>
      <c r="AW17" s="38" t="s">
        <v>422</v>
      </c>
      <c r="AX17" s="39" t="s">
        <v>423</v>
      </c>
      <c r="AY17" s="40" t="s">
        <v>424</v>
      </c>
      <c r="AZ17" s="37" t="s">
        <v>425</v>
      </c>
      <c r="BA17" s="34" t="s">
        <v>320</v>
      </c>
      <c r="BB17" s="591" t="str">
        <f t="shared" si="0"/>
        <v>DEEP</v>
      </c>
      <c r="BC17" s="591" t="str">
        <f t="shared" si="1"/>
        <v>3. Cybersecurity &amp; Data-SDAIA-PDPL-2021</v>
      </c>
      <c r="BD17" s="591" t="str">
        <f t="shared" si="2"/>
        <v>SDAIA-PDPL-2021</v>
      </c>
      <c r="BE17" s="591" t="str">
        <f t="shared" si="3"/>
        <v>NONE</v>
      </c>
      <c r="BF17" s="594">
        <f t="shared" si="4"/>
        <v>18</v>
      </c>
    </row>
    <row r="18" spans="1:58" ht="42" customHeight="1" x14ac:dyDescent="0.45">
      <c r="A18" s="17">
        <v>15</v>
      </c>
      <c r="B18" s="18" t="s">
        <v>380</v>
      </c>
      <c r="C18" s="19" t="s">
        <v>381</v>
      </c>
      <c r="D18" s="19" t="s">
        <v>56</v>
      </c>
      <c r="E18" s="18" t="s">
        <v>426</v>
      </c>
      <c r="F18" s="20" t="s">
        <v>427</v>
      </c>
      <c r="G18" s="19" t="s">
        <v>428</v>
      </c>
      <c r="H18" s="19" t="s">
        <v>429</v>
      </c>
      <c r="I18" s="21" t="s">
        <v>430</v>
      </c>
      <c r="J18" s="21" t="s">
        <v>431</v>
      </c>
      <c r="K18" s="19" t="s">
        <v>63</v>
      </c>
      <c r="L18" s="22" t="s">
        <v>64</v>
      </c>
      <c r="M18" s="19" t="s">
        <v>432</v>
      </c>
      <c r="N18" s="23" t="s">
        <v>66</v>
      </c>
      <c r="O18" s="24" t="s">
        <v>388</v>
      </c>
      <c r="P18" s="19" t="s">
        <v>433</v>
      </c>
      <c r="Q18" s="19" t="s">
        <v>434</v>
      </c>
      <c r="R18" s="19" t="s">
        <v>435</v>
      </c>
      <c r="S18" s="21" t="s">
        <v>436</v>
      </c>
      <c r="T18" s="19" t="s">
        <v>437</v>
      </c>
      <c r="U18" s="25" t="s">
        <v>438</v>
      </c>
      <c r="V18" s="19" t="s">
        <v>439</v>
      </c>
      <c r="W18" s="20" t="s">
        <v>440</v>
      </c>
      <c r="X18" s="19" t="s">
        <v>441</v>
      </c>
      <c r="Y18" s="22" t="s">
        <v>205</v>
      </c>
      <c r="Z18" s="19" t="s">
        <v>442</v>
      </c>
      <c r="AA18" s="21" t="s">
        <v>443</v>
      </c>
      <c r="AB18" s="19" t="s">
        <v>444</v>
      </c>
      <c r="AC18" s="19" t="s">
        <v>445</v>
      </c>
      <c r="AD18" s="49" t="s">
        <v>446</v>
      </c>
      <c r="AE18" s="56" t="s">
        <v>447</v>
      </c>
      <c r="AF18" s="60" t="s">
        <v>448</v>
      </c>
      <c r="AG18" s="19" t="s">
        <v>449</v>
      </c>
      <c r="AH18" s="19" t="s">
        <v>450</v>
      </c>
      <c r="AI18" s="28" t="s">
        <v>4786</v>
      </c>
      <c r="AJ18" s="19" t="s">
        <v>4787</v>
      </c>
      <c r="AK18" s="29" t="s">
        <v>4788</v>
      </c>
      <c r="AL18" s="30" t="s">
        <v>218</v>
      </c>
      <c r="AM18" s="31" t="s">
        <v>4789</v>
      </c>
      <c r="AN18" s="32" t="s">
        <v>220</v>
      </c>
      <c r="AO18" s="33" t="s">
        <v>4790</v>
      </c>
      <c r="AP18" s="62" t="s">
        <v>451</v>
      </c>
      <c r="AQ18" s="35" t="s">
        <v>452</v>
      </c>
      <c r="AR18" s="29" t="s">
        <v>453</v>
      </c>
      <c r="AS18" s="22" t="s">
        <v>454</v>
      </c>
      <c r="AT18" s="30" t="s">
        <v>455</v>
      </c>
      <c r="AU18" s="36" t="s">
        <v>456</v>
      </c>
      <c r="AV18" s="37" t="s">
        <v>457</v>
      </c>
      <c r="AW18" s="38" t="s">
        <v>458</v>
      </c>
      <c r="AX18" s="39" t="s">
        <v>459</v>
      </c>
      <c r="AY18" s="40" t="s">
        <v>460</v>
      </c>
      <c r="AZ18" s="37" t="s">
        <v>425</v>
      </c>
      <c r="BA18" s="34" t="s">
        <v>320</v>
      </c>
      <c r="BB18" s="591" t="str">
        <f t="shared" si="0"/>
        <v>DEEP</v>
      </c>
      <c r="BC18" s="591" t="str">
        <f t="shared" si="1"/>
        <v>3. Cybersecurity &amp; Data-SDAIA-PDPL-IR-2023</v>
      </c>
      <c r="BD18" s="591" t="str">
        <f t="shared" si="2"/>
        <v>SDAIA-PDPL-IR-2023</v>
      </c>
      <c r="BE18" s="591" t="str">
        <f t="shared" si="3"/>
        <v>PDPL-2021</v>
      </c>
      <c r="BF18" s="594">
        <f t="shared" si="4"/>
        <v>18</v>
      </c>
    </row>
    <row r="19" spans="1:58" ht="42" customHeight="1" x14ac:dyDescent="0.45">
      <c r="A19" s="42">
        <v>16</v>
      </c>
      <c r="B19" s="43" t="s">
        <v>380</v>
      </c>
      <c r="C19" s="44" t="s">
        <v>381</v>
      </c>
      <c r="D19" s="44" t="s">
        <v>56</v>
      </c>
      <c r="E19" s="43" t="s">
        <v>461</v>
      </c>
      <c r="F19" s="45" t="s">
        <v>462</v>
      </c>
      <c r="G19" s="44" t="s">
        <v>463</v>
      </c>
      <c r="H19" s="44" t="s">
        <v>464</v>
      </c>
      <c r="I19" s="46" t="s">
        <v>430</v>
      </c>
      <c r="J19" s="46" t="s">
        <v>465</v>
      </c>
      <c r="K19" s="44" t="s">
        <v>63</v>
      </c>
      <c r="L19" s="22" t="s">
        <v>64</v>
      </c>
      <c r="M19" s="44" t="s">
        <v>466</v>
      </c>
      <c r="N19" s="47" t="s">
        <v>66</v>
      </c>
      <c r="O19" s="48" t="s">
        <v>388</v>
      </c>
      <c r="P19" s="44" t="s">
        <v>467</v>
      </c>
      <c r="Q19" s="19" t="s">
        <v>468</v>
      </c>
      <c r="R19" s="19" t="s">
        <v>469</v>
      </c>
      <c r="S19" s="21" t="s">
        <v>470</v>
      </c>
      <c r="T19" s="19" t="s">
        <v>471</v>
      </c>
      <c r="U19" s="25" t="s">
        <v>472</v>
      </c>
      <c r="V19" s="19" t="s">
        <v>282</v>
      </c>
      <c r="W19" s="20" t="s">
        <v>283</v>
      </c>
      <c r="X19" s="19" t="s">
        <v>284</v>
      </c>
      <c r="Y19" s="49" t="s">
        <v>285</v>
      </c>
      <c r="Z19" s="19" t="s">
        <v>286</v>
      </c>
      <c r="AA19" s="21" t="s">
        <v>286</v>
      </c>
      <c r="AB19" s="19" t="s">
        <v>287</v>
      </c>
      <c r="AC19" s="19" t="s">
        <v>288</v>
      </c>
      <c r="AD19" s="49" t="s">
        <v>289</v>
      </c>
      <c r="AE19" s="58" t="s">
        <v>290</v>
      </c>
      <c r="AF19" s="56" t="s">
        <v>291</v>
      </c>
      <c r="AG19" s="19" t="s">
        <v>292</v>
      </c>
      <c r="AH19" s="19" t="s">
        <v>293</v>
      </c>
      <c r="AI19" s="28" t="s">
        <v>4791</v>
      </c>
      <c r="AJ19" s="19" t="s">
        <v>4792</v>
      </c>
      <c r="AK19" s="29" t="s">
        <v>4793</v>
      </c>
      <c r="AL19" s="30" t="s">
        <v>218</v>
      </c>
      <c r="AM19" s="31" t="s">
        <v>4794</v>
      </c>
      <c r="AN19" s="32" t="s">
        <v>220</v>
      </c>
      <c r="AO19" s="33" t="s">
        <v>4795</v>
      </c>
      <c r="AP19" s="51" t="s">
        <v>138</v>
      </c>
      <c r="AQ19" s="35" t="s">
        <v>139</v>
      </c>
      <c r="AR19" s="29" t="s">
        <v>140</v>
      </c>
      <c r="AS19" s="22" t="s">
        <v>141</v>
      </c>
      <c r="AT19" s="30" t="s">
        <v>142</v>
      </c>
      <c r="AU19" s="36" t="s">
        <v>143</v>
      </c>
      <c r="AV19" s="37" t="s">
        <v>144</v>
      </c>
      <c r="AW19" s="38" t="s">
        <v>145</v>
      </c>
      <c r="AX19" s="39" t="s">
        <v>146</v>
      </c>
      <c r="AY19" s="40" t="s">
        <v>147</v>
      </c>
      <c r="AZ19" s="37" t="s">
        <v>104</v>
      </c>
      <c r="BA19" s="41" t="s">
        <v>105</v>
      </c>
      <c r="BB19" s="591" t="str">
        <f t="shared" si="0"/>
        <v>DEEP</v>
      </c>
      <c r="BC19" s="591" t="str">
        <f t="shared" si="1"/>
        <v>3. Cybersecurity &amp; Data-SDAIA-PDPL-DTR-2024</v>
      </c>
      <c r="BD19" s="591" t="str">
        <f t="shared" si="2"/>
        <v>SDAIA-PDPL-DTR-2024</v>
      </c>
      <c r="BE19" s="591" t="str">
        <f t="shared" si="3"/>
        <v>PDPL-2021</v>
      </c>
      <c r="BF19" s="594">
        <f t="shared" si="4"/>
        <v>18</v>
      </c>
    </row>
    <row r="20" spans="1:58" ht="42" customHeight="1" x14ac:dyDescent="0.45">
      <c r="A20" s="17">
        <v>17</v>
      </c>
      <c r="B20" s="18" t="s">
        <v>380</v>
      </c>
      <c r="C20" s="19" t="s">
        <v>381</v>
      </c>
      <c r="D20" s="19" t="s">
        <v>56</v>
      </c>
      <c r="E20" s="18" t="s">
        <v>473</v>
      </c>
      <c r="F20" s="20" t="s">
        <v>474</v>
      </c>
      <c r="G20" s="19" t="s">
        <v>475</v>
      </c>
      <c r="H20" s="19" t="s">
        <v>476</v>
      </c>
      <c r="I20" s="21" t="s">
        <v>250</v>
      </c>
      <c r="J20" s="21" t="s">
        <v>251</v>
      </c>
      <c r="K20" s="19" t="s">
        <v>63</v>
      </c>
      <c r="L20" s="22" t="s">
        <v>64</v>
      </c>
      <c r="M20" s="19" t="s">
        <v>477</v>
      </c>
      <c r="N20" s="52" t="s">
        <v>154</v>
      </c>
      <c r="O20" s="24" t="s">
        <v>388</v>
      </c>
      <c r="P20" s="19" t="s">
        <v>478</v>
      </c>
      <c r="Q20" s="19" t="s">
        <v>479</v>
      </c>
      <c r="R20" s="19" t="s">
        <v>480</v>
      </c>
      <c r="S20" s="21" t="s">
        <v>481</v>
      </c>
      <c r="T20" s="19" t="s">
        <v>482</v>
      </c>
      <c r="U20" s="25" t="s">
        <v>369</v>
      </c>
      <c r="V20" s="19" t="s">
        <v>282</v>
      </c>
      <c r="W20" s="20" t="s">
        <v>283</v>
      </c>
      <c r="X20" s="19" t="s">
        <v>284</v>
      </c>
      <c r="Y20" s="49" t="s">
        <v>285</v>
      </c>
      <c r="Z20" s="19" t="s">
        <v>286</v>
      </c>
      <c r="AA20" s="21" t="s">
        <v>286</v>
      </c>
      <c r="AB20" s="19" t="s">
        <v>287</v>
      </c>
      <c r="AC20" s="19" t="s">
        <v>288</v>
      </c>
      <c r="AD20" s="49" t="s">
        <v>289</v>
      </c>
      <c r="AE20" s="58" t="s">
        <v>290</v>
      </c>
      <c r="AF20" s="56" t="s">
        <v>291</v>
      </c>
      <c r="AG20" s="19" t="s">
        <v>292</v>
      </c>
      <c r="AH20" s="19" t="s">
        <v>293</v>
      </c>
      <c r="AI20" s="28" t="s">
        <v>215</v>
      </c>
      <c r="AJ20" s="19" t="s">
        <v>216</v>
      </c>
      <c r="AK20" s="29" t="s">
        <v>217</v>
      </c>
      <c r="AL20" s="30" t="s">
        <v>218</v>
      </c>
      <c r="AM20" s="31" t="s">
        <v>219</v>
      </c>
      <c r="AN20" s="32" t="s">
        <v>220</v>
      </c>
      <c r="AO20" s="33" t="s">
        <v>221</v>
      </c>
      <c r="AP20" s="51" t="s">
        <v>138</v>
      </c>
      <c r="AQ20" s="35" t="s">
        <v>139</v>
      </c>
      <c r="AR20" s="29" t="s">
        <v>140</v>
      </c>
      <c r="AS20" s="22" t="s">
        <v>141</v>
      </c>
      <c r="AT20" s="30" t="s">
        <v>142</v>
      </c>
      <c r="AU20" s="36" t="s">
        <v>143</v>
      </c>
      <c r="AV20" s="37" t="s">
        <v>144</v>
      </c>
      <c r="AW20" s="38" t="s">
        <v>145</v>
      </c>
      <c r="AX20" s="39" t="s">
        <v>146</v>
      </c>
      <c r="AY20" s="40" t="s">
        <v>147</v>
      </c>
      <c r="AZ20" s="37" t="s">
        <v>483</v>
      </c>
      <c r="BA20" s="34" t="s">
        <v>320</v>
      </c>
      <c r="BB20" s="591" t="str">
        <f t="shared" si="0"/>
        <v>TEMPLATE</v>
      </c>
      <c r="BC20" s="591" t="str">
        <f t="shared" si="1"/>
        <v>3. Cybersecurity &amp; Data-SDAIA-NDMO-DGF</v>
      </c>
      <c r="BD20" s="591" t="str">
        <f t="shared" si="2"/>
        <v>SDAIA-NDMO-DGF</v>
      </c>
      <c r="BE20" s="591" t="str">
        <f t="shared" si="3"/>
        <v>NONE</v>
      </c>
      <c r="BF20" s="594">
        <f t="shared" si="4"/>
        <v>9</v>
      </c>
    </row>
    <row r="21" spans="1:58" ht="42" customHeight="1" x14ac:dyDescent="0.45">
      <c r="A21" s="42">
        <v>18</v>
      </c>
      <c r="B21" s="43" t="s">
        <v>380</v>
      </c>
      <c r="C21" s="44" t="s">
        <v>381</v>
      </c>
      <c r="D21" s="44" t="s">
        <v>56</v>
      </c>
      <c r="E21" s="43" t="s">
        <v>484</v>
      </c>
      <c r="F21" s="45" t="s">
        <v>485</v>
      </c>
      <c r="G21" s="44" t="s">
        <v>486</v>
      </c>
      <c r="H21" s="44" t="s">
        <v>250</v>
      </c>
      <c r="I21" s="46" t="s">
        <v>250</v>
      </c>
      <c r="J21" s="46" t="s">
        <v>487</v>
      </c>
      <c r="K21" s="44" t="s">
        <v>63</v>
      </c>
      <c r="L21" s="22" t="s">
        <v>64</v>
      </c>
      <c r="M21" s="44" t="s">
        <v>488</v>
      </c>
      <c r="N21" s="54" t="s">
        <v>154</v>
      </c>
      <c r="O21" s="48" t="s">
        <v>388</v>
      </c>
      <c r="P21" s="44" t="s">
        <v>478</v>
      </c>
      <c r="Q21" s="19" t="s">
        <v>489</v>
      </c>
      <c r="R21" s="19" t="s">
        <v>490</v>
      </c>
      <c r="S21" s="21" t="s">
        <v>280</v>
      </c>
      <c r="T21" s="19" t="s">
        <v>491</v>
      </c>
      <c r="U21" s="25" t="s">
        <v>369</v>
      </c>
      <c r="V21" s="19" t="s">
        <v>282</v>
      </c>
      <c r="W21" s="20" t="s">
        <v>283</v>
      </c>
      <c r="X21" s="19" t="s">
        <v>284</v>
      </c>
      <c r="Y21" s="49" t="s">
        <v>285</v>
      </c>
      <c r="Z21" s="19" t="s">
        <v>286</v>
      </c>
      <c r="AA21" s="21" t="s">
        <v>286</v>
      </c>
      <c r="AB21" s="19" t="s">
        <v>287</v>
      </c>
      <c r="AC21" s="19" t="s">
        <v>288</v>
      </c>
      <c r="AD21" s="49" t="s">
        <v>289</v>
      </c>
      <c r="AE21" s="58" t="s">
        <v>290</v>
      </c>
      <c r="AF21" s="56" t="s">
        <v>291</v>
      </c>
      <c r="AG21" s="19" t="s">
        <v>292</v>
      </c>
      <c r="AH21" s="19" t="s">
        <v>293</v>
      </c>
      <c r="AI21" s="28" t="s">
        <v>215</v>
      </c>
      <c r="AJ21" s="19" t="s">
        <v>216</v>
      </c>
      <c r="AK21" s="29" t="s">
        <v>217</v>
      </c>
      <c r="AL21" s="30" t="s">
        <v>218</v>
      </c>
      <c r="AM21" s="31" t="s">
        <v>219</v>
      </c>
      <c r="AN21" s="32" t="s">
        <v>220</v>
      </c>
      <c r="AO21" s="33" t="s">
        <v>221</v>
      </c>
      <c r="AP21" s="51" t="s">
        <v>138</v>
      </c>
      <c r="AQ21" s="35" t="s">
        <v>139</v>
      </c>
      <c r="AR21" s="29" t="s">
        <v>140</v>
      </c>
      <c r="AS21" s="22" t="s">
        <v>141</v>
      </c>
      <c r="AT21" s="30" t="s">
        <v>142</v>
      </c>
      <c r="AU21" s="36" t="s">
        <v>143</v>
      </c>
      <c r="AV21" s="37" t="s">
        <v>144</v>
      </c>
      <c r="AW21" s="38" t="s">
        <v>145</v>
      </c>
      <c r="AX21" s="39" t="s">
        <v>146</v>
      </c>
      <c r="AY21" s="40" t="s">
        <v>147</v>
      </c>
      <c r="AZ21" s="37" t="s">
        <v>483</v>
      </c>
      <c r="BA21" s="34" t="s">
        <v>320</v>
      </c>
      <c r="BB21" s="591" t="str">
        <f t="shared" si="0"/>
        <v>TEMPLATE</v>
      </c>
      <c r="BC21" s="591" t="str">
        <f t="shared" si="1"/>
        <v>3. Cybersecurity &amp; Data-SDAIA-NDMO-DCP</v>
      </c>
      <c r="BD21" s="591" t="str">
        <f t="shared" si="2"/>
        <v>SDAIA-NDMO-DCP</v>
      </c>
      <c r="BE21" s="591" t="str">
        <f t="shared" si="3"/>
        <v>NONE</v>
      </c>
      <c r="BF21" s="594">
        <f t="shared" si="4"/>
        <v>9</v>
      </c>
    </row>
    <row r="22" spans="1:58" ht="42" customHeight="1" x14ac:dyDescent="0.45">
      <c r="A22" s="17">
        <v>19</v>
      </c>
      <c r="B22" s="18" t="s">
        <v>380</v>
      </c>
      <c r="C22" s="19" t="s">
        <v>381</v>
      </c>
      <c r="D22" s="19" t="s">
        <v>56</v>
      </c>
      <c r="E22" s="18" t="s">
        <v>492</v>
      </c>
      <c r="F22" s="20" t="s">
        <v>493</v>
      </c>
      <c r="G22" s="19" t="s">
        <v>494</v>
      </c>
      <c r="H22" s="19" t="s">
        <v>151</v>
      </c>
      <c r="I22" s="21" t="s">
        <v>151</v>
      </c>
      <c r="J22" s="21" t="s">
        <v>310</v>
      </c>
      <c r="K22" s="19" t="s">
        <v>63</v>
      </c>
      <c r="L22" s="22" t="s">
        <v>64</v>
      </c>
      <c r="M22" s="19" t="s">
        <v>495</v>
      </c>
      <c r="N22" s="52" t="s">
        <v>154</v>
      </c>
      <c r="O22" s="24" t="s">
        <v>388</v>
      </c>
      <c r="P22" s="19" t="s">
        <v>496</v>
      </c>
      <c r="Q22" s="19" t="s">
        <v>497</v>
      </c>
      <c r="R22" s="19" t="s">
        <v>498</v>
      </c>
      <c r="S22" s="21" t="s">
        <v>499</v>
      </c>
      <c r="T22" s="19" t="s">
        <v>500</v>
      </c>
      <c r="U22" s="25" t="s">
        <v>501</v>
      </c>
      <c r="V22" s="19" t="s">
        <v>282</v>
      </c>
      <c r="W22" s="20" t="s">
        <v>283</v>
      </c>
      <c r="X22" s="19" t="s">
        <v>284</v>
      </c>
      <c r="Y22" s="49" t="s">
        <v>285</v>
      </c>
      <c r="Z22" s="19" t="s">
        <v>286</v>
      </c>
      <c r="AA22" s="21" t="s">
        <v>286</v>
      </c>
      <c r="AB22" s="19" t="s">
        <v>287</v>
      </c>
      <c r="AC22" s="19" t="s">
        <v>288</v>
      </c>
      <c r="AD22" s="49" t="s">
        <v>289</v>
      </c>
      <c r="AE22" s="58" t="s">
        <v>290</v>
      </c>
      <c r="AF22" s="56" t="s">
        <v>291</v>
      </c>
      <c r="AG22" s="19" t="s">
        <v>292</v>
      </c>
      <c r="AH22" s="19" t="s">
        <v>293</v>
      </c>
      <c r="AI22" s="28" t="s">
        <v>215</v>
      </c>
      <c r="AJ22" s="19" t="s">
        <v>216</v>
      </c>
      <c r="AK22" s="29" t="s">
        <v>217</v>
      </c>
      <c r="AL22" s="30" t="s">
        <v>218</v>
      </c>
      <c r="AM22" s="31" t="s">
        <v>219</v>
      </c>
      <c r="AN22" s="32" t="s">
        <v>220</v>
      </c>
      <c r="AO22" s="33" t="s">
        <v>221</v>
      </c>
      <c r="AP22" s="51" t="s">
        <v>138</v>
      </c>
      <c r="AQ22" s="35" t="s">
        <v>139</v>
      </c>
      <c r="AR22" s="29" t="s">
        <v>140</v>
      </c>
      <c r="AS22" s="22" t="s">
        <v>141</v>
      </c>
      <c r="AT22" s="30" t="s">
        <v>142</v>
      </c>
      <c r="AU22" s="36" t="s">
        <v>143</v>
      </c>
      <c r="AV22" s="37" t="s">
        <v>144</v>
      </c>
      <c r="AW22" s="38" t="s">
        <v>145</v>
      </c>
      <c r="AX22" s="39" t="s">
        <v>146</v>
      </c>
      <c r="AY22" s="40" t="s">
        <v>147</v>
      </c>
      <c r="AZ22" s="37" t="s">
        <v>104</v>
      </c>
      <c r="BA22" s="41" t="s">
        <v>105</v>
      </c>
      <c r="BB22" s="591" t="str">
        <f t="shared" si="0"/>
        <v>TEMPLATE</v>
      </c>
      <c r="BC22" s="591" t="str">
        <f t="shared" si="1"/>
        <v>3. Cybersecurity &amp; Data-SDAIA-NDMO-NDGIR</v>
      </c>
      <c r="BD22" s="591" t="str">
        <f t="shared" si="2"/>
        <v>SDAIA-NDMO-NDGIR</v>
      </c>
      <c r="BE22" s="591" t="str">
        <f t="shared" si="3"/>
        <v>NONE</v>
      </c>
      <c r="BF22" s="594">
        <f t="shared" si="4"/>
        <v>9</v>
      </c>
    </row>
    <row r="23" spans="1:58" ht="42" customHeight="1" x14ac:dyDescent="0.45">
      <c r="A23" s="42">
        <v>20</v>
      </c>
      <c r="B23" s="43" t="s">
        <v>380</v>
      </c>
      <c r="C23" s="44" t="s">
        <v>381</v>
      </c>
      <c r="D23" s="44" t="s">
        <v>56</v>
      </c>
      <c r="E23" s="43" t="s">
        <v>502</v>
      </c>
      <c r="F23" s="45" t="s">
        <v>503</v>
      </c>
      <c r="G23" s="44" t="s">
        <v>504</v>
      </c>
      <c r="H23" s="44" t="s">
        <v>505</v>
      </c>
      <c r="I23" s="46" t="s">
        <v>225</v>
      </c>
      <c r="J23" s="46" t="s">
        <v>310</v>
      </c>
      <c r="K23" s="44" t="s">
        <v>63</v>
      </c>
      <c r="L23" s="61" t="s">
        <v>373</v>
      </c>
      <c r="M23" s="44" t="s">
        <v>506</v>
      </c>
      <c r="N23" s="55" t="s">
        <v>253</v>
      </c>
      <c r="O23" s="48" t="s">
        <v>388</v>
      </c>
      <c r="P23" s="44" t="s">
        <v>507</v>
      </c>
      <c r="Q23" s="19" t="s">
        <v>508</v>
      </c>
      <c r="R23" s="19" t="s">
        <v>509</v>
      </c>
      <c r="S23" s="21" t="s">
        <v>510</v>
      </c>
      <c r="T23" s="19" t="s">
        <v>511</v>
      </c>
      <c r="U23" s="25" t="s">
        <v>512</v>
      </c>
      <c r="V23" s="19" t="s">
        <v>282</v>
      </c>
      <c r="W23" s="20" t="s">
        <v>283</v>
      </c>
      <c r="X23" s="19" t="s">
        <v>284</v>
      </c>
      <c r="Y23" s="49" t="s">
        <v>285</v>
      </c>
      <c r="Z23" s="19" t="s">
        <v>286</v>
      </c>
      <c r="AA23" s="21" t="s">
        <v>286</v>
      </c>
      <c r="AB23" s="19" t="s">
        <v>287</v>
      </c>
      <c r="AC23" s="19" t="s">
        <v>288</v>
      </c>
      <c r="AD23" s="49" t="s">
        <v>289</v>
      </c>
      <c r="AE23" s="58" t="s">
        <v>290</v>
      </c>
      <c r="AF23" s="56" t="s">
        <v>291</v>
      </c>
      <c r="AG23" s="19" t="s">
        <v>292</v>
      </c>
      <c r="AH23" s="19" t="s">
        <v>293</v>
      </c>
      <c r="AI23" s="28" t="s">
        <v>215</v>
      </c>
      <c r="AJ23" s="19" t="s">
        <v>216</v>
      </c>
      <c r="AK23" s="29" t="s">
        <v>217</v>
      </c>
      <c r="AL23" s="30" t="s">
        <v>218</v>
      </c>
      <c r="AM23" s="31" t="s">
        <v>219</v>
      </c>
      <c r="AN23" s="32" t="s">
        <v>220</v>
      </c>
      <c r="AO23" s="33" t="s">
        <v>221</v>
      </c>
      <c r="AP23" s="51" t="s">
        <v>138</v>
      </c>
      <c r="AQ23" s="35" t="s">
        <v>139</v>
      </c>
      <c r="AR23" s="29" t="s">
        <v>140</v>
      </c>
      <c r="AS23" s="22" t="s">
        <v>141</v>
      </c>
      <c r="AT23" s="30" t="s">
        <v>142</v>
      </c>
      <c r="AU23" s="36" t="s">
        <v>143</v>
      </c>
      <c r="AV23" s="37" t="s">
        <v>144</v>
      </c>
      <c r="AW23" s="38" t="s">
        <v>145</v>
      </c>
      <c r="AX23" s="39" t="s">
        <v>146</v>
      </c>
      <c r="AY23" s="40" t="s">
        <v>147</v>
      </c>
      <c r="AZ23" s="37" t="s">
        <v>513</v>
      </c>
      <c r="BA23" s="34" t="s">
        <v>320</v>
      </c>
      <c r="BB23" s="591" t="str">
        <f t="shared" si="0"/>
        <v>TEMPLATE</v>
      </c>
      <c r="BC23" s="591" t="str">
        <f t="shared" si="1"/>
        <v>3. Cybersecurity &amp; Data-SDAIA-SDAIA-AI-ETH</v>
      </c>
      <c r="BD23" s="591" t="str">
        <f t="shared" si="2"/>
        <v>SDAIA-SDAIA-AI-ETH</v>
      </c>
      <c r="BE23" s="591" t="str">
        <f t="shared" si="3"/>
        <v>NONE</v>
      </c>
      <c r="BF23" s="594">
        <f t="shared" si="4"/>
        <v>4</v>
      </c>
    </row>
    <row r="24" spans="1:58" ht="42" customHeight="1" x14ac:dyDescent="0.45">
      <c r="A24" s="17">
        <v>21</v>
      </c>
      <c r="B24" s="18" t="s">
        <v>380</v>
      </c>
      <c r="C24" s="19" t="s">
        <v>381</v>
      </c>
      <c r="D24" s="19" t="s">
        <v>56</v>
      </c>
      <c r="E24" s="18" t="s">
        <v>514</v>
      </c>
      <c r="F24" s="20" t="s">
        <v>515</v>
      </c>
      <c r="G24" s="19" t="s">
        <v>516</v>
      </c>
      <c r="H24" s="19" t="s">
        <v>464</v>
      </c>
      <c r="I24" s="21" t="s">
        <v>337</v>
      </c>
      <c r="J24" s="21" t="s">
        <v>310</v>
      </c>
      <c r="K24" s="19" t="s">
        <v>63</v>
      </c>
      <c r="L24" s="61" t="s">
        <v>373</v>
      </c>
      <c r="M24" s="19" t="s">
        <v>517</v>
      </c>
      <c r="N24" s="63" t="s">
        <v>253</v>
      </c>
      <c r="O24" s="24" t="s">
        <v>388</v>
      </c>
      <c r="P24" s="19" t="s">
        <v>518</v>
      </c>
      <c r="Q24" s="19" t="s">
        <v>519</v>
      </c>
      <c r="R24" s="19" t="s">
        <v>520</v>
      </c>
      <c r="S24" s="21" t="s">
        <v>521</v>
      </c>
      <c r="T24" s="19" t="s">
        <v>368</v>
      </c>
      <c r="U24" s="25" t="s">
        <v>332</v>
      </c>
      <c r="V24" s="19" t="s">
        <v>282</v>
      </c>
      <c r="W24" s="20" t="s">
        <v>283</v>
      </c>
      <c r="X24" s="19" t="s">
        <v>284</v>
      </c>
      <c r="Y24" s="49" t="s">
        <v>285</v>
      </c>
      <c r="Z24" s="19" t="s">
        <v>286</v>
      </c>
      <c r="AA24" s="21" t="s">
        <v>286</v>
      </c>
      <c r="AB24" s="19" t="s">
        <v>287</v>
      </c>
      <c r="AC24" s="19" t="s">
        <v>288</v>
      </c>
      <c r="AD24" s="49" t="s">
        <v>289</v>
      </c>
      <c r="AE24" s="58" t="s">
        <v>290</v>
      </c>
      <c r="AF24" s="56" t="s">
        <v>291</v>
      </c>
      <c r="AG24" s="19" t="s">
        <v>292</v>
      </c>
      <c r="AH24" s="19" t="s">
        <v>293</v>
      </c>
      <c r="AI24" s="28" t="s">
        <v>215</v>
      </c>
      <c r="AJ24" s="19" t="s">
        <v>216</v>
      </c>
      <c r="AK24" s="29" t="s">
        <v>217</v>
      </c>
      <c r="AL24" s="30" t="s">
        <v>218</v>
      </c>
      <c r="AM24" s="31" t="s">
        <v>219</v>
      </c>
      <c r="AN24" s="32" t="s">
        <v>220</v>
      </c>
      <c r="AO24" s="33" t="s">
        <v>221</v>
      </c>
      <c r="AP24" s="51" t="s">
        <v>138</v>
      </c>
      <c r="AQ24" s="35" t="s">
        <v>139</v>
      </c>
      <c r="AR24" s="29" t="s">
        <v>140</v>
      </c>
      <c r="AS24" s="22" t="s">
        <v>141</v>
      </c>
      <c r="AT24" s="30" t="s">
        <v>142</v>
      </c>
      <c r="AU24" s="36" t="s">
        <v>143</v>
      </c>
      <c r="AV24" s="37" t="s">
        <v>144</v>
      </c>
      <c r="AW24" s="38" t="s">
        <v>145</v>
      </c>
      <c r="AX24" s="39" t="s">
        <v>146</v>
      </c>
      <c r="AY24" s="40" t="s">
        <v>147</v>
      </c>
      <c r="AZ24" s="37" t="s">
        <v>513</v>
      </c>
      <c r="BA24" s="34" t="s">
        <v>320</v>
      </c>
      <c r="BB24" s="591" t="str">
        <f t="shared" si="0"/>
        <v>TEMPLATE</v>
      </c>
      <c r="BC24" s="591" t="str">
        <f t="shared" si="1"/>
        <v>3. Cybersecurity &amp; Data-SDAIA-SDAIA-AI-ADO</v>
      </c>
      <c r="BD24" s="591" t="str">
        <f t="shared" si="2"/>
        <v>SDAIA-SDAIA-AI-ADO</v>
      </c>
      <c r="BE24" s="591" t="str">
        <f t="shared" si="3"/>
        <v>NONE</v>
      </c>
      <c r="BF24" s="594">
        <f t="shared" si="4"/>
        <v>4</v>
      </c>
    </row>
    <row r="25" spans="1:58" ht="42" customHeight="1" x14ac:dyDescent="0.45">
      <c r="A25" s="42">
        <v>22</v>
      </c>
      <c r="B25" s="43" t="s">
        <v>380</v>
      </c>
      <c r="C25" s="44" t="s">
        <v>381</v>
      </c>
      <c r="D25" s="44" t="s">
        <v>56</v>
      </c>
      <c r="E25" s="43" t="s">
        <v>522</v>
      </c>
      <c r="F25" s="45" t="s">
        <v>523</v>
      </c>
      <c r="G25" s="44" t="s">
        <v>524</v>
      </c>
      <c r="H25" s="44" t="s">
        <v>525</v>
      </c>
      <c r="I25" s="46" t="s">
        <v>337</v>
      </c>
      <c r="J25" s="46" t="s">
        <v>310</v>
      </c>
      <c r="K25" s="44" t="s">
        <v>63</v>
      </c>
      <c r="L25" s="61" t="s">
        <v>373</v>
      </c>
      <c r="M25" s="44" t="s">
        <v>526</v>
      </c>
      <c r="N25" s="55" t="s">
        <v>253</v>
      </c>
      <c r="O25" s="48" t="s">
        <v>388</v>
      </c>
      <c r="P25" s="44" t="s">
        <v>527</v>
      </c>
      <c r="Q25" s="19" t="s">
        <v>528</v>
      </c>
      <c r="R25" s="19" t="s">
        <v>529</v>
      </c>
      <c r="S25" s="21" t="s">
        <v>530</v>
      </c>
      <c r="T25" s="19" t="s">
        <v>531</v>
      </c>
      <c r="U25" s="25" t="s">
        <v>532</v>
      </c>
      <c r="V25" s="19" t="s">
        <v>282</v>
      </c>
      <c r="W25" s="20" t="s">
        <v>283</v>
      </c>
      <c r="X25" s="19" t="s">
        <v>284</v>
      </c>
      <c r="Y25" s="49" t="s">
        <v>285</v>
      </c>
      <c r="Z25" s="19" t="s">
        <v>286</v>
      </c>
      <c r="AA25" s="21" t="s">
        <v>286</v>
      </c>
      <c r="AB25" s="19" t="s">
        <v>287</v>
      </c>
      <c r="AC25" s="19" t="s">
        <v>288</v>
      </c>
      <c r="AD25" s="49" t="s">
        <v>289</v>
      </c>
      <c r="AE25" s="58" t="s">
        <v>290</v>
      </c>
      <c r="AF25" s="56" t="s">
        <v>291</v>
      </c>
      <c r="AG25" s="19" t="s">
        <v>292</v>
      </c>
      <c r="AH25" s="19" t="s">
        <v>293</v>
      </c>
      <c r="AI25" s="28" t="s">
        <v>215</v>
      </c>
      <c r="AJ25" s="19" t="s">
        <v>216</v>
      </c>
      <c r="AK25" s="29" t="s">
        <v>217</v>
      </c>
      <c r="AL25" s="30" t="s">
        <v>218</v>
      </c>
      <c r="AM25" s="31" t="s">
        <v>219</v>
      </c>
      <c r="AN25" s="32" t="s">
        <v>220</v>
      </c>
      <c r="AO25" s="33" t="s">
        <v>221</v>
      </c>
      <c r="AP25" s="51" t="s">
        <v>138</v>
      </c>
      <c r="AQ25" s="35" t="s">
        <v>139</v>
      </c>
      <c r="AR25" s="29" t="s">
        <v>140</v>
      </c>
      <c r="AS25" s="22" t="s">
        <v>141</v>
      </c>
      <c r="AT25" s="30" t="s">
        <v>142</v>
      </c>
      <c r="AU25" s="36" t="s">
        <v>143</v>
      </c>
      <c r="AV25" s="37" t="s">
        <v>144</v>
      </c>
      <c r="AW25" s="38" t="s">
        <v>145</v>
      </c>
      <c r="AX25" s="39" t="s">
        <v>146</v>
      </c>
      <c r="AY25" s="40" t="s">
        <v>147</v>
      </c>
      <c r="AZ25" s="37" t="s">
        <v>533</v>
      </c>
      <c r="BA25" s="34" t="s">
        <v>320</v>
      </c>
      <c r="BB25" s="591" t="str">
        <f t="shared" si="0"/>
        <v>TEMPLATE</v>
      </c>
      <c r="BC25" s="591" t="str">
        <f t="shared" si="1"/>
        <v>3. Cybersecurity &amp; Data-SDAIA-SDAIA-GENAI</v>
      </c>
      <c r="BD25" s="591" t="str">
        <f t="shared" si="2"/>
        <v>SDAIA-SDAIA-GENAI</v>
      </c>
      <c r="BE25" s="591" t="str">
        <f t="shared" si="3"/>
        <v>NONE</v>
      </c>
      <c r="BF25" s="594">
        <f t="shared" si="4"/>
        <v>4</v>
      </c>
    </row>
    <row r="26" spans="1:58" ht="42" customHeight="1" x14ac:dyDescent="0.45">
      <c r="A26" s="17">
        <v>23</v>
      </c>
      <c r="B26" s="18" t="s">
        <v>380</v>
      </c>
      <c r="C26" s="19" t="s">
        <v>381</v>
      </c>
      <c r="D26" s="19" t="s">
        <v>56</v>
      </c>
      <c r="E26" s="18" t="s">
        <v>534</v>
      </c>
      <c r="F26" s="20" t="s">
        <v>535</v>
      </c>
      <c r="G26" s="19" t="s">
        <v>536</v>
      </c>
      <c r="H26" s="19" t="s">
        <v>537</v>
      </c>
      <c r="I26" s="21" t="s">
        <v>151</v>
      </c>
      <c r="J26" s="21" t="s">
        <v>310</v>
      </c>
      <c r="K26" s="19" t="s">
        <v>63</v>
      </c>
      <c r="L26" s="64" t="s">
        <v>538</v>
      </c>
      <c r="M26" s="19" t="s">
        <v>539</v>
      </c>
      <c r="N26" s="52" t="s">
        <v>154</v>
      </c>
      <c r="O26" s="24" t="s">
        <v>540</v>
      </c>
      <c r="P26" s="19" t="s">
        <v>541</v>
      </c>
      <c r="Q26" s="19" t="s">
        <v>542</v>
      </c>
      <c r="R26" s="19" t="s">
        <v>543</v>
      </c>
      <c r="S26" s="21" t="s">
        <v>544</v>
      </c>
      <c r="T26" s="19" t="s">
        <v>545</v>
      </c>
      <c r="U26" s="65" t="s">
        <v>546</v>
      </c>
      <c r="V26" s="19" t="s">
        <v>282</v>
      </c>
      <c r="W26" s="20" t="s">
        <v>283</v>
      </c>
      <c r="X26" s="19" t="s">
        <v>284</v>
      </c>
      <c r="Y26" s="49" t="s">
        <v>285</v>
      </c>
      <c r="Z26" s="19" t="s">
        <v>286</v>
      </c>
      <c r="AA26" s="21" t="s">
        <v>286</v>
      </c>
      <c r="AB26" s="19" t="s">
        <v>287</v>
      </c>
      <c r="AC26" s="19" t="s">
        <v>288</v>
      </c>
      <c r="AD26" s="49" t="s">
        <v>289</v>
      </c>
      <c r="AE26" s="58" t="s">
        <v>290</v>
      </c>
      <c r="AF26" s="56" t="s">
        <v>291</v>
      </c>
      <c r="AG26" s="19" t="s">
        <v>292</v>
      </c>
      <c r="AH26" s="19" t="s">
        <v>293</v>
      </c>
      <c r="AI26" s="28" t="s">
        <v>215</v>
      </c>
      <c r="AJ26" s="19" t="s">
        <v>216</v>
      </c>
      <c r="AK26" s="29" t="s">
        <v>217</v>
      </c>
      <c r="AL26" s="30" t="s">
        <v>218</v>
      </c>
      <c r="AM26" s="31" t="s">
        <v>219</v>
      </c>
      <c r="AN26" s="32" t="s">
        <v>220</v>
      </c>
      <c r="AO26" s="33" t="s">
        <v>221</v>
      </c>
      <c r="AP26" s="51" t="s">
        <v>138</v>
      </c>
      <c r="AQ26" s="35" t="s">
        <v>139</v>
      </c>
      <c r="AR26" s="29" t="s">
        <v>140</v>
      </c>
      <c r="AS26" s="22" t="s">
        <v>141</v>
      </c>
      <c r="AT26" s="30" t="s">
        <v>142</v>
      </c>
      <c r="AU26" s="36" t="s">
        <v>143</v>
      </c>
      <c r="AV26" s="37" t="s">
        <v>144</v>
      </c>
      <c r="AW26" s="38" t="s">
        <v>145</v>
      </c>
      <c r="AX26" s="39" t="s">
        <v>146</v>
      </c>
      <c r="AY26" s="40" t="s">
        <v>147</v>
      </c>
      <c r="AZ26" s="37" t="s">
        <v>547</v>
      </c>
      <c r="BA26" s="34" t="s">
        <v>320</v>
      </c>
      <c r="BB26" s="591" t="str">
        <f t="shared" si="0"/>
        <v>TEMPLATE</v>
      </c>
      <c r="BC26" s="591" t="str">
        <f t="shared" si="1"/>
        <v>3. Cybersecurity &amp; Data-SDAIA-SDAIA-NSDAI</v>
      </c>
      <c r="BD26" s="591" t="str">
        <f t="shared" si="2"/>
        <v>SDAIA-SDAIA-NSDAI</v>
      </c>
      <c r="BE26" s="591" t="str">
        <f t="shared" si="3"/>
        <v>NONE</v>
      </c>
      <c r="BF26" s="594">
        <f t="shared" si="4"/>
        <v>6</v>
      </c>
    </row>
    <row r="27" spans="1:58" ht="42" customHeight="1" x14ac:dyDescent="0.45">
      <c r="A27" s="42">
        <v>24</v>
      </c>
      <c r="B27" s="43" t="s">
        <v>380</v>
      </c>
      <c r="C27" s="44" t="s">
        <v>381</v>
      </c>
      <c r="D27" s="44" t="s">
        <v>56</v>
      </c>
      <c r="E27" s="43" t="s">
        <v>548</v>
      </c>
      <c r="F27" s="45" t="s">
        <v>549</v>
      </c>
      <c r="G27" s="44" t="s">
        <v>550</v>
      </c>
      <c r="H27" s="44" t="s">
        <v>551</v>
      </c>
      <c r="I27" s="46" t="s">
        <v>430</v>
      </c>
      <c r="J27" s="46" t="s">
        <v>310</v>
      </c>
      <c r="K27" s="44" t="s">
        <v>63</v>
      </c>
      <c r="L27" s="22" t="s">
        <v>64</v>
      </c>
      <c r="M27" s="44" t="s">
        <v>552</v>
      </c>
      <c r="N27" s="47" t="s">
        <v>66</v>
      </c>
      <c r="O27" s="48" t="s">
        <v>540</v>
      </c>
      <c r="P27" s="44" t="s">
        <v>496</v>
      </c>
      <c r="Q27" s="19" t="s">
        <v>553</v>
      </c>
      <c r="R27" s="19" t="s">
        <v>554</v>
      </c>
      <c r="S27" s="21" t="s">
        <v>555</v>
      </c>
      <c r="T27" s="19" t="s">
        <v>556</v>
      </c>
      <c r="U27" s="25" t="s">
        <v>369</v>
      </c>
      <c r="V27" s="19" t="s">
        <v>282</v>
      </c>
      <c r="W27" s="20" t="s">
        <v>283</v>
      </c>
      <c r="X27" s="19" t="s">
        <v>284</v>
      </c>
      <c r="Y27" s="49" t="s">
        <v>285</v>
      </c>
      <c r="Z27" s="19" t="s">
        <v>286</v>
      </c>
      <c r="AA27" s="21" t="s">
        <v>286</v>
      </c>
      <c r="AB27" s="19" t="s">
        <v>287</v>
      </c>
      <c r="AC27" s="19" t="s">
        <v>288</v>
      </c>
      <c r="AD27" s="49" t="s">
        <v>289</v>
      </c>
      <c r="AE27" s="58" t="s">
        <v>290</v>
      </c>
      <c r="AF27" s="56" t="s">
        <v>291</v>
      </c>
      <c r="AG27" s="19" t="s">
        <v>292</v>
      </c>
      <c r="AH27" s="19" t="s">
        <v>293</v>
      </c>
      <c r="AI27" s="28" t="s">
        <v>4796</v>
      </c>
      <c r="AJ27" s="19" t="s">
        <v>4797</v>
      </c>
      <c r="AK27" s="29" t="s">
        <v>4798</v>
      </c>
      <c r="AL27" s="30" t="s">
        <v>218</v>
      </c>
      <c r="AM27" s="31" t="s">
        <v>4799</v>
      </c>
      <c r="AN27" s="32" t="s">
        <v>220</v>
      </c>
      <c r="AO27" s="33" t="s">
        <v>4800</v>
      </c>
      <c r="AP27" s="51" t="s">
        <v>138</v>
      </c>
      <c r="AQ27" s="35" t="s">
        <v>139</v>
      </c>
      <c r="AR27" s="29" t="s">
        <v>140</v>
      </c>
      <c r="AS27" s="22" t="s">
        <v>141</v>
      </c>
      <c r="AT27" s="30" t="s">
        <v>142</v>
      </c>
      <c r="AU27" s="36" t="s">
        <v>143</v>
      </c>
      <c r="AV27" s="37" t="s">
        <v>144</v>
      </c>
      <c r="AW27" s="38" t="s">
        <v>145</v>
      </c>
      <c r="AX27" s="39" t="s">
        <v>146</v>
      </c>
      <c r="AY27" s="40" t="s">
        <v>147</v>
      </c>
      <c r="AZ27" s="37" t="s">
        <v>104</v>
      </c>
      <c r="BA27" s="41" t="s">
        <v>105</v>
      </c>
      <c r="BB27" s="591" t="str">
        <f t="shared" si="0"/>
        <v>DEEP</v>
      </c>
      <c r="BC27" s="591" t="str">
        <f t="shared" si="1"/>
        <v>3. Cybersecurity &amp; Data-SDAIA-NDMO-RULEBOOK</v>
      </c>
      <c r="BD27" s="591" t="str">
        <f t="shared" si="2"/>
        <v>SDAIA-NDMO-RULEBOOK</v>
      </c>
      <c r="BE27" s="591" t="str">
        <f t="shared" si="3"/>
        <v>NONE</v>
      </c>
      <c r="BF27" s="594">
        <f t="shared" si="4"/>
        <v>18</v>
      </c>
    </row>
    <row r="28" spans="1:58" ht="42" customHeight="1" x14ac:dyDescent="0.45">
      <c r="A28" s="17">
        <v>25</v>
      </c>
      <c r="B28" s="18" t="s">
        <v>380</v>
      </c>
      <c r="C28" s="19" t="s">
        <v>381</v>
      </c>
      <c r="D28" s="19" t="s">
        <v>56</v>
      </c>
      <c r="E28" s="18" t="s">
        <v>557</v>
      </c>
      <c r="F28" s="20" t="s">
        <v>58</v>
      </c>
      <c r="G28" s="19" t="s">
        <v>59</v>
      </c>
      <c r="H28" s="19" t="s">
        <v>57</v>
      </c>
      <c r="I28" s="21" t="s">
        <v>61</v>
      </c>
      <c r="J28" s="21" t="s">
        <v>62</v>
      </c>
      <c r="K28" s="19" t="s">
        <v>558</v>
      </c>
      <c r="L28" s="66" t="s">
        <v>559</v>
      </c>
      <c r="M28" s="19" t="s">
        <v>560</v>
      </c>
      <c r="N28" s="23" t="s">
        <v>66</v>
      </c>
      <c r="O28" s="24" t="s">
        <v>196</v>
      </c>
      <c r="P28" s="19" t="s">
        <v>561</v>
      </c>
      <c r="Q28" s="19" t="s">
        <v>562</v>
      </c>
      <c r="R28" s="19" t="s">
        <v>563</v>
      </c>
      <c r="S28" s="21" t="s">
        <v>564</v>
      </c>
      <c r="T28" s="19" t="s">
        <v>565</v>
      </c>
      <c r="U28" s="25" t="s">
        <v>566</v>
      </c>
      <c r="V28" s="19" t="s">
        <v>282</v>
      </c>
      <c r="W28" s="20" t="s">
        <v>283</v>
      </c>
      <c r="X28" s="19" t="s">
        <v>284</v>
      </c>
      <c r="Y28" s="49" t="s">
        <v>285</v>
      </c>
      <c r="Z28" s="19" t="s">
        <v>286</v>
      </c>
      <c r="AA28" s="21" t="s">
        <v>286</v>
      </c>
      <c r="AB28" s="19" t="s">
        <v>287</v>
      </c>
      <c r="AC28" s="19" t="s">
        <v>288</v>
      </c>
      <c r="AD28" s="49" t="s">
        <v>289</v>
      </c>
      <c r="AE28" s="58" t="s">
        <v>290</v>
      </c>
      <c r="AF28" s="56" t="s">
        <v>291</v>
      </c>
      <c r="AG28" s="19" t="s">
        <v>292</v>
      </c>
      <c r="AH28" s="19" t="s">
        <v>293</v>
      </c>
      <c r="AI28" s="28" t="s">
        <v>4801</v>
      </c>
      <c r="AJ28" s="19" t="s">
        <v>4802</v>
      </c>
      <c r="AK28" s="29" t="s">
        <v>4803</v>
      </c>
      <c r="AL28" s="30" t="s">
        <v>218</v>
      </c>
      <c r="AM28" s="31" t="s">
        <v>4804</v>
      </c>
      <c r="AN28" s="32" t="s">
        <v>220</v>
      </c>
      <c r="AO28" s="33" t="s">
        <v>221</v>
      </c>
      <c r="AP28" s="51" t="s">
        <v>138</v>
      </c>
      <c r="AQ28" s="35" t="s">
        <v>139</v>
      </c>
      <c r="AR28" s="29" t="s">
        <v>140</v>
      </c>
      <c r="AS28" s="22" t="s">
        <v>141</v>
      </c>
      <c r="AT28" s="30" t="s">
        <v>142</v>
      </c>
      <c r="AU28" s="36" t="s">
        <v>143</v>
      </c>
      <c r="AV28" s="37" t="s">
        <v>144</v>
      </c>
      <c r="AW28" s="38" t="s">
        <v>145</v>
      </c>
      <c r="AX28" s="39" t="s">
        <v>146</v>
      </c>
      <c r="AY28" s="40" t="s">
        <v>147</v>
      </c>
      <c r="AZ28" s="37" t="s">
        <v>567</v>
      </c>
      <c r="BA28" s="34" t="s">
        <v>320</v>
      </c>
      <c r="BB28" s="591" t="str">
        <f t="shared" si="0"/>
        <v>DEEP</v>
      </c>
      <c r="BC28" s="591" t="str">
        <f t="shared" si="1"/>
        <v>3. Cybersecurity &amp; Data-SDAIA-NCA-ECC-2:2024</v>
      </c>
      <c r="BD28" s="591" t="str">
        <f t="shared" si="2"/>
        <v>SDAIA-NCA-ECC-2-2024</v>
      </c>
      <c r="BE28" s="591" t="str">
        <f t="shared" si="3"/>
        <v>NCA-ECC-2-2024</v>
      </c>
      <c r="BF28" s="594">
        <f t="shared" si="4"/>
        <v>18</v>
      </c>
    </row>
    <row r="29" spans="1:58" x14ac:dyDescent="0.45">
      <c r="BB29" s="591" t="str">
        <f t="shared" si="0"/>
        <v/>
      </c>
      <c r="BC29" s="591" t="str">
        <f t="shared" si="1"/>
        <v/>
      </c>
      <c r="BD29" s="591" t="str">
        <f t="shared" si="2"/>
        <v/>
      </c>
      <c r="BE29" s="591" t="str">
        <f t="shared" si="3"/>
        <v/>
      </c>
      <c r="BF29" s="594" t="str">
        <f t="shared" si="4"/>
        <v/>
      </c>
    </row>
    <row r="30" spans="1:58" ht="19.5" customHeight="1" x14ac:dyDescent="0.45">
      <c r="A30" s="67"/>
      <c r="B30" s="68" t="s">
        <v>568</v>
      </c>
      <c r="C30" s="67"/>
      <c r="D30" s="67"/>
      <c r="E30" s="67"/>
      <c r="F30" s="67"/>
      <c r="G30" s="67"/>
      <c r="H30" s="67"/>
      <c r="I30" s="67"/>
      <c r="J30" s="67"/>
      <c r="K30" s="67"/>
      <c r="L30" s="67"/>
      <c r="M30" s="67"/>
      <c r="N30" s="67"/>
      <c r="O30" s="67"/>
      <c r="P30" s="67"/>
      <c r="BB30" s="591" t="str">
        <f t="shared" si="0"/>
        <v/>
      </c>
      <c r="BC30" s="591" t="str">
        <f t="shared" si="1"/>
        <v/>
      </c>
      <c r="BD30" s="591" t="str">
        <f t="shared" si="2"/>
        <v/>
      </c>
      <c r="BE30" s="591" t="str">
        <f t="shared" si="3"/>
        <v/>
      </c>
      <c r="BF30" s="594" t="str">
        <f t="shared" si="4"/>
        <v/>
      </c>
    </row>
    <row r="31" spans="1:58" ht="42" customHeight="1" x14ac:dyDescent="0.45">
      <c r="A31" s="42">
        <v>26</v>
      </c>
      <c r="B31" s="69" t="s">
        <v>569</v>
      </c>
      <c r="C31" s="44" t="s">
        <v>570</v>
      </c>
      <c r="D31" s="44" t="s">
        <v>571</v>
      </c>
      <c r="E31" s="69" t="s">
        <v>572</v>
      </c>
      <c r="F31" s="45" t="s">
        <v>573</v>
      </c>
      <c r="G31" s="44" t="s">
        <v>574</v>
      </c>
      <c r="H31" s="44" t="s">
        <v>575</v>
      </c>
      <c r="I31" s="46" t="s">
        <v>576</v>
      </c>
      <c r="J31" s="46" t="s">
        <v>310</v>
      </c>
      <c r="K31" s="44" t="s">
        <v>63</v>
      </c>
      <c r="L31" s="22" t="s">
        <v>64</v>
      </c>
      <c r="M31" s="44" t="s">
        <v>577</v>
      </c>
      <c r="N31" s="47" t="s">
        <v>66</v>
      </c>
      <c r="O31" s="48" t="s">
        <v>578</v>
      </c>
      <c r="P31" s="44" t="s">
        <v>579</v>
      </c>
      <c r="Q31" s="70" t="s">
        <v>580</v>
      </c>
      <c r="R31" s="70" t="s">
        <v>581</v>
      </c>
      <c r="S31" s="71" t="s">
        <v>582</v>
      </c>
      <c r="T31" s="70" t="s">
        <v>583</v>
      </c>
      <c r="U31" s="25" t="s">
        <v>584</v>
      </c>
      <c r="V31" s="70" t="s">
        <v>282</v>
      </c>
      <c r="W31" s="72" t="s">
        <v>283</v>
      </c>
      <c r="X31" s="70" t="s">
        <v>284</v>
      </c>
      <c r="Y31" s="49" t="s">
        <v>285</v>
      </c>
      <c r="Z31" s="70" t="s">
        <v>286</v>
      </c>
      <c r="AA31" s="71" t="s">
        <v>286</v>
      </c>
      <c r="AB31" s="70" t="s">
        <v>287</v>
      </c>
      <c r="AC31" s="70" t="s">
        <v>288</v>
      </c>
      <c r="AD31" s="49" t="s">
        <v>289</v>
      </c>
      <c r="AE31" s="58" t="s">
        <v>290</v>
      </c>
      <c r="AF31" s="56" t="s">
        <v>291</v>
      </c>
      <c r="AG31" s="70" t="s">
        <v>292</v>
      </c>
      <c r="AH31" s="70" t="s">
        <v>293</v>
      </c>
      <c r="AI31" s="73" t="s">
        <v>4805</v>
      </c>
      <c r="AJ31" s="70" t="s">
        <v>4806</v>
      </c>
      <c r="AK31" s="74" t="s">
        <v>4807</v>
      </c>
      <c r="AL31" s="75" t="s">
        <v>218</v>
      </c>
      <c r="AM31" s="76" t="s">
        <v>4808</v>
      </c>
      <c r="AN31" s="50" t="s">
        <v>220</v>
      </c>
      <c r="AO31" s="77" t="s">
        <v>4809</v>
      </c>
      <c r="AP31" s="51" t="s">
        <v>138</v>
      </c>
      <c r="AQ31" s="78" t="s">
        <v>139</v>
      </c>
      <c r="AR31" s="74" t="s">
        <v>140</v>
      </c>
      <c r="AS31" s="22" t="s">
        <v>141</v>
      </c>
      <c r="AT31" s="75" t="s">
        <v>142</v>
      </c>
      <c r="AU31" s="79" t="s">
        <v>143</v>
      </c>
      <c r="AV31" s="80" t="s">
        <v>144</v>
      </c>
      <c r="AW31" s="81" t="s">
        <v>145</v>
      </c>
      <c r="AX31" s="82" t="s">
        <v>146</v>
      </c>
      <c r="AY31" s="83" t="s">
        <v>147</v>
      </c>
      <c r="AZ31" s="80" t="s">
        <v>585</v>
      </c>
      <c r="BA31" s="41" t="s">
        <v>105</v>
      </c>
      <c r="BB31" s="591" t="str">
        <f t="shared" si="0"/>
        <v>DEEP</v>
      </c>
      <c r="BC31" s="591" t="str">
        <f t="shared" si="1"/>
        <v>2. Healthcare &amp; Life Sciences-MOH-MOH-HL</v>
      </c>
      <c r="BD31" s="591" t="str">
        <f t="shared" si="2"/>
        <v>MOH-MOH-HL</v>
      </c>
      <c r="BE31" s="591" t="str">
        <f t="shared" si="3"/>
        <v>NONE</v>
      </c>
      <c r="BF31" s="594">
        <f t="shared" si="4"/>
        <v>18</v>
      </c>
    </row>
    <row r="32" spans="1:58" ht="42" customHeight="1" x14ac:dyDescent="0.45">
      <c r="A32" s="84">
        <v>27</v>
      </c>
      <c r="B32" s="85" t="s">
        <v>569</v>
      </c>
      <c r="C32" s="70" t="s">
        <v>570</v>
      </c>
      <c r="D32" s="70" t="s">
        <v>571</v>
      </c>
      <c r="E32" s="85" t="s">
        <v>586</v>
      </c>
      <c r="F32" s="72" t="s">
        <v>587</v>
      </c>
      <c r="G32" s="70" t="s">
        <v>588</v>
      </c>
      <c r="H32" s="70" t="s">
        <v>589</v>
      </c>
      <c r="I32" s="71" t="s">
        <v>590</v>
      </c>
      <c r="J32" s="71" t="s">
        <v>591</v>
      </c>
      <c r="K32" s="70" t="s">
        <v>63</v>
      </c>
      <c r="L32" s="22" t="s">
        <v>64</v>
      </c>
      <c r="M32" s="70" t="s">
        <v>592</v>
      </c>
      <c r="N32" s="86" t="s">
        <v>66</v>
      </c>
      <c r="O32" s="87" t="s">
        <v>593</v>
      </c>
      <c r="P32" s="70" t="s">
        <v>594</v>
      </c>
      <c r="Q32" s="70" t="s">
        <v>595</v>
      </c>
      <c r="R32" s="70" t="s">
        <v>596</v>
      </c>
      <c r="S32" s="71" t="s">
        <v>597</v>
      </c>
      <c r="T32" s="70" t="s">
        <v>598</v>
      </c>
      <c r="U32" s="25" t="s">
        <v>599</v>
      </c>
      <c r="V32" s="70" t="s">
        <v>600</v>
      </c>
      <c r="W32" s="72" t="s">
        <v>601</v>
      </c>
      <c r="X32" s="70" t="s">
        <v>602</v>
      </c>
      <c r="Y32" s="49" t="s">
        <v>603</v>
      </c>
      <c r="Z32" s="70" t="s">
        <v>604</v>
      </c>
      <c r="AA32" s="71" t="s">
        <v>605</v>
      </c>
      <c r="AB32" s="70" t="s">
        <v>606</v>
      </c>
      <c r="AC32" s="70" t="s">
        <v>607</v>
      </c>
      <c r="AD32" s="49" t="s">
        <v>608</v>
      </c>
      <c r="AE32" s="26" t="s">
        <v>609</v>
      </c>
      <c r="AF32" s="27" t="s">
        <v>610</v>
      </c>
      <c r="AG32" s="70" t="s">
        <v>611</v>
      </c>
      <c r="AH32" s="70" t="s">
        <v>612</v>
      </c>
      <c r="AI32" s="73" t="s">
        <v>613</v>
      </c>
      <c r="AJ32" s="70" t="s">
        <v>614</v>
      </c>
      <c r="AK32" s="74" t="s">
        <v>615</v>
      </c>
      <c r="AL32" s="75" t="s">
        <v>616</v>
      </c>
      <c r="AM32" s="76" t="s">
        <v>617</v>
      </c>
      <c r="AN32" s="50" t="s">
        <v>618</v>
      </c>
      <c r="AO32" s="77" t="s">
        <v>619</v>
      </c>
      <c r="AP32" s="34" t="s">
        <v>620</v>
      </c>
      <c r="AQ32" s="78" t="s">
        <v>621</v>
      </c>
      <c r="AR32" s="74" t="s">
        <v>622</v>
      </c>
      <c r="AS32" s="61" t="s">
        <v>623</v>
      </c>
      <c r="AT32" s="75" t="s">
        <v>624</v>
      </c>
      <c r="AU32" s="79" t="s">
        <v>625</v>
      </c>
      <c r="AV32" s="80" t="s">
        <v>626</v>
      </c>
      <c r="AW32" s="81" t="s">
        <v>627</v>
      </c>
      <c r="AX32" s="82" t="s">
        <v>628</v>
      </c>
      <c r="AY32" s="83" t="s">
        <v>629</v>
      </c>
      <c r="AZ32" s="80" t="s">
        <v>585</v>
      </c>
      <c r="BA32" s="41" t="s">
        <v>105</v>
      </c>
      <c r="BB32" s="591" t="str">
        <f t="shared" si="0"/>
        <v>DEEP</v>
      </c>
      <c r="BC32" s="591" t="str">
        <f t="shared" si="1"/>
        <v>2. Healthcare &amp; Life Sciences-MOH-MOH-HIS</v>
      </c>
      <c r="BD32" s="591" t="str">
        <f t="shared" si="2"/>
        <v>MOH-MOH-HIS</v>
      </c>
      <c r="BE32" s="591" t="str">
        <f t="shared" si="3"/>
        <v>NONE</v>
      </c>
      <c r="BF32" s="594">
        <f t="shared" si="4"/>
        <v>18</v>
      </c>
    </row>
    <row r="33" spans="1:58" ht="42" customHeight="1" x14ac:dyDescent="0.45">
      <c r="A33" s="42">
        <v>28</v>
      </c>
      <c r="B33" s="69" t="s">
        <v>569</v>
      </c>
      <c r="C33" s="44" t="s">
        <v>570</v>
      </c>
      <c r="D33" s="44" t="s">
        <v>571</v>
      </c>
      <c r="E33" s="69" t="s">
        <v>630</v>
      </c>
      <c r="F33" s="45" t="s">
        <v>631</v>
      </c>
      <c r="G33" s="44" t="s">
        <v>632</v>
      </c>
      <c r="H33" s="44" t="s">
        <v>633</v>
      </c>
      <c r="I33" s="46" t="s">
        <v>590</v>
      </c>
      <c r="J33" s="46" t="s">
        <v>634</v>
      </c>
      <c r="K33" s="44" t="s">
        <v>63</v>
      </c>
      <c r="L33" s="22" t="s">
        <v>64</v>
      </c>
      <c r="M33" s="44" t="s">
        <v>635</v>
      </c>
      <c r="N33" s="47" t="s">
        <v>66</v>
      </c>
      <c r="O33" s="48" t="s">
        <v>593</v>
      </c>
      <c r="P33" s="44" t="s">
        <v>636</v>
      </c>
      <c r="Q33" s="70" t="s">
        <v>637</v>
      </c>
      <c r="R33" s="70" t="s">
        <v>638</v>
      </c>
      <c r="S33" s="71" t="s">
        <v>639</v>
      </c>
      <c r="T33" s="70" t="s">
        <v>640</v>
      </c>
      <c r="U33" s="25" t="s">
        <v>641</v>
      </c>
      <c r="V33" s="70" t="s">
        <v>642</v>
      </c>
      <c r="W33" s="72" t="s">
        <v>643</v>
      </c>
      <c r="X33" s="70" t="s">
        <v>644</v>
      </c>
      <c r="Y33" s="49" t="s">
        <v>645</v>
      </c>
      <c r="Z33" s="70" t="s">
        <v>646</v>
      </c>
      <c r="AA33" s="71" t="s">
        <v>647</v>
      </c>
      <c r="AB33" s="70" t="s">
        <v>648</v>
      </c>
      <c r="AC33" s="70" t="s">
        <v>649</v>
      </c>
      <c r="AD33" s="49" t="s">
        <v>650</v>
      </c>
      <c r="AE33" s="26" t="s">
        <v>651</v>
      </c>
      <c r="AF33" s="27" t="s">
        <v>652</v>
      </c>
      <c r="AG33" s="70" t="s">
        <v>653</v>
      </c>
      <c r="AH33" s="70" t="s">
        <v>654</v>
      </c>
      <c r="AI33" s="73" t="s">
        <v>4810</v>
      </c>
      <c r="AJ33" s="70" t="s">
        <v>4811</v>
      </c>
      <c r="AK33" s="74" t="s">
        <v>4812</v>
      </c>
      <c r="AL33" s="75" t="s">
        <v>218</v>
      </c>
      <c r="AM33" s="76" t="s">
        <v>4813</v>
      </c>
      <c r="AN33" s="50" t="s">
        <v>220</v>
      </c>
      <c r="AO33" s="77" t="s">
        <v>221</v>
      </c>
      <c r="AP33" s="51" t="s">
        <v>138</v>
      </c>
      <c r="AQ33" s="78" t="s">
        <v>139</v>
      </c>
      <c r="AR33" s="74" t="s">
        <v>140</v>
      </c>
      <c r="AS33" s="22" t="s">
        <v>141</v>
      </c>
      <c r="AT33" s="75" t="s">
        <v>142</v>
      </c>
      <c r="AU33" s="79" t="s">
        <v>143</v>
      </c>
      <c r="AV33" s="80" t="s">
        <v>144</v>
      </c>
      <c r="AW33" s="81" t="s">
        <v>145</v>
      </c>
      <c r="AX33" s="82" t="s">
        <v>146</v>
      </c>
      <c r="AY33" s="83" t="s">
        <v>147</v>
      </c>
      <c r="AZ33" s="80" t="s">
        <v>585</v>
      </c>
      <c r="BA33" s="41" t="s">
        <v>105</v>
      </c>
      <c r="BB33" s="591" t="str">
        <f t="shared" si="0"/>
        <v>DEEP</v>
      </c>
      <c r="BC33" s="591" t="str">
        <f t="shared" si="1"/>
        <v>2. Healthcare &amp; Life Sciences-MOH-MOH-EMR-NABIDH</v>
      </c>
      <c r="BD33" s="591" t="str">
        <f t="shared" si="2"/>
        <v>MOH-MOH-EMR-NABIDH</v>
      </c>
      <c r="BE33" s="591" t="str">
        <f t="shared" si="3"/>
        <v>NONE</v>
      </c>
      <c r="BF33" s="594">
        <f t="shared" si="4"/>
        <v>18</v>
      </c>
    </row>
    <row r="34" spans="1:58" ht="42" customHeight="1" x14ac:dyDescent="0.45">
      <c r="A34" s="84">
        <v>29</v>
      </c>
      <c r="B34" s="85" t="s">
        <v>569</v>
      </c>
      <c r="C34" s="70" t="s">
        <v>570</v>
      </c>
      <c r="D34" s="70" t="s">
        <v>571</v>
      </c>
      <c r="E34" s="85" t="s">
        <v>655</v>
      </c>
      <c r="F34" s="72" t="s">
        <v>656</v>
      </c>
      <c r="G34" s="70" t="s">
        <v>657</v>
      </c>
      <c r="H34" s="70" t="s">
        <v>589</v>
      </c>
      <c r="I34" s="71" t="s">
        <v>658</v>
      </c>
      <c r="J34" s="71" t="s">
        <v>659</v>
      </c>
      <c r="K34" s="70" t="s">
        <v>63</v>
      </c>
      <c r="L34" s="22" t="s">
        <v>64</v>
      </c>
      <c r="M34" s="70" t="s">
        <v>660</v>
      </c>
      <c r="N34" s="86" t="s">
        <v>66</v>
      </c>
      <c r="O34" s="87" t="s">
        <v>593</v>
      </c>
      <c r="P34" s="70" t="s">
        <v>661</v>
      </c>
      <c r="Q34" s="70" t="s">
        <v>662</v>
      </c>
      <c r="R34" s="70" t="s">
        <v>663</v>
      </c>
      <c r="S34" s="71" t="s">
        <v>664</v>
      </c>
      <c r="T34" s="70" t="s">
        <v>665</v>
      </c>
      <c r="U34" s="25" t="s">
        <v>666</v>
      </c>
      <c r="V34" s="70" t="s">
        <v>667</v>
      </c>
      <c r="W34" s="72" t="s">
        <v>668</v>
      </c>
      <c r="X34" s="70" t="s">
        <v>669</v>
      </c>
      <c r="Y34" s="22" t="s">
        <v>205</v>
      </c>
      <c r="Z34" s="70" t="s">
        <v>670</v>
      </c>
      <c r="AA34" s="71" t="s">
        <v>671</v>
      </c>
      <c r="AB34" s="70" t="s">
        <v>672</v>
      </c>
      <c r="AC34" s="70" t="s">
        <v>673</v>
      </c>
      <c r="AD34" s="49" t="s">
        <v>674</v>
      </c>
      <c r="AE34" s="26" t="s">
        <v>675</v>
      </c>
      <c r="AF34" s="27" t="s">
        <v>676</v>
      </c>
      <c r="AG34" s="70" t="s">
        <v>677</v>
      </c>
      <c r="AH34" s="70" t="s">
        <v>678</v>
      </c>
      <c r="AI34" s="73" t="s">
        <v>4814</v>
      </c>
      <c r="AJ34" s="70" t="s">
        <v>4815</v>
      </c>
      <c r="AK34" s="74" t="s">
        <v>4816</v>
      </c>
      <c r="AL34" s="75" t="s">
        <v>218</v>
      </c>
      <c r="AM34" s="76" t="s">
        <v>4817</v>
      </c>
      <c r="AN34" s="50" t="s">
        <v>220</v>
      </c>
      <c r="AO34" s="77" t="s">
        <v>4818</v>
      </c>
      <c r="AP34" s="51" t="s">
        <v>138</v>
      </c>
      <c r="AQ34" s="78" t="s">
        <v>139</v>
      </c>
      <c r="AR34" s="74" t="s">
        <v>140</v>
      </c>
      <c r="AS34" s="22" t="s">
        <v>141</v>
      </c>
      <c r="AT34" s="75" t="s">
        <v>142</v>
      </c>
      <c r="AU34" s="79" t="s">
        <v>143</v>
      </c>
      <c r="AV34" s="80" t="s">
        <v>144</v>
      </c>
      <c r="AW34" s="81" t="s">
        <v>145</v>
      </c>
      <c r="AX34" s="82" t="s">
        <v>146</v>
      </c>
      <c r="AY34" s="83" t="s">
        <v>147</v>
      </c>
      <c r="AZ34" s="80" t="s">
        <v>585</v>
      </c>
      <c r="BA34" s="41" t="s">
        <v>105</v>
      </c>
      <c r="BB34" s="591" t="str">
        <f t="shared" si="0"/>
        <v>DEEP</v>
      </c>
      <c r="BC34" s="591" t="str">
        <f t="shared" si="1"/>
        <v>2. Healthcare &amp; Life Sciences-MOH-MOH-PS</v>
      </c>
      <c r="BD34" s="591" t="str">
        <f t="shared" si="2"/>
        <v>MOH-MOH-PS</v>
      </c>
      <c r="BE34" s="591" t="str">
        <f t="shared" si="3"/>
        <v>NONE</v>
      </c>
      <c r="BF34" s="594">
        <f t="shared" si="4"/>
        <v>18</v>
      </c>
    </row>
    <row r="35" spans="1:58" ht="42" customHeight="1" x14ac:dyDescent="0.45">
      <c r="A35" s="42">
        <v>30</v>
      </c>
      <c r="B35" s="69" t="s">
        <v>569</v>
      </c>
      <c r="C35" s="44" t="s">
        <v>570</v>
      </c>
      <c r="D35" s="44" t="s">
        <v>571</v>
      </c>
      <c r="E35" s="69" t="s">
        <v>679</v>
      </c>
      <c r="F35" s="45" t="s">
        <v>680</v>
      </c>
      <c r="G35" s="44" t="s">
        <v>681</v>
      </c>
      <c r="H35" s="44" t="s">
        <v>225</v>
      </c>
      <c r="I35" s="46" t="s">
        <v>682</v>
      </c>
      <c r="J35" s="46" t="s">
        <v>386</v>
      </c>
      <c r="K35" s="44" t="s">
        <v>63</v>
      </c>
      <c r="L35" s="22" t="s">
        <v>64</v>
      </c>
      <c r="M35" s="44" t="s">
        <v>660</v>
      </c>
      <c r="N35" s="54" t="s">
        <v>154</v>
      </c>
      <c r="O35" s="48" t="s">
        <v>593</v>
      </c>
      <c r="P35" s="44" t="s">
        <v>661</v>
      </c>
      <c r="Q35" s="70" t="s">
        <v>683</v>
      </c>
      <c r="R35" s="70" t="s">
        <v>684</v>
      </c>
      <c r="S35" s="71" t="s">
        <v>685</v>
      </c>
      <c r="T35" s="70" t="s">
        <v>686</v>
      </c>
      <c r="U35" s="25" t="s">
        <v>687</v>
      </c>
      <c r="V35" s="70" t="s">
        <v>282</v>
      </c>
      <c r="W35" s="72" t="s">
        <v>283</v>
      </c>
      <c r="X35" s="70" t="s">
        <v>284</v>
      </c>
      <c r="Y35" s="49" t="s">
        <v>285</v>
      </c>
      <c r="Z35" s="70" t="s">
        <v>286</v>
      </c>
      <c r="AA35" s="71" t="s">
        <v>286</v>
      </c>
      <c r="AB35" s="70" t="s">
        <v>287</v>
      </c>
      <c r="AC35" s="70" t="s">
        <v>288</v>
      </c>
      <c r="AD35" s="49" t="s">
        <v>289</v>
      </c>
      <c r="AE35" s="58" t="s">
        <v>290</v>
      </c>
      <c r="AF35" s="56" t="s">
        <v>291</v>
      </c>
      <c r="AG35" s="70" t="s">
        <v>292</v>
      </c>
      <c r="AH35" s="70" t="s">
        <v>293</v>
      </c>
      <c r="AI35" s="73" t="s">
        <v>215</v>
      </c>
      <c r="AJ35" s="70" t="s">
        <v>216</v>
      </c>
      <c r="AK35" s="74" t="s">
        <v>217</v>
      </c>
      <c r="AL35" s="75" t="s">
        <v>218</v>
      </c>
      <c r="AM35" s="76" t="s">
        <v>219</v>
      </c>
      <c r="AN35" s="50" t="s">
        <v>220</v>
      </c>
      <c r="AO35" s="77" t="s">
        <v>221</v>
      </c>
      <c r="AP35" s="51" t="s">
        <v>138</v>
      </c>
      <c r="AQ35" s="78" t="s">
        <v>139</v>
      </c>
      <c r="AR35" s="74" t="s">
        <v>140</v>
      </c>
      <c r="AS35" s="22" t="s">
        <v>141</v>
      </c>
      <c r="AT35" s="75" t="s">
        <v>142</v>
      </c>
      <c r="AU35" s="79" t="s">
        <v>143</v>
      </c>
      <c r="AV35" s="80" t="s">
        <v>144</v>
      </c>
      <c r="AW35" s="81" t="s">
        <v>145</v>
      </c>
      <c r="AX35" s="82" t="s">
        <v>146</v>
      </c>
      <c r="AY35" s="83" t="s">
        <v>147</v>
      </c>
      <c r="AZ35" s="80" t="s">
        <v>585</v>
      </c>
      <c r="BA35" s="41" t="s">
        <v>105</v>
      </c>
      <c r="BB35" s="591" t="str">
        <f t="shared" si="0"/>
        <v>TEMPLATE</v>
      </c>
      <c r="BC35" s="591" t="str">
        <f t="shared" si="1"/>
        <v>2. Healthcare &amp; Life Sciences-MOH-MOH-PR</v>
      </c>
      <c r="BD35" s="591" t="str">
        <f t="shared" si="2"/>
        <v>MOH-MOH-PR</v>
      </c>
      <c r="BE35" s="591" t="str">
        <f t="shared" si="3"/>
        <v>NONE</v>
      </c>
      <c r="BF35" s="594">
        <f t="shared" si="4"/>
        <v>9</v>
      </c>
    </row>
    <row r="36" spans="1:58" ht="42" customHeight="1" x14ac:dyDescent="0.45">
      <c r="A36" s="84">
        <v>31</v>
      </c>
      <c r="B36" s="85" t="s">
        <v>569</v>
      </c>
      <c r="C36" s="70" t="s">
        <v>570</v>
      </c>
      <c r="D36" s="70" t="s">
        <v>571</v>
      </c>
      <c r="E36" s="85" t="s">
        <v>688</v>
      </c>
      <c r="F36" s="72" t="s">
        <v>689</v>
      </c>
      <c r="G36" s="70" t="s">
        <v>690</v>
      </c>
      <c r="H36" s="70" t="s">
        <v>691</v>
      </c>
      <c r="I36" s="71" t="s">
        <v>151</v>
      </c>
      <c r="J36" s="71" t="s">
        <v>692</v>
      </c>
      <c r="K36" s="70" t="s">
        <v>63</v>
      </c>
      <c r="L36" s="22" t="s">
        <v>64</v>
      </c>
      <c r="M36" s="70" t="s">
        <v>693</v>
      </c>
      <c r="N36" s="86" t="s">
        <v>66</v>
      </c>
      <c r="O36" s="87" t="s">
        <v>593</v>
      </c>
      <c r="P36" s="70" t="s">
        <v>694</v>
      </c>
      <c r="Q36" s="70" t="s">
        <v>695</v>
      </c>
      <c r="R36" s="70" t="s">
        <v>696</v>
      </c>
      <c r="S36" s="71" t="s">
        <v>697</v>
      </c>
      <c r="T36" s="70" t="s">
        <v>698</v>
      </c>
      <c r="U36" s="25" t="s">
        <v>699</v>
      </c>
      <c r="V36" s="70" t="s">
        <v>700</v>
      </c>
      <c r="W36" s="72" t="s">
        <v>701</v>
      </c>
      <c r="X36" s="70" t="s">
        <v>702</v>
      </c>
      <c r="Y36" s="22" t="s">
        <v>205</v>
      </c>
      <c r="Z36" s="70" t="s">
        <v>703</v>
      </c>
      <c r="AA36" s="71" t="s">
        <v>704</v>
      </c>
      <c r="AB36" s="70" t="s">
        <v>705</v>
      </c>
      <c r="AC36" s="70" t="s">
        <v>706</v>
      </c>
      <c r="AD36" s="49" t="s">
        <v>707</v>
      </c>
      <c r="AE36" s="26" t="s">
        <v>675</v>
      </c>
      <c r="AF36" s="60" t="s">
        <v>708</v>
      </c>
      <c r="AG36" s="70" t="s">
        <v>709</v>
      </c>
      <c r="AH36" s="70" t="s">
        <v>710</v>
      </c>
      <c r="AI36" s="73" t="s">
        <v>711</v>
      </c>
      <c r="AJ36" s="70" t="s">
        <v>712</v>
      </c>
      <c r="AK36" s="74" t="s">
        <v>713</v>
      </c>
      <c r="AL36" s="75" t="s">
        <v>714</v>
      </c>
      <c r="AM36" s="76" t="s">
        <v>715</v>
      </c>
      <c r="AN36" s="50" t="s">
        <v>716</v>
      </c>
      <c r="AO36" s="77" t="s">
        <v>717</v>
      </c>
      <c r="AP36" s="51" t="s">
        <v>718</v>
      </c>
      <c r="AQ36" s="78" t="s">
        <v>719</v>
      </c>
      <c r="AR36" s="74" t="s">
        <v>720</v>
      </c>
      <c r="AS36" s="61" t="s">
        <v>721</v>
      </c>
      <c r="AT36" s="75" t="s">
        <v>722</v>
      </c>
      <c r="AU36" s="79" t="s">
        <v>723</v>
      </c>
      <c r="AV36" s="80" t="s">
        <v>724</v>
      </c>
      <c r="AW36" s="81" t="s">
        <v>725</v>
      </c>
      <c r="AX36" s="82" t="s">
        <v>726</v>
      </c>
      <c r="AY36" s="83" t="s">
        <v>727</v>
      </c>
      <c r="AZ36" s="80" t="s">
        <v>728</v>
      </c>
      <c r="BA36" s="41" t="s">
        <v>105</v>
      </c>
      <c r="BB36" s="591" t="str">
        <f t="shared" si="0"/>
        <v>DEEP</v>
      </c>
      <c r="BC36" s="591" t="str">
        <f t="shared" si="1"/>
        <v>2. Healthcare &amp; Life Sciences-MOH-MOH-TELE</v>
      </c>
      <c r="BD36" s="591" t="str">
        <f t="shared" si="2"/>
        <v>MOH-MOH-TELE</v>
      </c>
      <c r="BE36" s="591" t="str">
        <f t="shared" si="3"/>
        <v>NONE</v>
      </c>
      <c r="BF36" s="594">
        <f t="shared" si="4"/>
        <v>18</v>
      </c>
    </row>
    <row r="37" spans="1:58" ht="42" customHeight="1" x14ac:dyDescent="0.45">
      <c r="A37" s="42">
        <v>32</v>
      </c>
      <c r="B37" s="69" t="s">
        <v>569</v>
      </c>
      <c r="C37" s="44" t="s">
        <v>570</v>
      </c>
      <c r="D37" s="44" t="s">
        <v>571</v>
      </c>
      <c r="E37" s="69" t="s">
        <v>729</v>
      </c>
      <c r="F37" s="45" t="s">
        <v>730</v>
      </c>
      <c r="G37" s="44" t="s">
        <v>731</v>
      </c>
      <c r="H37" s="44" t="s">
        <v>732</v>
      </c>
      <c r="I37" s="46" t="s">
        <v>733</v>
      </c>
      <c r="J37" s="46" t="s">
        <v>226</v>
      </c>
      <c r="K37" s="44" t="s">
        <v>63</v>
      </c>
      <c r="L37" s="22" t="s">
        <v>64</v>
      </c>
      <c r="M37" s="44" t="s">
        <v>734</v>
      </c>
      <c r="N37" s="54" t="s">
        <v>154</v>
      </c>
      <c r="O37" s="48" t="s">
        <v>578</v>
      </c>
      <c r="P37" s="44" t="s">
        <v>694</v>
      </c>
      <c r="Q37" s="70" t="s">
        <v>735</v>
      </c>
      <c r="R37" s="70" t="s">
        <v>736</v>
      </c>
      <c r="S37" s="71" t="s">
        <v>737</v>
      </c>
      <c r="T37" s="70" t="s">
        <v>738</v>
      </c>
      <c r="U37" s="25" t="s">
        <v>666</v>
      </c>
      <c r="V37" s="70" t="s">
        <v>282</v>
      </c>
      <c r="W37" s="72" t="s">
        <v>283</v>
      </c>
      <c r="X37" s="70" t="s">
        <v>284</v>
      </c>
      <c r="Y37" s="49" t="s">
        <v>285</v>
      </c>
      <c r="Z37" s="70" t="s">
        <v>286</v>
      </c>
      <c r="AA37" s="71" t="s">
        <v>286</v>
      </c>
      <c r="AB37" s="70" t="s">
        <v>287</v>
      </c>
      <c r="AC37" s="70" t="s">
        <v>288</v>
      </c>
      <c r="AD37" s="49" t="s">
        <v>289</v>
      </c>
      <c r="AE37" s="58" t="s">
        <v>290</v>
      </c>
      <c r="AF37" s="56" t="s">
        <v>291</v>
      </c>
      <c r="AG37" s="70" t="s">
        <v>292</v>
      </c>
      <c r="AH37" s="70" t="s">
        <v>293</v>
      </c>
      <c r="AI37" s="73" t="s">
        <v>215</v>
      </c>
      <c r="AJ37" s="70" t="s">
        <v>216</v>
      </c>
      <c r="AK37" s="74" t="s">
        <v>217</v>
      </c>
      <c r="AL37" s="75" t="s">
        <v>218</v>
      </c>
      <c r="AM37" s="76" t="s">
        <v>219</v>
      </c>
      <c r="AN37" s="50" t="s">
        <v>220</v>
      </c>
      <c r="AO37" s="77" t="s">
        <v>221</v>
      </c>
      <c r="AP37" s="51" t="s">
        <v>138</v>
      </c>
      <c r="AQ37" s="78" t="s">
        <v>139</v>
      </c>
      <c r="AR37" s="74" t="s">
        <v>140</v>
      </c>
      <c r="AS37" s="22" t="s">
        <v>141</v>
      </c>
      <c r="AT37" s="75" t="s">
        <v>142</v>
      </c>
      <c r="AU37" s="79" t="s">
        <v>143</v>
      </c>
      <c r="AV37" s="80" t="s">
        <v>144</v>
      </c>
      <c r="AW37" s="81" t="s">
        <v>145</v>
      </c>
      <c r="AX37" s="82" t="s">
        <v>146</v>
      </c>
      <c r="AY37" s="83" t="s">
        <v>147</v>
      </c>
      <c r="AZ37" s="80" t="s">
        <v>739</v>
      </c>
      <c r="BA37" s="41" t="s">
        <v>105</v>
      </c>
      <c r="BB37" s="591" t="str">
        <f t="shared" si="0"/>
        <v>TEMPLATE</v>
      </c>
      <c r="BC37" s="591" t="str">
        <f t="shared" si="1"/>
        <v>2. Healthcare &amp; Life Sciences-MOH-MOH-PHILAW</v>
      </c>
      <c r="BD37" s="591" t="str">
        <f t="shared" si="2"/>
        <v>MOH-MOH-PHILAW</v>
      </c>
      <c r="BE37" s="591" t="str">
        <f t="shared" si="3"/>
        <v>NONE</v>
      </c>
      <c r="BF37" s="594">
        <f t="shared" si="4"/>
        <v>9</v>
      </c>
    </row>
    <row r="38" spans="1:58" ht="42" customHeight="1" x14ac:dyDescent="0.45">
      <c r="A38" s="84">
        <v>33</v>
      </c>
      <c r="B38" s="85" t="s">
        <v>569</v>
      </c>
      <c r="C38" s="70" t="s">
        <v>570</v>
      </c>
      <c r="D38" s="70" t="s">
        <v>571</v>
      </c>
      <c r="E38" s="85" t="s">
        <v>740</v>
      </c>
      <c r="F38" s="72" t="s">
        <v>741</v>
      </c>
      <c r="G38" s="70" t="s">
        <v>742</v>
      </c>
      <c r="H38" s="70" t="s">
        <v>337</v>
      </c>
      <c r="I38" s="71" t="s">
        <v>337</v>
      </c>
      <c r="J38" s="71" t="s">
        <v>743</v>
      </c>
      <c r="K38" s="70" t="s">
        <v>63</v>
      </c>
      <c r="L38" s="22" t="s">
        <v>64</v>
      </c>
      <c r="M38" s="70" t="s">
        <v>744</v>
      </c>
      <c r="N38" s="88" t="s">
        <v>154</v>
      </c>
      <c r="O38" s="87" t="s">
        <v>593</v>
      </c>
      <c r="P38" s="70" t="s">
        <v>745</v>
      </c>
      <c r="Q38" s="70" t="s">
        <v>746</v>
      </c>
      <c r="R38" s="70" t="s">
        <v>747</v>
      </c>
      <c r="S38" s="71" t="s">
        <v>748</v>
      </c>
      <c r="T38" s="70" t="s">
        <v>749</v>
      </c>
      <c r="U38" s="89" t="s">
        <v>750</v>
      </c>
      <c r="V38" s="70" t="s">
        <v>282</v>
      </c>
      <c r="W38" s="72" t="s">
        <v>283</v>
      </c>
      <c r="X38" s="70" t="s">
        <v>284</v>
      </c>
      <c r="Y38" s="49" t="s">
        <v>285</v>
      </c>
      <c r="Z38" s="70" t="s">
        <v>286</v>
      </c>
      <c r="AA38" s="71" t="s">
        <v>286</v>
      </c>
      <c r="AB38" s="70" t="s">
        <v>287</v>
      </c>
      <c r="AC38" s="70" t="s">
        <v>288</v>
      </c>
      <c r="AD38" s="49" t="s">
        <v>289</v>
      </c>
      <c r="AE38" s="58" t="s">
        <v>290</v>
      </c>
      <c r="AF38" s="56" t="s">
        <v>291</v>
      </c>
      <c r="AG38" s="70" t="s">
        <v>292</v>
      </c>
      <c r="AH38" s="70" t="s">
        <v>293</v>
      </c>
      <c r="AI38" s="73" t="s">
        <v>215</v>
      </c>
      <c r="AJ38" s="70" t="s">
        <v>216</v>
      </c>
      <c r="AK38" s="74" t="s">
        <v>217</v>
      </c>
      <c r="AL38" s="75" t="s">
        <v>218</v>
      </c>
      <c r="AM38" s="76" t="s">
        <v>219</v>
      </c>
      <c r="AN38" s="50" t="s">
        <v>220</v>
      </c>
      <c r="AO38" s="77" t="s">
        <v>221</v>
      </c>
      <c r="AP38" s="51" t="s">
        <v>138</v>
      </c>
      <c r="AQ38" s="78" t="s">
        <v>139</v>
      </c>
      <c r="AR38" s="74" t="s">
        <v>140</v>
      </c>
      <c r="AS38" s="22" t="s">
        <v>141</v>
      </c>
      <c r="AT38" s="75" t="s">
        <v>142</v>
      </c>
      <c r="AU38" s="79" t="s">
        <v>143</v>
      </c>
      <c r="AV38" s="80" t="s">
        <v>144</v>
      </c>
      <c r="AW38" s="81" t="s">
        <v>145</v>
      </c>
      <c r="AX38" s="82" t="s">
        <v>146</v>
      </c>
      <c r="AY38" s="83" t="s">
        <v>147</v>
      </c>
      <c r="AZ38" s="80" t="s">
        <v>104</v>
      </c>
      <c r="BA38" s="41" t="s">
        <v>105</v>
      </c>
      <c r="BB38" s="591" t="str">
        <f t="shared" si="0"/>
        <v>TEMPLATE</v>
      </c>
      <c r="BC38" s="591" t="str">
        <f t="shared" si="1"/>
        <v>2. Healthcare &amp; Life Sciences-MOH-MOH-NHIS</v>
      </c>
      <c r="BD38" s="591" t="str">
        <f t="shared" si="2"/>
        <v>MOH-MOH-NHIS</v>
      </c>
      <c r="BE38" s="591" t="str">
        <f t="shared" si="3"/>
        <v>NONE</v>
      </c>
      <c r="BF38" s="594">
        <f t="shared" si="4"/>
        <v>9</v>
      </c>
    </row>
    <row r="39" spans="1:58" ht="42" customHeight="1" x14ac:dyDescent="0.45">
      <c r="A39" s="42">
        <v>34</v>
      </c>
      <c r="B39" s="69" t="s">
        <v>569</v>
      </c>
      <c r="C39" s="44" t="s">
        <v>570</v>
      </c>
      <c r="D39" s="44" t="s">
        <v>571</v>
      </c>
      <c r="E39" s="69" t="s">
        <v>751</v>
      </c>
      <c r="F39" s="45" t="s">
        <v>752</v>
      </c>
      <c r="G39" s="44" t="s">
        <v>753</v>
      </c>
      <c r="H39" s="44" t="s">
        <v>263</v>
      </c>
      <c r="I39" s="46" t="s">
        <v>754</v>
      </c>
      <c r="J39" s="46" t="s">
        <v>755</v>
      </c>
      <c r="K39" s="44" t="s">
        <v>63</v>
      </c>
      <c r="L39" s="22" t="s">
        <v>64</v>
      </c>
      <c r="M39" s="44" t="s">
        <v>756</v>
      </c>
      <c r="N39" s="54" t="s">
        <v>154</v>
      </c>
      <c r="O39" s="48" t="s">
        <v>593</v>
      </c>
      <c r="P39" s="44" t="s">
        <v>661</v>
      </c>
      <c r="Q39" s="70" t="s">
        <v>757</v>
      </c>
      <c r="R39" s="70" t="s">
        <v>758</v>
      </c>
      <c r="S39" s="71" t="s">
        <v>759</v>
      </c>
      <c r="T39" s="70" t="s">
        <v>760</v>
      </c>
      <c r="U39" s="25" t="s">
        <v>761</v>
      </c>
      <c r="V39" s="70" t="s">
        <v>282</v>
      </c>
      <c r="W39" s="72" t="s">
        <v>283</v>
      </c>
      <c r="X39" s="70" t="s">
        <v>284</v>
      </c>
      <c r="Y39" s="49" t="s">
        <v>285</v>
      </c>
      <c r="Z39" s="70" t="s">
        <v>286</v>
      </c>
      <c r="AA39" s="71" t="s">
        <v>286</v>
      </c>
      <c r="AB39" s="70" t="s">
        <v>287</v>
      </c>
      <c r="AC39" s="70" t="s">
        <v>288</v>
      </c>
      <c r="AD39" s="49" t="s">
        <v>289</v>
      </c>
      <c r="AE39" s="58" t="s">
        <v>290</v>
      </c>
      <c r="AF39" s="56" t="s">
        <v>291</v>
      </c>
      <c r="AG39" s="70" t="s">
        <v>292</v>
      </c>
      <c r="AH39" s="70" t="s">
        <v>293</v>
      </c>
      <c r="AI39" s="73" t="s">
        <v>215</v>
      </c>
      <c r="AJ39" s="70" t="s">
        <v>216</v>
      </c>
      <c r="AK39" s="74" t="s">
        <v>217</v>
      </c>
      <c r="AL39" s="75" t="s">
        <v>218</v>
      </c>
      <c r="AM39" s="76" t="s">
        <v>219</v>
      </c>
      <c r="AN39" s="50" t="s">
        <v>220</v>
      </c>
      <c r="AO39" s="77" t="s">
        <v>221</v>
      </c>
      <c r="AP39" s="51" t="s">
        <v>138</v>
      </c>
      <c r="AQ39" s="78" t="s">
        <v>139</v>
      </c>
      <c r="AR39" s="74" t="s">
        <v>140</v>
      </c>
      <c r="AS39" s="22" t="s">
        <v>141</v>
      </c>
      <c r="AT39" s="75" t="s">
        <v>142</v>
      </c>
      <c r="AU39" s="79" t="s">
        <v>143</v>
      </c>
      <c r="AV39" s="80" t="s">
        <v>144</v>
      </c>
      <c r="AW39" s="81" t="s">
        <v>145</v>
      </c>
      <c r="AX39" s="82" t="s">
        <v>146</v>
      </c>
      <c r="AY39" s="83" t="s">
        <v>147</v>
      </c>
      <c r="AZ39" s="80" t="s">
        <v>762</v>
      </c>
      <c r="BA39" s="41" t="s">
        <v>105</v>
      </c>
      <c r="BB39" s="591" t="str">
        <f t="shared" si="0"/>
        <v>TEMPLATE</v>
      </c>
      <c r="BC39" s="591" t="str">
        <f t="shared" si="1"/>
        <v>2. Healthcare &amp; Life Sciences-MOH-MOH-HAJHLT</v>
      </c>
      <c r="BD39" s="591" t="str">
        <f t="shared" si="2"/>
        <v>MOH-MOH-HAJHLT</v>
      </c>
      <c r="BE39" s="591" t="str">
        <f t="shared" si="3"/>
        <v>NONE</v>
      </c>
      <c r="BF39" s="594">
        <f t="shared" si="4"/>
        <v>9</v>
      </c>
    </row>
    <row r="40" spans="1:58" ht="42" customHeight="1" x14ac:dyDescent="0.45">
      <c r="A40" s="84">
        <v>35</v>
      </c>
      <c r="B40" s="85" t="s">
        <v>569</v>
      </c>
      <c r="C40" s="70" t="s">
        <v>570</v>
      </c>
      <c r="D40" s="70" t="s">
        <v>571</v>
      </c>
      <c r="E40" s="85" t="s">
        <v>557</v>
      </c>
      <c r="F40" s="72" t="s">
        <v>58</v>
      </c>
      <c r="G40" s="70" t="s">
        <v>59</v>
      </c>
      <c r="H40" s="70" t="s">
        <v>57</v>
      </c>
      <c r="I40" s="71" t="s">
        <v>61</v>
      </c>
      <c r="J40" s="71" t="s">
        <v>62</v>
      </c>
      <c r="K40" s="70" t="s">
        <v>558</v>
      </c>
      <c r="L40" s="66" t="s">
        <v>559</v>
      </c>
      <c r="M40" s="70" t="s">
        <v>763</v>
      </c>
      <c r="N40" s="86" t="s">
        <v>66</v>
      </c>
      <c r="O40" s="87" t="s">
        <v>196</v>
      </c>
      <c r="P40" s="70" t="s">
        <v>764</v>
      </c>
      <c r="Q40" s="70" t="s">
        <v>562</v>
      </c>
      <c r="R40" s="70" t="s">
        <v>563</v>
      </c>
      <c r="S40" s="71" t="s">
        <v>564</v>
      </c>
      <c r="T40" s="70" t="s">
        <v>565</v>
      </c>
      <c r="U40" s="25" t="s">
        <v>566</v>
      </c>
      <c r="V40" s="70" t="s">
        <v>282</v>
      </c>
      <c r="W40" s="72" t="s">
        <v>283</v>
      </c>
      <c r="X40" s="70" t="s">
        <v>284</v>
      </c>
      <c r="Y40" s="49" t="s">
        <v>285</v>
      </c>
      <c r="Z40" s="70" t="s">
        <v>286</v>
      </c>
      <c r="AA40" s="71" t="s">
        <v>286</v>
      </c>
      <c r="AB40" s="70" t="s">
        <v>287</v>
      </c>
      <c r="AC40" s="70" t="s">
        <v>288</v>
      </c>
      <c r="AD40" s="49" t="s">
        <v>289</v>
      </c>
      <c r="AE40" s="58" t="s">
        <v>290</v>
      </c>
      <c r="AF40" s="56" t="s">
        <v>291</v>
      </c>
      <c r="AG40" s="70" t="s">
        <v>292</v>
      </c>
      <c r="AH40" s="70" t="s">
        <v>293</v>
      </c>
      <c r="AI40" s="73" t="s">
        <v>4819</v>
      </c>
      <c r="AJ40" s="70" t="s">
        <v>4820</v>
      </c>
      <c r="AK40" s="74" t="s">
        <v>4821</v>
      </c>
      <c r="AL40" s="75" t="s">
        <v>218</v>
      </c>
      <c r="AM40" s="76" t="s">
        <v>4822</v>
      </c>
      <c r="AN40" s="50" t="s">
        <v>220</v>
      </c>
      <c r="AO40" s="77" t="s">
        <v>4823</v>
      </c>
      <c r="AP40" s="51" t="s">
        <v>138</v>
      </c>
      <c r="AQ40" s="78" t="s">
        <v>139</v>
      </c>
      <c r="AR40" s="74" t="s">
        <v>140</v>
      </c>
      <c r="AS40" s="22" t="s">
        <v>141</v>
      </c>
      <c r="AT40" s="75" t="s">
        <v>142</v>
      </c>
      <c r="AU40" s="79" t="s">
        <v>143</v>
      </c>
      <c r="AV40" s="80" t="s">
        <v>144</v>
      </c>
      <c r="AW40" s="81" t="s">
        <v>145</v>
      </c>
      <c r="AX40" s="82" t="s">
        <v>146</v>
      </c>
      <c r="AY40" s="83" t="s">
        <v>147</v>
      </c>
      <c r="AZ40" s="80" t="s">
        <v>567</v>
      </c>
      <c r="BA40" s="34" t="s">
        <v>320</v>
      </c>
      <c r="BB40" s="591" t="str">
        <f t="shared" si="0"/>
        <v>DEEP</v>
      </c>
      <c r="BC40" s="591" t="str">
        <f t="shared" si="1"/>
        <v>2. Healthcare &amp; Life Sciences-MOH-NCA-ECC-2:2024</v>
      </c>
      <c r="BD40" s="591" t="str">
        <f t="shared" si="2"/>
        <v>MOH-NCA-ECC-2-2024</v>
      </c>
      <c r="BE40" s="591" t="str">
        <f t="shared" si="3"/>
        <v>NCA-ECC-2-2024</v>
      </c>
      <c r="BF40" s="594">
        <f t="shared" si="4"/>
        <v>18</v>
      </c>
    </row>
    <row r="41" spans="1:58" ht="42" customHeight="1" x14ac:dyDescent="0.45">
      <c r="A41" s="42">
        <v>36</v>
      </c>
      <c r="B41" s="69" t="s">
        <v>569</v>
      </c>
      <c r="C41" s="44" t="s">
        <v>570</v>
      </c>
      <c r="D41" s="44" t="s">
        <v>571</v>
      </c>
      <c r="E41" s="69" t="s">
        <v>382</v>
      </c>
      <c r="F41" s="45" t="s">
        <v>383</v>
      </c>
      <c r="G41" s="44" t="s">
        <v>384</v>
      </c>
      <c r="H41" s="44" t="s">
        <v>765</v>
      </c>
      <c r="I41" s="46" t="s">
        <v>250</v>
      </c>
      <c r="J41" s="46" t="s">
        <v>386</v>
      </c>
      <c r="K41" s="44" t="s">
        <v>558</v>
      </c>
      <c r="L41" s="66" t="s">
        <v>559</v>
      </c>
      <c r="M41" s="44" t="s">
        <v>766</v>
      </c>
      <c r="N41" s="47" t="s">
        <v>66</v>
      </c>
      <c r="O41" s="48" t="s">
        <v>540</v>
      </c>
      <c r="P41" s="44" t="s">
        <v>767</v>
      </c>
      <c r="Q41" s="70" t="s">
        <v>390</v>
      </c>
      <c r="R41" s="70" t="s">
        <v>391</v>
      </c>
      <c r="S41" s="71" t="s">
        <v>392</v>
      </c>
      <c r="T41" s="70" t="s">
        <v>393</v>
      </c>
      <c r="U41" s="25" t="s">
        <v>394</v>
      </c>
      <c r="V41" s="70" t="s">
        <v>395</v>
      </c>
      <c r="W41" s="72" t="s">
        <v>396</v>
      </c>
      <c r="X41" s="70" t="s">
        <v>397</v>
      </c>
      <c r="Y41" s="49" t="s">
        <v>398</v>
      </c>
      <c r="Z41" s="70" t="s">
        <v>399</v>
      </c>
      <c r="AA41" s="71" t="s">
        <v>400</v>
      </c>
      <c r="AB41" s="70" t="s">
        <v>401</v>
      </c>
      <c r="AC41" s="70" t="s">
        <v>402</v>
      </c>
      <c r="AD41" s="49" t="s">
        <v>403</v>
      </c>
      <c r="AE41" s="50" t="s">
        <v>404</v>
      </c>
      <c r="AF41" s="60" t="s">
        <v>405</v>
      </c>
      <c r="AG41" s="70" t="s">
        <v>406</v>
      </c>
      <c r="AH41" s="70" t="s">
        <v>407</v>
      </c>
      <c r="AI41" s="73" t="s">
        <v>408</v>
      </c>
      <c r="AJ41" s="70" t="s">
        <v>409</v>
      </c>
      <c r="AK41" s="74" t="s">
        <v>410</v>
      </c>
      <c r="AL41" s="75" t="s">
        <v>411</v>
      </c>
      <c r="AM41" s="76" t="s">
        <v>412</v>
      </c>
      <c r="AN41" s="50" t="s">
        <v>413</v>
      </c>
      <c r="AO41" s="77" t="s">
        <v>414</v>
      </c>
      <c r="AP41" s="51" t="s">
        <v>415</v>
      </c>
      <c r="AQ41" s="78" t="s">
        <v>416</v>
      </c>
      <c r="AR41" s="74" t="s">
        <v>417</v>
      </c>
      <c r="AS41" s="22" t="s">
        <v>418</v>
      </c>
      <c r="AT41" s="75" t="s">
        <v>419</v>
      </c>
      <c r="AU41" s="79" t="s">
        <v>420</v>
      </c>
      <c r="AV41" s="80" t="s">
        <v>421</v>
      </c>
      <c r="AW41" s="81" t="s">
        <v>422</v>
      </c>
      <c r="AX41" s="82" t="s">
        <v>423</v>
      </c>
      <c r="AY41" s="83" t="s">
        <v>424</v>
      </c>
      <c r="AZ41" s="80" t="s">
        <v>425</v>
      </c>
      <c r="BA41" s="34" t="s">
        <v>320</v>
      </c>
      <c r="BB41" s="591" t="str">
        <f t="shared" si="0"/>
        <v>DEEP</v>
      </c>
      <c r="BC41" s="591" t="str">
        <f t="shared" si="1"/>
        <v>2. Healthcare &amp; Life Sciences-MOH-PDPL-2021</v>
      </c>
      <c r="BD41" s="591" t="str">
        <f t="shared" si="2"/>
        <v>MOH-PDPL-2021</v>
      </c>
      <c r="BE41" s="591" t="str">
        <f t="shared" si="3"/>
        <v>NONE</v>
      </c>
      <c r="BF41" s="594">
        <f t="shared" si="4"/>
        <v>18</v>
      </c>
    </row>
    <row r="42" spans="1:58" ht="42" customHeight="1" x14ac:dyDescent="0.45">
      <c r="A42" s="84">
        <v>37</v>
      </c>
      <c r="B42" s="85" t="s">
        <v>569</v>
      </c>
      <c r="C42" s="70" t="s">
        <v>570</v>
      </c>
      <c r="D42" s="70" t="s">
        <v>571</v>
      </c>
      <c r="E42" s="85" t="s">
        <v>768</v>
      </c>
      <c r="F42" s="72" t="s">
        <v>192</v>
      </c>
      <c r="G42" s="70" t="s">
        <v>193</v>
      </c>
      <c r="H42" s="70" t="s">
        <v>191</v>
      </c>
      <c r="I42" s="71" t="s">
        <v>109</v>
      </c>
      <c r="J42" s="71" t="s">
        <v>194</v>
      </c>
      <c r="K42" s="70" t="s">
        <v>558</v>
      </c>
      <c r="L42" s="66" t="s">
        <v>559</v>
      </c>
      <c r="M42" s="70" t="s">
        <v>769</v>
      </c>
      <c r="N42" s="88" t="s">
        <v>154</v>
      </c>
      <c r="O42" s="87" t="s">
        <v>196</v>
      </c>
      <c r="P42" s="70" t="s">
        <v>364</v>
      </c>
      <c r="Q42" s="70" t="s">
        <v>562</v>
      </c>
      <c r="R42" s="70" t="s">
        <v>563</v>
      </c>
      <c r="S42" s="71" t="s">
        <v>564</v>
      </c>
      <c r="T42" s="70" t="s">
        <v>565</v>
      </c>
      <c r="U42" s="25" t="s">
        <v>566</v>
      </c>
      <c r="V42" s="70" t="s">
        <v>282</v>
      </c>
      <c r="W42" s="72" t="s">
        <v>283</v>
      </c>
      <c r="X42" s="70" t="s">
        <v>284</v>
      </c>
      <c r="Y42" s="49" t="s">
        <v>285</v>
      </c>
      <c r="Z42" s="70" t="s">
        <v>286</v>
      </c>
      <c r="AA42" s="71" t="s">
        <v>286</v>
      </c>
      <c r="AB42" s="70" t="s">
        <v>287</v>
      </c>
      <c r="AC42" s="70" t="s">
        <v>288</v>
      </c>
      <c r="AD42" s="49" t="s">
        <v>289</v>
      </c>
      <c r="AE42" s="58" t="s">
        <v>290</v>
      </c>
      <c r="AF42" s="56" t="s">
        <v>291</v>
      </c>
      <c r="AG42" s="70" t="s">
        <v>292</v>
      </c>
      <c r="AH42" s="70" t="s">
        <v>293</v>
      </c>
      <c r="AI42" s="73" t="s">
        <v>215</v>
      </c>
      <c r="AJ42" s="70" t="s">
        <v>216</v>
      </c>
      <c r="AK42" s="74" t="s">
        <v>217</v>
      </c>
      <c r="AL42" s="75" t="s">
        <v>218</v>
      </c>
      <c r="AM42" s="76" t="s">
        <v>219</v>
      </c>
      <c r="AN42" s="50" t="s">
        <v>220</v>
      </c>
      <c r="AO42" s="77" t="s">
        <v>221</v>
      </c>
      <c r="AP42" s="51" t="s">
        <v>138</v>
      </c>
      <c r="AQ42" s="78" t="s">
        <v>139</v>
      </c>
      <c r="AR42" s="74" t="s">
        <v>140</v>
      </c>
      <c r="AS42" s="22" t="s">
        <v>141</v>
      </c>
      <c r="AT42" s="75" t="s">
        <v>142</v>
      </c>
      <c r="AU42" s="79" t="s">
        <v>143</v>
      </c>
      <c r="AV42" s="80" t="s">
        <v>144</v>
      </c>
      <c r="AW42" s="81" t="s">
        <v>145</v>
      </c>
      <c r="AX42" s="82" t="s">
        <v>146</v>
      </c>
      <c r="AY42" s="83" t="s">
        <v>147</v>
      </c>
      <c r="AZ42" s="80" t="s">
        <v>104</v>
      </c>
      <c r="BA42" s="41" t="s">
        <v>105</v>
      </c>
      <c r="BB42" s="591" t="str">
        <f t="shared" si="0"/>
        <v>TEMPLATE</v>
      </c>
      <c r="BC42" s="591" t="str">
        <f t="shared" si="1"/>
        <v>2. Healthcare &amp; Life Sciences-MOH-NCA-DCC</v>
      </c>
      <c r="BD42" s="591" t="str">
        <f t="shared" si="2"/>
        <v>MOH-NCA-DCC</v>
      </c>
      <c r="BE42" s="591" t="str">
        <f t="shared" si="3"/>
        <v>NCA-ECC-2-2024</v>
      </c>
      <c r="BF42" s="594">
        <f t="shared" si="4"/>
        <v>9</v>
      </c>
    </row>
    <row r="43" spans="1:58" ht="42" customHeight="1" x14ac:dyDescent="0.45">
      <c r="A43" s="42">
        <v>38</v>
      </c>
      <c r="B43" s="69" t="s">
        <v>569</v>
      </c>
      <c r="C43" s="44" t="s">
        <v>570</v>
      </c>
      <c r="D43" s="44" t="s">
        <v>571</v>
      </c>
      <c r="E43" s="69" t="s">
        <v>770</v>
      </c>
      <c r="F43" s="45" t="s">
        <v>107</v>
      </c>
      <c r="G43" s="44" t="s">
        <v>108</v>
      </c>
      <c r="H43" s="44" t="s">
        <v>106</v>
      </c>
      <c r="I43" s="46" t="s">
        <v>109</v>
      </c>
      <c r="J43" s="46" t="s">
        <v>110</v>
      </c>
      <c r="K43" s="44" t="s">
        <v>558</v>
      </c>
      <c r="L43" s="66" t="s">
        <v>559</v>
      </c>
      <c r="M43" s="44" t="s">
        <v>771</v>
      </c>
      <c r="N43" s="47" t="s">
        <v>66</v>
      </c>
      <c r="O43" s="48" t="s">
        <v>196</v>
      </c>
      <c r="P43" s="44" t="s">
        <v>772</v>
      </c>
      <c r="Q43" s="70" t="s">
        <v>562</v>
      </c>
      <c r="R43" s="70" t="s">
        <v>563</v>
      </c>
      <c r="S43" s="71" t="s">
        <v>564</v>
      </c>
      <c r="T43" s="70" t="s">
        <v>565</v>
      </c>
      <c r="U43" s="25" t="s">
        <v>566</v>
      </c>
      <c r="V43" s="70" t="s">
        <v>282</v>
      </c>
      <c r="W43" s="72" t="s">
        <v>283</v>
      </c>
      <c r="X43" s="70" t="s">
        <v>284</v>
      </c>
      <c r="Y43" s="49" t="s">
        <v>285</v>
      </c>
      <c r="Z43" s="70" t="s">
        <v>286</v>
      </c>
      <c r="AA43" s="71" t="s">
        <v>286</v>
      </c>
      <c r="AB43" s="70" t="s">
        <v>287</v>
      </c>
      <c r="AC43" s="70" t="s">
        <v>288</v>
      </c>
      <c r="AD43" s="49" t="s">
        <v>289</v>
      </c>
      <c r="AE43" s="58" t="s">
        <v>290</v>
      </c>
      <c r="AF43" s="56" t="s">
        <v>291</v>
      </c>
      <c r="AG43" s="70" t="s">
        <v>292</v>
      </c>
      <c r="AH43" s="70" t="s">
        <v>293</v>
      </c>
      <c r="AI43" s="73" t="s">
        <v>4824</v>
      </c>
      <c r="AJ43" s="70" t="s">
        <v>4825</v>
      </c>
      <c r="AK43" s="74" t="s">
        <v>4826</v>
      </c>
      <c r="AL43" s="75" t="s">
        <v>218</v>
      </c>
      <c r="AM43" s="76" t="s">
        <v>4827</v>
      </c>
      <c r="AN43" s="50" t="s">
        <v>220</v>
      </c>
      <c r="AO43" s="77" t="s">
        <v>4828</v>
      </c>
      <c r="AP43" s="53" t="s">
        <v>773</v>
      </c>
      <c r="AQ43" s="78" t="s">
        <v>774</v>
      </c>
      <c r="AR43" s="74" t="s">
        <v>775</v>
      </c>
      <c r="AS43" s="22" t="s">
        <v>776</v>
      </c>
      <c r="AT43" s="75" t="s">
        <v>777</v>
      </c>
      <c r="AU43" s="79" t="s">
        <v>778</v>
      </c>
      <c r="AV43" s="80" t="s">
        <v>779</v>
      </c>
      <c r="AW43" s="81" t="s">
        <v>780</v>
      </c>
      <c r="AX43" s="82" t="s">
        <v>781</v>
      </c>
      <c r="AY43" s="83" t="s">
        <v>782</v>
      </c>
      <c r="AZ43" s="80" t="s">
        <v>104</v>
      </c>
      <c r="BA43" s="41" t="s">
        <v>105</v>
      </c>
      <c r="BB43" s="591" t="str">
        <f t="shared" si="0"/>
        <v>DEEP</v>
      </c>
      <c r="BC43" s="591" t="str">
        <f t="shared" si="1"/>
        <v>2. Healthcare &amp; Life Sciences-MOH-NCA-OTCC</v>
      </c>
      <c r="BD43" s="591" t="str">
        <f t="shared" si="2"/>
        <v>MOH-NCA-OTCC</v>
      </c>
      <c r="BE43" s="591" t="str">
        <f t="shared" si="3"/>
        <v>NCA-ECC-2-2024</v>
      </c>
      <c r="BF43" s="594">
        <f t="shared" si="4"/>
        <v>18</v>
      </c>
    </row>
    <row r="44" spans="1:58" ht="42" customHeight="1" x14ac:dyDescent="0.45">
      <c r="A44" s="84">
        <v>39</v>
      </c>
      <c r="B44" s="85" t="s">
        <v>783</v>
      </c>
      <c r="C44" s="70" t="s">
        <v>784</v>
      </c>
      <c r="D44" s="70" t="s">
        <v>571</v>
      </c>
      <c r="E44" s="85" t="s">
        <v>785</v>
      </c>
      <c r="F44" s="72" t="s">
        <v>786</v>
      </c>
      <c r="G44" s="70" t="s">
        <v>787</v>
      </c>
      <c r="H44" s="70" t="s">
        <v>788</v>
      </c>
      <c r="I44" s="71" t="s">
        <v>789</v>
      </c>
      <c r="J44" s="71" t="s">
        <v>790</v>
      </c>
      <c r="K44" s="70" t="s">
        <v>63</v>
      </c>
      <c r="L44" s="22" t="s">
        <v>64</v>
      </c>
      <c r="M44" s="70" t="s">
        <v>791</v>
      </c>
      <c r="N44" s="86" t="s">
        <v>66</v>
      </c>
      <c r="O44" s="87" t="s">
        <v>792</v>
      </c>
      <c r="P44" s="70" t="s">
        <v>793</v>
      </c>
      <c r="Q44" s="70" t="s">
        <v>794</v>
      </c>
      <c r="R44" s="70" t="s">
        <v>795</v>
      </c>
      <c r="S44" s="71" t="s">
        <v>796</v>
      </c>
      <c r="T44" s="70" t="s">
        <v>797</v>
      </c>
      <c r="U44" s="25" t="s">
        <v>798</v>
      </c>
      <c r="V44" s="70" t="s">
        <v>799</v>
      </c>
      <c r="W44" s="72" t="s">
        <v>800</v>
      </c>
      <c r="X44" s="70" t="s">
        <v>801</v>
      </c>
      <c r="Y44" s="22" t="s">
        <v>205</v>
      </c>
      <c r="Z44" s="70" t="s">
        <v>802</v>
      </c>
      <c r="AA44" s="71" t="s">
        <v>803</v>
      </c>
      <c r="AB44" s="70" t="s">
        <v>804</v>
      </c>
      <c r="AC44" s="70" t="s">
        <v>805</v>
      </c>
      <c r="AD44" s="49" t="s">
        <v>806</v>
      </c>
      <c r="AE44" s="26" t="s">
        <v>807</v>
      </c>
      <c r="AF44" s="56" t="s">
        <v>808</v>
      </c>
      <c r="AG44" s="70" t="s">
        <v>809</v>
      </c>
      <c r="AH44" s="70" t="s">
        <v>810</v>
      </c>
      <c r="AI44" s="73" t="s">
        <v>811</v>
      </c>
      <c r="AJ44" s="70" t="s">
        <v>812</v>
      </c>
      <c r="AK44" s="74" t="s">
        <v>813</v>
      </c>
      <c r="AL44" s="75" t="s">
        <v>814</v>
      </c>
      <c r="AM44" s="76" t="s">
        <v>815</v>
      </c>
      <c r="AN44" s="50" t="s">
        <v>816</v>
      </c>
      <c r="AO44" s="77" t="s">
        <v>817</v>
      </c>
      <c r="AP44" s="53" t="s">
        <v>818</v>
      </c>
      <c r="AQ44" s="78" t="s">
        <v>819</v>
      </c>
      <c r="AR44" s="74" t="s">
        <v>820</v>
      </c>
      <c r="AS44" s="22" t="s">
        <v>821</v>
      </c>
      <c r="AT44" s="75" t="s">
        <v>822</v>
      </c>
      <c r="AU44" s="79" t="s">
        <v>823</v>
      </c>
      <c r="AV44" s="80" t="s">
        <v>824</v>
      </c>
      <c r="AW44" s="81" t="s">
        <v>825</v>
      </c>
      <c r="AX44" s="82" t="s">
        <v>826</v>
      </c>
      <c r="AY44" s="83" t="s">
        <v>827</v>
      </c>
      <c r="AZ44" s="80" t="s">
        <v>828</v>
      </c>
      <c r="BA44" s="41" t="s">
        <v>105</v>
      </c>
      <c r="BB44" s="591" t="str">
        <f t="shared" si="0"/>
        <v>DEEP</v>
      </c>
      <c r="BC44" s="591" t="str">
        <f t="shared" si="1"/>
        <v>2. Healthcare &amp; Life Sciences-SFDA-SFDA-MDR</v>
      </c>
      <c r="BD44" s="591" t="str">
        <f t="shared" si="2"/>
        <v>SFDA-SFDA-MDR</v>
      </c>
      <c r="BE44" s="591" t="str">
        <f t="shared" si="3"/>
        <v>NONE</v>
      </c>
      <c r="BF44" s="594">
        <f t="shared" si="4"/>
        <v>18</v>
      </c>
    </row>
    <row r="45" spans="1:58" ht="42" customHeight="1" x14ac:dyDescent="0.45">
      <c r="A45" s="42">
        <v>40</v>
      </c>
      <c r="B45" s="69" t="s">
        <v>783</v>
      </c>
      <c r="C45" s="44" t="s">
        <v>784</v>
      </c>
      <c r="D45" s="44" t="s">
        <v>571</v>
      </c>
      <c r="E45" s="69" t="s">
        <v>829</v>
      </c>
      <c r="F45" s="45" t="s">
        <v>830</v>
      </c>
      <c r="G45" s="44" t="s">
        <v>831</v>
      </c>
      <c r="H45" s="44" t="s">
        <v>832</v>
      </c>
      <c r="I45" s="46" t="s">
        <v>833</v>
      </c>
      <c r="J45" s="46" t="s">
        <v>834</v>
      </c>
      <c r="K45" s="44" t="s">
        <v>63</v>
      </c>
      <c r="L45" s="22" t="s">
        <v>64</v>
      </c>
      <c r="M45" s="44" t="s">
        <v>835</v>
      </c>
      <c r="N45" s="47" t="s">
        <v>66</v>
      </c>
      <c r="O45" s="48" t="s">
        <v>792</v>
      </c>
      <c r="P45" s="44" t="s">
        <v>836</v>
      </c>
      <c r="Q45" s="70" t="s">
        <v>837</v>
      </c>
      <c r="R45" s="70" t="s">
        <v>838</v>
      </c>
      <c r="S45" s="71" t="s">
        <v>839</v>
      </c>
      <c r="T45" s="70" t="s">
        <v>840</v>
      </c>
      <c r="U45" s="25" t="s">
        <v>841</v>
      </c>
      <c r="V45" s="70" t="s">
        <v>282</v>
      </c>
      <c r="W45" s="72" t="s">
        <v>283</v>
      </c>
      <c r="X45" s="70" t="s">
        <v>284</v>
      </c>
      <c r="Y45" s="49" t="s">
        <v>285</v>
      </c>
      <c r="Z45" s="70" t="s">
        <v>286</v>
      </c>
      <c r="AA45" s="71" t="s">
        <v>286</v>
      </c>
      <c r="AB45" s="70" t="s">
        <v>287</v>
      </c>
      <c r="AC45" s="70" t="s">
        <v>288</v>
      </c>
      <c r="AD45" s="49" t="s">
        <v>289</v>
      </c>
      <c r="AE45" s="58" t="s">
        <v>290</v>
      </c>
      <c r="AF45" s="56" t="s">
        <v>291</v>
      </c>
      <c r="AG45" s="70" t="s">
        <v>292</v>
      </c>
      <c r="AH45" s="70" t="s">
        <v>293</v>
      </c>
      <c r="AI45" s="73" t="s">
        <v>4829</v>
      </c>
      <c r="AJ45" s="70" t="s">
        <v>4830</v>
      </c>
      <c r="AK45" s="74" t="s">
        <v>4831</v>
      </c>
      <c r="AL45" s="75" t="s">
        <v>218</v>
      </c>
      <c r="AM45" s="76" t="s">
        <v>4832</v>
      </c>
      <c r="AN45" s="50" t="s">
        <v>220</v>
      </c>
      <c r="AO45" s="77" t="s">
        <v>4833</v>
      </c>
      <c r="AP45" s="51" t="s">
        <v>138</v>
      </c>
      <c r="AQ45" s="78" t="s">
        <v>139</v>
      </c>
      <c r="AR45" s="74" t="s">
        <v>140</v>
      </c>
      <c r="AS45" s="22" t="s">
        <v>141</v>
      </c>
      <c r="AT45" s="75" t="s">
        <v>142</v>
      </c>
      <c r="AU45" s="79" t="s">
        <v>143</v>
      </c>
      <c r="AV45" s="80" t="s">
        <v>144</v>
      </c>
      <c r="AW45" s="81" t="s">
        <v>145</v>
      </c>
      <c r="AX45" s="82" t="s">
        <v>146</v>
      </c>
      <c r="AY45" s="83" t="s">
        <v>147</v>
      </c>
      <c r="AZ45" s="80" t="s">
        <v>842</v>
      </c>
      <c r="BA45" s="41" t="s">
        <v>105</v>
      </c>
      <c r="BB45" s="591" t="str">
        <f t="shared" si="0"/>
        <v>DEEP</v>
      </c>
      <c r="BC45" s="591" t="str">
        <f t="shared" si="1"/>
        <v>2. Healthcare &amp; Life Sciences-SFDA-SFDA-PHARMA</v>
      </c>
      <c r="BD45" s="591" t="str">
        <f t="shared" si="2"/>
        <v>SFDA-SFDA-PHARMA</v>
      </c>
      <c r="BE45" s="591" t="str">
        <f t="shared" si="3"/>
        <v>NONE</v>
      </c>
      <c r="BF45" s="594">
        <f t="shared" si="4"/>
        <v>18</v>
      </c>
    </row>
    <row r="46" spans="1:58" ht="42" customHeight="1" x14ac:dyDescent="0.45">
      <c r="A46" s="84">
        <v>41</v>
      </c>
      <c r="B46" s="85" t="s">
        <v>783</v>
      </c>
      <c r="C46" s="70" t="s">
        <v>784</v>
      </c>
      <c r="D46" s="70" t="s">
        <v>571</v>
      </c>
      <c r="E46" s="85" t="s">
        <v>843</v>
      </c>
      <c r="F46" s="72" t="s">
        <v>844</v>
      </c>
      <c r="G46" s="70" t="s">
        <v>845</v>
      </c>
      <c r="H46" s="70" t="s">
        <v>337</v>
      </c>
      <c r="I46" s="71" t="s">
        <v>337</v>
      </c>
      <c r="J46" s="71" t="s">
        <v>310</v>
      </c>
      <c r="K46" s="70" t="s">
        <v>63</v>
      </c>
      <c r="L46" s="22" t="s">
        <v>64</v>
      </c>
      <c r="M46" s="70" t="s">
        <v>846</v>
      </c>
      <c r="N46" s="86" t="s">
        <v>66</v>
      </c>
      <c r="O46" s="87" t="s">
        <v>792</v>
      </c>
      <c r="P46" s="70" t="s">
        <v>847</v>
      </c>
      <c r="Q46" s="70" t="s">
        <v>848</v>
      </c>
      <c r="R46" s="70" t="s">
        <v>849</v>
      </c>
      <c r="S46" s="71" t="s">
        <v>850</v>
      </c>
      <c r="T46" s="70" t="s">
        <v>851</v>
      </c>
      <c r="U46" s="25" t="s">
        <v>852</v>
      </c>
      <c r="V46" s="70" t="s">
        <v>853</v>
      </c>
      <c r="W46" s="72" t="s">
        <v>854</v>
      </c>
      <c r="X46" s="70" t="s">
        <v>855</v>
      </c>
      <c r="Y46" s="22" t="s">
        <v>205</v>
      </c>
      <c r="Z46" s="70" t="s">
        <v>856</v>
      </c>
      <c r="AA46" s="71" t="s">
        <v>857</v>
      </c>
      <c r="AB46" s="70" t="s">
        <v>858</v>
      </c>
      <c r="AC46" s="70" t="s">
        <v>859</v>
      </c>
      <c r="AD46" s="49" t="s">
        <v>860</v>
      </c>
      <c r="AE46" s="50" t="s">
        <v>861</v>
      </c>
      <c r="AF46" s="56" t="s">
        <v>862</v>
      </c>
      <c r="AG46" s="70" t="s">
        <v>863</v>
      </c>
      <c r="AH46" s="70" t="s">
        <v>864</v>
      </c>
      <c r="AI46" s="73" t="s">
        <v>865</v>
      </c>
      <c r="AJ46" s="70" t="s">
        <v>866</v>
      </c>
      <c r="AK46" s="74" t="s">
        <v>867</v>
      </c>
      <c r="AL46" s="75" t="s">
        <v>868</v>
      </c>
      <c r="AM46" s="76" t="s">
        <v>869</v>
      </c>
      <c r="AN46" s="50" t="s">
        <v>870</v>
      </c>
      <c r="AO46" s="77" t="s">
        <v>871</v>
      </c>
      <c r="AP46" s="53" t="s">
        <v>872</v>
      </c>
      <c r="AQ46" s="78" t="s">
        <v>873</v>
      </c>
      <c r="AR46" s="74" t="s">
        <v>874</v>
      </c>
      <c r="AS46" s="90" t="s">
        <v>875</v>
      </c>
      <c r="AT46" s="75" t="s">
        <v>876</v>
      </c>
      <c r="AU46" s="79" t="s">
        <v>877</v>
      </c>
      <c r="AV46" s="80" t="s">
        <v>878</v>
      </c>
      <c r="AW46" s="81" t="s">
        <v>879</v>
      </c>
      <c r="AX46" s="82" t="s">
        <v>880</v>
      </c>
      <c r="AY46" s="83" t="s">
        <v>881</v>
      </c>
      <c r="AZ46" s="80" t="s">
        <v>882</v>
      </c>
      <c r="BA46" s="41" t="s">
        <v>105</v>
      </c>
      <c r="BB46" s="591" t="str">
        <f t="shared" si="0"/>
        <v>DEEP</v>
      </c>
      <c r="BC46" s="591" t="str">
        <f t="shared" si="1"/>
        <v>2. Healthcare &amp; Life Sciences-SFDA-SFDA-AI-MDS-G010</v>
      </c>
      <c r="BD46" s="591" t="str">
        <f t="shared" si="2"/>
        <v>SFDA-SFDA-AI-MDS-G010</v>
      </c>
      <c r="BE46" s="591" t="str">
        <f t="shared" si="3"/>
        <v>NONE</v>
      </c>
      <c r="BF46" s="594">
        <f t="shared" si="4"/>
        <v>18</v>
      </c>
    </row>
    <row r="47" spans="1:58" ht="42" customHeight="1" x14ac:dyDescent="0.45">
      <c r="A47" s="42">
        <v>42</v>
      </c>
      <c r="B47" s="69" t="s">
        <v>783</v>
      </c>
      <c r="C47" s="44" t="s">
        <v>784</v>
      </c>
      <c r="D47" s="44" t="s">
        <v>571</v>
      </c>
      <c r="E47" s="69" t="s">
        <v>883</v>
      </c>
      <c r="F47" s="45" t="s">
        <v>884</v>
      </c>
      <c r="G47" s="44" t="s">
        <v>885</v>
      </c>
      <c r="H47" s="44" t="s">
        <v>886</v>
      </c>
      <c r="I47" s="46" t="s">
        <v>887</v>
      </c>
      <c r="J47" s="46" t="s">
        <v>888</v>
      </c>
      <c r="K47" s="44" t="s">
        <v>63</v>
      </c>
      <c r="L47" s="22" t="s">
        <v>64</v>
      </c>
      <c r="M47" s="44" t="s">
        <v>889</v>
      </c>
      <c r="N47" s="54" t="s">
        <v>154</v>
      </c>
      <c r="O47" s="48" t="s">
        <v>792</v>
      </c>
      <c r="P47" s="44" t="s">
        <v>836</v>
      </c>
      <c r="Q47" s="70" t="s">
        <v>890</v>
      </c>
      <c r="R47" s="70" t="s">
        <v>891</v>
      </c>
      <c r="S47" s="71" t="s">
        <v>892</v>
      </c>
      <c r="T47" s="70" t="s">
        <v>893</v>
      </c>
      <c r="U47" s="25" t="s">
        <v>894</v>
      </c>
      <c r="V47" s="70" t="s">
        <v>282</v>
      </c>
      <c r="W47" s="72" t="s">
        <v>283</v>
      </c>
      <c r="X47" s="70" t="s">
        <v>284</v>
      </c>
      <c r="Y47" s="49" t="s">
        <v>285</v>
      </c>
      <c r="Z47" s="70" t="s">
        <v>286</v>
      </c>
      <c r="AA47" s="71" t="s">
        <v>286</v>
      </c>
      <c r="AB47" s="70" t="s">
        <v>287</v>
      </c>
      <c r="AC47" s="70" t="s">
        <v>288</v>
      </c>
      <c r="AD47" s="49" t="s">
        <v>289</v>
      </c>
      <c r="AE47" s="58" t="s">
        <v>290</v>
      </c>
      <c r="AF47" s="56" t="s">
        <v>291</v>
      </c>
      <c r="AG47" s="70" t="s">
        <v>292</v>
      </c>
      <c r="AH47" s="70" t="s">
        <v>293</v>
      </c>
      <c r="AI47" s="73" t="s">
        <v>215</v>
      </c>
      <c r="AJ47" s="70" t="s">
        <v>216</v>
      </c>
      <c r="AK47" s="74" t="s">
        <v>217</v>
      </c>
      <c r="AL47" s="75" t="s">
        <v>218</v>
      </c>
      <c r="AM47" s="76" t="s">
        <v>219</v>
      </c>
      <c r="AN47" s="50" t="s">
        <v>220</v>
      </c>
      <c r="AO47" s="77" t="s">
        <v>221</v>
      </c>
      <c r="AP47" s="51" t="s">
        <v>138</v>
      </c>
      <c r="AQ47" s="78" t="s">
        <v>139</v>
      </c>
      <c r="AR47" s="74" t="s">
        <v>140</v>
      </c>
      <c r="AS47" s="22" t="s">
        <v>141</v>
      </c>
      <c r="AT47" s="75" t="s">
        <v>142</v>
      </c>
      <c r="AU47" s="79" t="s">
        <v>143</v>
      </c>
      <c r="AV47" s="80" t="s">
        <v>144</v>
      </c>
      <c r="AW47" s="81" t="s">
        <v>145</v>
      </c>
      <c r="AX47" s="82" t="s">
        <v>146</v>
      </c>
      <c r="AY47" s="83" t="s">
        <v>147</v>
      </c>
      <c r="AZ47" s="80" t="s">
        <v>895</v>
      </c>
      <c r="BA47" s="41" t="s">
        <v>105</v>
      </c>
      <c r="BB47" s="591" t="str">
        <f t="shared" si="0"/>
        <v>TEMPLATE</v>
      </c>
      <c r="BC47" s="591" t="str">
        <f t="shared" si="1"/>
        <v>2. Healthcare &amp; Life Sciences-SFDA-SFDA-GMP</v>
      </c>
      <c r="BD47" s="591" t="str">
        <f t="shared" si="2"/>
        <v>SFDA-SFDA-GMP</v>
      </c>
      <c r="BE47" s="591" t="str">
        <f t="shared" si="3"/>
        <v>NONE</v>
      </c>
      <c r="BF47" s="594">
        <f t="shared" si="4"/>
        <v>9</v>
      </c>
    </row>
    <row r="48" spans="1:58" ht="42" customHeight="1" x14ac:dyDescent="0.45">
      <c r="A48" s="84">
        <v>43</v>
      </c>
      <c r="B48" s="85" t="s">
        <v>783</v>
      </c>
      <c r="C48" s="70" t="s">
        <v>784</v>
      </c>
      <c r="D48" s="70" t="s">
        <v>571</v>
      </c>
      <c r="E48" s="85" t="s">
        <v>896</v>
      </c>
      <c r="F48" s="72" t="s">
        <v>897</v>
      </c>
      <c r="G48" s="70" t="s">
        <v>898</v>
      </c>
      <c r="H48" s="70" t="s">
        <v>109</v>
      </c>
      <c r="I48" s="71" t="s">
        <v>109</v>
      </c>
      <c r="J48" s="71" t="s">
        <v>755</v>
      </c>
      <c r="K48" s="70" t="s">
        <v>63</v>
      </c>
      <c r="L48" s="22" t="s">
        <v>64</v>
      </c>
      <c r="M48" s="70" t="s">
        <v>899</v>
      </c>
      <c r="N48" s="86" t="s">
        <v>66</v>
      </c>
      <c r="O48" s="87" t="s">
        <v>792</v>
      </c>
      <c r="P48" s="70" t="s">
        <v>836</v>
      </c>
      <c r="Q48" s="70" t="s">
        <v>900</v>
      </c>
      <c r="R48" s="70" t="s">
        <v>901</v>
      </c>
      <c r="S48" s="71" t="s">
        <v>330</v>
      </c>
      <c r="T48" s="70" t="s">
        <v>281</v>
      </c>
      <c r="U48" s="25" t="s">
        <v>902</v>
      </c>
      <c r="V48" s="70" t="s">
        <v>282</v>
      </c>
      <c r="W48" s="72" t="s">
        <v>283</v>
      </c>
      <c r="X48" s="70" t="s">
        <v>284</v>
      </c>
      <c r="Y48" s="49" t="s">
        <v>285</v>
      </c>
      <c r="Z48" s="70" t="s">
        <v>286</v>
      </c>
      <c r="AA48" s="71" t="s">
        <v>286</v>
      </c>
      <c r="AB48" s="70" t="s">
        <v>287</v>
      </c>
      <c r="AC48" s="70" t="s">
        <v>288</v>
      </c>
      <c r="AD48" s="49" t="s">
        <v>289</v>
      </c>
      <c r="AE48" s="58" t="s">
        <v>290</v>
      </c>
      <c r="AF48" s="56" t="s">
        <v>291</v>
      </c>
      <c r="AG48" s="70" t="s">
        <v>292</v>
      </c>
      <c r="AH48" s="70" t="s">
        <v>293</v>
      </c>
      <c r="AI48" s="73" t="s">
        <v>4834</v>
      </c>
      <c r="AJ48" s="70" t="s">
        <v>4835</v>
      </c>
      <c r="AK48" s="74" t="s">
        <v>4836</v>
      </c>
      <c r="AL48" s="75" t="s">
        <v>218</v>
      </c>
      <c r="AM48" s="76" t="s">
        <v>4837</v>
      </c>
      <c r="AN48" s="50" t="s">
        <v>220</v>
      </c>
      <c r="AO48" s="77" t="s">
        <v>4838</v>
      </c>
      <c r="AP48" s="51" t="s">
        <v>138</v>
      </c>
      <c r="AQ48" s="78" t="s">
        <v>139</v>
      </c>
      <c r="AR48" s="74" t="s">
        <v>140</v>
      </c>
      <c r="AS48" s="22" t="s">
        <v>141</v>
      </c>
      <c r="AT48" s="75" t="s">
        <v>142</v>
      </c>
      <c r="AU48" s="79" t="s">
        <v>143</v>
      </c>
      <c r="AV48" s="80" t="s">
        <v>144</v>
      </c>
      <c r="AW48" s="81" t="s">
        <v>145</v>
      </c>
      <c r="AX48" s="82" t="s">
        <v>146</v>
      </c>
      <c r="AY48" s="83" t="s">
        <v>147</v>
      </c>
      <c r="AZ48" s="80" t="s">
        <v>585</v>
      </c>
      <c r="BA48" s="41" t="s">
        <v>105</v>
      </c>
      <c r="BB48" s="591" t="str">
        <f t="shared" si="0"/>
        <v>DEEP</v>
      </c>
      <c r="BC48" s="591" t="str">
        <f t="shared" si="1"/>
        <v>2. Healthcare &amp; Life Sciences-SFDA-SFDA-PMS</v>
      </c>
      <c r="BD48" s="591" t="str">
        <f t="shared" si="2"/>
        <v>SFDA-SFDA-PMS</v>
      </c>
      <c r="BE48" s="591" t="str">
        <f t="shared" si="3"/>
        <v>NONE</v>
      </c>
      <c r="BF48" s="594">
        <f t="shared" si="4"/>
        <v>18</v>
      </c>
    </row>
    <row r="49" spans="1:58" ht="42" customHeight="1" x14ac:dyDescent="0.45">
      <c r="A49" s="42">
        <v>44</v>
      </c>
      <c r="B49" s="69" t="s">
        <v>783</v>
      </c>
      <c r="C49" s="44" t="s">
        <v>784</v>
      </c>
      <c r="D49" s="44" t="s">
        <v>571</v>
      </c>
      <c r="E49" s="69" t="s">
        <v>903</v>
      </c>
      <c r="F49" s="45" t="s">
        <v>904</v>
      </c>
      <c r="G49" s="44" t="s">
        <v>905</v>
      </c>
      <c r="H49" s="44" t="s">
        <v>906</v>
      </c>
      <c r="I49" s="46" t="s">
        <v>907</v>
      </c>
      <c r="J49" s="46" t="s">
        <v>386</v>
      </c>
      <c r="K49" s="44" t="s">
        <v>63</v>
      </c>
      <c r="L49" s="22" t="s">
        <v>64</v>
      </c>
      <c r="M49" s="44" t="s">
        <v>908</v>
      </c>
      <c r="N49" s="59" t="s">
        <v>275</v>
      </c>
      <c r="O49" s="48" t="s">
        <v>792</v>
      </c>
      <c r="P49" s="44" t="s">
        <v>836</v>
      </c>
      <c r="Q49" s="70" t="s">
        <v>562</v>
      </c>
      <c r="R49" s="70" t="s">
        <v>563</v>
      </c>
      <c r="S49" s="71" t="s">
        <v>564</v>
      </c>
      <c r="T49" s="70" t="s">
        <v>565</v>
      </c>
      <c r="U49" s="25" t="s">
        <v>566</v>
      </c>
      <c r="V49" s="70" t="s">
        <v>282</v>
      </c>
      <c r="W49" s="72" t="s">
        <v>283</v>
      </c>
      <c r="X49" s="70" t="s">
        <v>284</v>
      </c>
      <c r="Y49" s="49" t="s">
        <v>285</v>
      </c>
      <c r="Z49" s="70" t="s">
        <v>286</v>
      </c>
      <c r="AA49" s="71" t="s">
        <v>286</v>
      </c>
      <c r="AB49" s="70" t="s">
        <v>287</v>
      </c>
      <c r="AC49" s="70" t="s">
        <v>288</v>
      </c>
      <c r="AD49" s="49" t="s">
        <v>289</v>
      </c>
      <c r="AE49" s="58" t="s">
        <v>290</v>
      </c>
      <c r="AF49" s="56" t="s">
        <v>291</v>
      </c>
      <c r="AG49" s="70" t="s">
        <v>292</v>
      </c>
      <c r="AH49" s="70" t="s">
        <v>293</v>
      </c>
      <c r="AI49" s="73" t="s">
        <v>215</v>
      </c>
      <c r="AJ49" s="70" t="s">
        <v>216</v>
      </c>
      <c r="AK49" s="74" t="s">
        <v>217</v>
      </c>
      <c r="AL49" s="75" t="s">
        <v>218</v>
      </c>
      <c r="AM49" s="76" t="s">
        <v>219</v>
      </c>
      <c r="AN49" s="50" t="s">
        <v>220</v>
      </c>
      <c r="AO49" s="77" t="s">
        <v>221</v>
      </c>
      <c r="AP49" s="51" t="s">
        <v>138</v>
      </c>
      <c r="AQ49" s="78" t="s">
        <v>139</v>
      </c>
      <c r="AR49" s="74" t="s">
        <v>140</v>
      </c>
      <c r="AS49" s="22" t="s">
        <v>141</v>
      </c>
      <c r="AT49" s="75" t="s">
        <v>142</v>
      </c>
      <c r="AU49" s="79" t="s">
        <v>143</v>
      </c>
      <c r="AV49" s="80" t="s">
        <v>144</v>
      </c>
      <c r="AW49" s="81" t="s">
        <v>145</v>
      </c>
      <c r="AX49" s="82" t="s">
        <v>146</v>
      </c>
      <c r="AY49" s="83" t="s">
        <v>147</v>
      </c>
      <c r="AZ49" s="80" t="s">
        <v>104</v>
      </c>
      <c r="BA49" s="41" t="s">
        <v>105</v>
      </c>
      <c r="BB49" s="591" t="str">
        <f t="shared" si="0"/>
        <v>TEMPLATE</v>
      </c>
      <c r="BC49" s="591" t="str">
        <f t="shared" si="1"/>
        <v>2. Healthcare &amp; Life Sciences-SFDA-SFDA-COSM</v>
      </c>
      <c r="BD49" s="591" t="str">
        <f t="shared" si="2"/>
        <v>SFDA-SFDA-COSM</v>
      </c>
      <c r="BE49" s="591" t="str">
        <f t="shared" si="3"/>
        <v>NONE</v>
      </c>
      <c r="BF49" s="594">
        <f t="shared" si="4"/>
        <v>6</v>
      </c>
    </row>
    <row r="50" spans="1:58" ht="42" customHeight="1" x14ac:dyDescent="0.45">
      <c r="A50" s="84">
        <v>45</v>
      </c>
      <c r="B50" s="85" t="s">
        <v>783</v>
      </c>
      <c r="C50" s="70" t="s">
        <v>784</v>
      </c>
      <c r="D50" s="70" t="s">
        <v>571</v>
      </c>
      <c r="E50" s="85" t="s">
        <v>909</v>
      </c>
      <c r="F50" s="72" t="s">
        <v>910</v>
      </c>
      <c r="G50" s="70" t="s">
        <v>911</v>
      </c>
      <c r="H50" s="70" t="s">
        <v>912</v>
      </c>
      <c r="I50" s="71" t="s">
        <v>887</v>
      </c>
      <c r="J50" s="71" t="s">
        <v>913</v>
      </c>
      <c r="K50" s="70" t="s">
        <v>63</v>
      </c>
      <c r="L50" s="22" t="s">
        <v>64</v>
      </c>
      <c r="M50" s="70" t="s">
        <v>914</v>
      </c>
      <c r="N50" s="91" t="s">
        <v>275</v>
      </c>
      <c r="O50" s="87" t="s">
        <v>792</v>
      </c>
      <c r="P50" s="70" t="s">
        <v>836</v>
      </c>
      <c r="Q50" s="70" t="s">
        <v>562</v>
      </c>
      <c r="R50" s="70" t="s">
        <v>563</v>
      </c>
      <c r="S50" s="71" t="s">
        <v>564</v>
      </c>
      <c r="T50" s="70" t="s">
        <v>565</v>
      </c>
      <c r="U50" s="25" t="s">
        <v>566</v>
      </c>
      <c r="V50" s="70" t="s">
        <v>282</v>
      </c>
      <c r="W50" s="72" t="s">
        <v>283</v>
      </c>
      <c r="X50" s="70" t="s">
        <v>284</v>
      </c>
      <c r="Y50" s="49" t="s">
        <v>285</v>
      </c>
      <c r="Z50" s="70" t="s">
        <v>286</v>
      </c>
      <c r="AA50" s="71" t="s">
        <v>286</v>
      </c>
      <c r="AB50" s="70" t="s">
        <v>287</v>
      </c>
      <c r="AC50" s="70" t="s">
        <v>288</v>
      </c>
      <c r="AD50" s="49" t="s">
        <v>289</v>
      </c>
      <c r="AE50" s="58" t="s">
        <v>290</v>
      </c>
      <c r="AF50" s="56" t="s">
        <v>291</v>
      </c>
      <c r="AG50" s="70" t="s">
        <v>292</v>
      </c>
      <c r="AH50" s="70" t="s">
        <v>293</v>
      </c>
      <c r="AI50" s="73" t="s">
        <v>215</v>
      </c>
      <c r="AJ50" s="70" t="s">
        <v>216</v>
      </c>
      <c r="AK50" s="74" t="s">
        <v>217</v>
      </c>
      <c r="AL50" s="75" t="s">
        <v>218</v>
      </c>
      <c r="AM50" s="76" t="s">
        <v>219</v>
      </c>
      <c r="AN50" s="50" t="s">
        <v>220</v>
      </c>
      <c r="AO50" s="77" t="s">
        <v>221</v>
      </c>
      <c r="AP50" s="51" t="s">
        <v>138</v>
      </c>
      <c r="AQ50" s="78" t="s">
        <v>139</v>
      </c>
      <c r="AR50" s="74" t="s">
        <v>140</v>
      </c>
      <c r="AS50" s="22" t="s">
        <v>141</v>
      </c>
      <c r="AT50" s="75" t="s">
        <v>142</v>
      </c>
      <c r="AU50" s="79" t="s">
        <v>143</v>
      </c>
      <c r="AV50" s="80" t="s">
        <v>144</v>
      </c>
      <c r="AW50" s="81" t="s">
        <v>145</v>
      </c>
      <c r="AX50" s="82" t="s">
        <v>146</v>
      </c>
      <c r="AY50" s="83" t="s">
        <v>147</v>
      </c>
      <c r="AZ50" s="80" t="s">
        <v>915</v>
      </c>
      <c r="BA50" s="41" t="s">
        <v>105</v>
      </c>
      <c r="BB50" s="591" t="str">
        <f t="shared" si="0"/>
        <v>TEMPLATE</v>
      </c>
      <c r="BC50" s="591" t="str">
        <f t="shared" si="1"/>
        <v>2. Healthcare &amp; Life Sciences-SFDA-SFDA-FOOD</v>
      </c>
      <c r="BD50" s="591" t="str">
        <f t="shared" si="2"/>
        <v>SFDA-SFDA-FOOD</v>
      </c>
      <c r="BE50" s="591" t="str">
        <f t="shared" si="3"/>
        <v>NONE</v>
      </c>
      <c r="BF50" s="594">
        <f t="shared" si="4"/>
        <v>6</v>
      </c>
    </row>
    <row r="51" spans="1:58" ht="42" customHeight="1" x14ac:dyDescent="0.45">
      <c r="A51" s="42">
        <v>46</v>
      </c>
      <c r="B51" s="69" t="s">
        <v>783</v>
      </c>
      <c r="C51" s="44" t="s">
        <v>784</v>
      </c>
      <c r="D51" s="44" t="s">
        <v>571</v>
      </c>
      <c r="E51" s="69" t="s">
        <v>916</v>
      </c>
      <c r="F51" s="45" t="s">
        <v>917</v>
      </c>
      <c r="G51" s="44" t="s">
        <v>918</v>
      </c>
      <c r="H51" s="44" t="s">
        <v>919</v>
      </c>
      <c r="I51" s="46" t="s">
        <v>658</v>
      </c>
      <c r="J51" s="46" t="s">
        <v>194</v>
      </c>
      <c r="K51" s="44" t="s">
        <v>63</v>
      </c>
      <c r="L51" s="22" t="s">
        <v>64</v>
      </c>
      <c r="M51" s="44" t="s">
        <v>920</v>
      </c>
      <c r="N51" s="54" t="s">
        <v>154</v>
      </c>
      <c r="O51" s="48" t="s">
        <v>792</v>
      </c>
      <c r="P51" s="44" t="s">
        <v>793</v>
      </c>
      <c r="Q51" s="70" t="s">
        <v>562</v>
      </c>
      <c r="R51" s="70" t="s">
        <v>563</v>
      </c>
      <c r="S51" s="71" t="s">
        <v>564</v>
      </c>
      <c r="T51" s="70" t="s">
        <v>565</v>
      </c>
      <c r="U51" s="25" t="s">
        <v>566</v>
      </c>
      <c r="V51" s="70" t="s">
        <v>282</v>
      </c>
      <c r="W51" s="72" t="s">
        <v>283</v>
      </c>
      <c r="X51" s="70" t="s">
        <v>284</v>
      </c>
      <c r="Y51" s="49" t="s">
        <v>285</v>
      </c>
      <c r="Z51" s="70" t="s">
        <v>286</v>
      </c>
      <c r="AA51" s="71" t="s">
        <v>286</v>
      </c>
      <c r="AB51" s="70" t="s">
        <v>287</v>
      </c>
      <c r="AC51" s="70" t="s">
        <v>288</v>
      </c>
      <c r="AD51" s="49" t="s">
        <v>289</v>
      </c>
      <c r="AE51" s="58" t="s">
        <v>290</v>
      </c>
      <c r="AF51" s="56" t="s">
        <v>291</v>
      </c>
      <c r="AG51" s="70" t="s">
        <v>292</v>
      </c>
      <c r="AH51" s="70" t="s">
        <v>293</v>
      </c>
      <c r="AI51" s="73" t="s">
        <v>215</v>
      </c>
      <c r="AJ51" s="70" t="s">
        <v>216</v>
      </c>
      <c r="AK51" s="74" t="s">
        <v>217</v>
      </c>
      <c r="AL51" s="75" t="s">
        <v>218</v>
      </c>
      <c r="AM51" s="76" t="s">
        <v>219</v>
      </c>
      <c r="AN51" s="50" t="s">
        <v>220</v>
      </c>
      <c r="AO51" s="77" t="s">
        <v>221</v>
      </c>
      <c r="AP51" s="51" t="s">
        <v>138</v>
      </c>
      <c r="AQ51" s="78" t="s">
        <v>139</v>
      </c>
      <c r="AR51" s="74" t="s">
        <v>140</v>
      </c>
      <c r="AS51" s="22" t="s">
        <v>141</v>
      </c>
      <c r="AT51" s="75" t="s">
        <v>142</v>
      </c>
      <c r="AU51" s="79" t="s">
        <v>143</v>
      </c>
      <c r="AV51" s="80" t="s">
        <v>144</v>
      </c>
      <c r="AW51" s="81" t="s">
        <v>145</v>
      </c>
      <c r="AX51" s="82" t="s">
        <v>146</v>
      </c>
      <c r="AY51" s="83" t="s">
        <v>147</v>
      </c>
      <c r="AZ51" s="80" t="s">
        <v>104</v>
      </c>
      <c r="BA51" s="41" t="s">
        <v>105</v>
      </c>
      <c r="BB51" s="591" t="str">
        <f t="shared" si="0"/>
        <v>TEMPLATE</v>
      </c>
      <c r="BC51" s="591" t="str">
        <f t="shared" si="1"/>
        <v>2. Healthcare &amp; Life Sciences-SFDA-SFDA-CT</v>
      </c>
      <c r="BD51" s="591" t="str">
        <f t="shared" si="2"/>
        <v>SFDA-SFDA-CT</v>
      </c>
      <c r="BE51" s="591" t="str">
        <f t="shared" si="3"/>
        <v>NONE</v>
      </c>
      <c r="BF51" s="594">
        <f t="shared" si="4"/>
        <v>9</v>
      </c>
    </row>
    <row r="52" spans="1:58" ht="42" customHeight="1" x14ac:dyDescent="0.45">
      <c r="A52" s="84">
        <v>47</v>
      </c>
      <c r="B52" s="85" t="s">
        <v>783</v>
      </c>
      <c r="C52" s="70" t="s">
        <v>784</v>
      </c>
      <c r="D52" s="70" t="s">
        <v>571</v>
      </c>
      <c r="E52" s="85" t="s">
        <v>921</v>
      </c>
      <c r="F52" s="72" t="s">
        <v>922</v>
      </c>
      <c r="G52" s="70" t="s">
        <v>923</v>
      </c>
      <c r="H52" s="70" t="s">
        <v>886</v>
      </c>
      <c r="I52" s="71" t="s">
        <v>924</v>
      </c>
      <c r="J52" s="71" t="s">
        <v>226</v>
      </c>
      <c r="K52" s="70" t="s">
        <v>63</v>
      </c>
      <c r="L52" s="22" t="s">
        <v>64</v>
      </c>
      <c r="M52" s="70" t="s">
        <v>925</v>
      </c>
      <c r="N52" s="91" t="s">
        <v>275</v>
      </c>
      <c r="O52" s="87" t="s">
        <v>792</v>
      </c>
      <c r="P52" s="70" t="s">
        <v>836</v>
      </c>
      <c r="Q52" s="70" t="s">
        <v>562</v>
      </c>
      <c r="R52" s="70" t="s">
        <v>563</v>
      </c>
      <c r="S52" s="71" t="s">
        <v>564</v>
      </c>
      <c r="T52" s="70" t="s">
        <v>565</v>
      </c>
      <c r="U52" s="25" t="s">
        <v>566</v>
      </c>
      <c r="V52" s="70" t="s">
        <v>282</v>
      </c>
      <c r="W52" s="72" t="s">
        <v>283</v>
      </c>
      <c r="X52" s="70" t="s">
        <v>284</v>
      </c>
      <c r="Y52" s="49" t="s">
        <v>285</v>
      </c>
      <c r="Z52" s="70" t="s">
        <v>286</v>
      </c>
      <c r="AA52" s="71" t="s">
        <v>286</v>
      </c>
      <c r="AB52" s="70" t="s">
        <v>287</v>
      </c>
      <c r="AC52" s="70" t="s">
        <v>288</v>
      </c>
      <c r="AD52" s="49" t="s">
        <v>289</v>
      </c>
      <c r="AE52" s="58" t="s">
        <v>290</v>
      </c>
      <c r="AF52" s="56" t="s">
        <v>291</v>
      </c>
      <c r="AG52" s="70" t="s">
        <v>292</v>
      </c>
      <c r="AH52" s="70" t="s">
        <v>293</v>
      </c>
      <c r="AI52" s="73" t="s">
        <v>215</v>
      </c>
      <c r="AJ52" s="70" t="s">
        <v>216</v>
      </c>
      <c r="AK52" s="74" t="s">
        <v>217</v>
      </c>
      <c r="AL52" s="75" t="s">
        <v>218</v>
      </c>
      <c r="AM52" s="76" t="s">
        <v>219</v>
      </c>
      <c r="AN52" s="50" t="s">
        <v>220</v>
      </c>
      <c r="AO52" s="77" t="s">
        <v>221</v>
      </c>
      <c r="AP52" s="51" t="s">
        <v>138</v>
      </c>
      <c r="AQ52" s="78" t="s">
        <v>139</v>
      </c>
      <c r="AR52" s="74" t="s">
        <v>140</v>
      </c>
      <c r="AS52" s="22" t="s">
        <v>141</v>
      </c>
      <c r="AT52" s="75" t="s">
        <v>142</v>
      </c>
      <c r="AU52" s="79" t="s">
        <v>143</v>
      </c>
      <c r="AV52" s="80" t="s">
        <v>144</v>
      </c>
      <c r="AW52" s="81" t="s">
        <v>145</v>
      </c>
      <c r="AX52" s="82" t="s">
        <v>146</v>
      </c>
      <c r="AY52" s="83" t="s">
        <v>147</v>
      </c>
      <c r="AZ52" s="80" t="s">
        <v>104</v>
      </c>
      <c r="BA52" s="41" t="s">
        <v>105</v>
      </c>
      <c r="BB52" s="591" t="str">
        <f t="shared" si="0"/>
        <v>TEMPLATE</v>
      </c>
      <c r="BC52" s="591" t="str">
        <f t="shared" si="1"/>
        <v>2. Healthcare &amp; Life Sciences-SFDA-SFDA-PEST</v>
      </c>
      <c r="BD52" s="591" t="str">
        <f t="shared" si="2"/>
        <v>SFDA-SFDA-PEST</v>
      </c>
      <c r="BE52" s="591" t="str">
        <f t="shared" si="3"/>
        <v>NONE</v>
      </c>
      <c r="BF52" s="594">
        <f t="shared" si="4"/>
        <v>6</v>
      </c>
    </row>
    <row r="53" spans="1:58" ht="42" customHeight="1" x14ac:dyDescent="0.45">
      <c r="A53" s="42">
        <v>48</v>
      </c>
      <c r="B53" s="69" t="s">
        <v>783</v>
      </c>
      <c r="C53" s="44" t="s">
        <v>784</v>
      </c>
      <c r="D53" s="44" t="s">
        <v>571</v>
      </c>
      <c r="E53" s="69" t="s">
        <v>557</v>
      </c>
      <c r="F53" s="45" t="s">
        <v>58</v>
      </c>
      <c r="G53" s="44" t="s">
        <v>59</v>
      </c>
      <c r="H53" s="44" t="s">
        <v>57</v>
      </c>
      <c r="I53" s="46" t="s">
        <v>61</v>
      </c>
      <c r="J53" s="46" t="s">
        <v>62</v>
      </c>
      <c r="K53" s="44" t="s">
        <v>558</v>
      </c>
      <c r="L53" s="66" t="s">
        <v>559</v>
      </c>
      <c r="M53" s="44" t="s">
        <v>926</v>
      </c>
      <c r="N53" s="47" t="s">
        <v>66</v>
      </c>
      <c r="O53" s="48" t="s">
        <v>196</v>
      </c>
      <c r="P53" s="44" t="s">
        <v>561</v>
      </c>
      <c r="Q53" s="70" t="s">
        <v>562</v>
      </c>
      <c r="R53" s="70" t="s">
        <v>563</v>
      </c>
      <c r="S53" s="71" t="s">
        <v>564</v>
      </c>
      <c r="T53" s="70" t="s">
        <v>565</v>
      </c>
      <c r="U53" s="25" t="s">
        <v>566</v>
      </c>
      <c r="V53" s="70" t="s">
        <v>282</v>
      </c>
      <c r="W53" s="72" t="s">
        <v>283</v>
      </c>
      <c r="X53" s="70" t="s">
        <v>284</v>
      </c>
      <c r="Y53" s="49" t="s">
        <v>285</v>
      </c>
      <c r="Z53" s="70" t="s">
        <v>286</v>
      </c>
      <c r="AA53" s="71" t="s">
        <v>286</v>
      </c>
      <c r="AB53" s="70" t="s">
        <v>287</v>
      </c>
      <c r="AC53" s="70" t="s">
        <v>288</v>
      </c>
      <c r="AD53" s="49" t="s">
        <v>289</v>
      </c>
      <c r="AE53" s="58" t="s">
        <v>290</v>
      </c>
      <c r="AF53" s="56" t="s">
        <v>291</v>
      </c>
      <c r="AG53" s="70" t="s">
        <v>292</v>
      </c>
      <c r="AH53" s="70" t="s">
        <v>293</v>
      </c>
      <c r="AI53" s="73" t="s">
        <v>4839</v>
      </c>
      <c r="AJ53" s="70" t="s">
        <v>4840</v>
      </c>
      <c r="AK53" s="74" t="s">
        <v>4841</v>
      </c>
      <c r="AL53" s="75" t="s">
        <v>218</v>
      </c>
      <c r="AM53" s="76" t="s">
        <v>4842</v>
      </c>
      <c r="AN53" s="50" t="s">
        <v>220</v>
      </c>
      <c r="AO53" s="77" t="s">
        <v>221</v>
      </c>
      <c r="AP53" s="51" t="s">
        <v>138</v>
      </c>
      <c r="AQ53" s="78" t="s">
        <v>139</v>
      </c>
      <c r="AR53" s="74" t="s">
        <v>140</v>
      </c>
      <c r="AS53" s="22" t="s">
        <v>141</v>
      </c>
      <c r="AT53" s="75" t="s">
        <v>142</v>
      </c>
      <c r="AU53" s="79" t="s">
        <v>143</v>
      </c>
      <c r="AV53" s="80" t="s">
        <v>144</v>
      </c>
      <c r="AW53" s="81" t="s">
        <v>145</v>
      </c>
      <c r="AX53" s="82" t="s">
        <v>146</v>
      </c>
      <c r="AY53" s="83" t="s">
        <v>147</v>
      </c>
      <c r="AZ53" s="80" t="s">
        <v>567</v>
      </c>
      <c r="BA53" s="34" t="s">
        <v>320</v>
      </c>
      <c r="BB53" s="591" t="str">
        <f t="shared" si="0"/>
        <v>DEEP</v>
      </c>
      <c r="BC53" s="591" t="str">
        <f t="shared" si="1"/>
        <v>2. Healthcare &amp; Life Sciences-SFDA-NCA-ECC-2:2024</v>
      </c>
      <c r="BD53" s="591" t="str">
        <f t="shared" si="2"/>
        <v>SFDA-NCA-ECC-2-2024</v>
      </c>
      <c r="BE53" s="591" t="str">
        <f t="shared" si="3"/>
        <v>NCA-ECC-2-2024</v>
      </c>
      <c r="BF53" s="594">
        <f t="shared" si="4"/>
        <v>18</v>
      </c>
    </row>
    <row r="54" spans="1:58" ht="42" customHeight="1" x14ac:dyDescent="0.45">
      <c r="A54" s="84">
        <v>49</v>
      </c>
      <c r="B54" s="85" t="s">
        <v>783</v>
      </c>
      <c r="C54" s="70" t="s">
        <v>784</v>
      </c>
      <c r="D54" s="70" t="s">
        <v>571</v>
      </c>
      <c r="E54" s="85" t="s">
        <v>382</v>
      </c>
      <c r="F54" s="72" t="s">
        <v>383</v>
      </c>
      <c r="G54" s="70" t="s">
        <v>384</v>
      </c>
      <c r="H54" s="70" t="s">
        <v>765</v>
      </c>
      <c r="I54" s="71" t="s">
        <v>250</v>
      </c>
      <c r="J54" s="71" t="s">
        <v>386</v>
      </c>
      <c r="K54" s="70" t="s">
        <v>558</v>
      </c>
      <c r="L54" s="66" t="s">
        <v>559</v>
      </c>
      <c r="M54" s="70" t="s">
        <v>927</v>
      </c>
      <c r="N54" s="88" t="s">
        <v>154</v>
      </c>
      <c r="O54" s="87" t="s">
        <v>540</v>
      </c>
      <c r="P54" s="70" t="s">
        <v>380</v>
      </c>
      <c r="Q54" s="70" t="s">
        <v>390</v>
      </c>
      <c r="R54" s="70" t="s">
        <v>391</v>
      </c>
      <c r="S54" s="71" t="s">
        <v>392</v>
      </c>
      <c r="T54" s="70" t="s">
        <v>393</v>
      </c>
      <c r="U54" s="25" t="s">
        <v>394</v>
      </c>
      <c r="V54" s="70" t="s">
        <v>395</v>
      </c>
      <c r="W54" s="72" t="s">
        <v>396</v>
      </c>
      <c r="X54" s="70" t="s">
        <v>397</v>
      </c>
      <c r="Y54" s="49" t="s">
        <v>398</v>
      </c>
      <c r="Z54" s="70" t="s">
        <v>399</v>
      </c>
      <c r="AA54" s="71" t="s">
        <v>400</v>
      </c>
      <c r="AB54" s="70" t="s">
        <v>401</v>
      </c>
      <c r="AC54" s="70" t="s">
        <v>402</v>
      </c>
      <c r="AD54" s="49" t="s">
        <v>403</v>
      </c>
      <c r="AE54" s="50" t="s">
        <v>404</v>
      </c>
      <c r="AF54" s="60" t="s">
        <v>405</v>
      </c>
      <c r="AG54" s="70" t="s">
        <v>406</v>
      </c>
      <c r="AH54" s="70" t="s">
        <v>407</v>
      </c>
      <c r="AI54" s="73" t="s">
        <v>408</v>
      </c>
      <c r="AJ54" s="70" t="s">
        <v>409</v>
      </c>
      <c r="AK54" s="74" t="s">
        <v>410</v>
      </c>
      <c r="AL54" s="75" t="s">
        <v>411</v>
      </c>
      <c r="AM54" s="76" t="s">
        <v>412</v>
      </c>
      <c r="AN54" s="50" t="s">
        <v>413</v>
      </c>
      <c r="AO54" s="77" t="s">
        <v>414</v>
      </c>
      <c r="AP54" s="51" t="s">
        <v>415</v>
      </c>
      <c r="AQ54" s="78" t="s">
        <v>416</v>
      </c>
      <c r="AR54" s="74" t="s">
        <v>417</v>
      </c>
      <c r="AS54" s="22" t="s">
        <v>418</v>
      </c>
      <c r="AT54" s="75" t="s">
        <v>419</v>
      </c>
      <c r="AU54" s="79" t="s">
        <v>420</v>
      </c>
      <c r="AV54" s="80" t="s">
        <v>421</v>
      </c>
      <c r="AW54" s="81" t="s">
        <v>422</v>
      </c>
      <c r="AX54" s="82" t="s">
        <v>423</v>
      </c>
      <c r="AY54" s="83" t="s">
        <v>424</v>
      </c>
      <c r="AZ54" s="80" t="s">
        <v>425</v>
      </c>
      <c r="BA54" s="34" t="s">
        <v>320</v>
      </c>
      <c r="BB54" s="591" t="str">
        <f t="shared" si="0"/>
        <v>DEEP</v>
      </c>
      <c r="BC54" s="591" t="str">
        <f t="shared" si="1"/>
        <v>2. Healthcare &amp; Life Sciences-SFDA-PDPL-2021</v>
      </c>
      <c r="BD54" s="591" t="str">
        <f t="shared" si="2"/>
        <v>SFDA-PDPL-2021</v>
      </c>
      <c r="BE54" s="591" t="str">
        <f t="shared" si="3"/>
        <v>NONE</v>
      </c>
      <c r="BF54" s="594">
        <f t="shared" si="4"/>
        <v>16</v>
      </c>
    </row>
    <row r="55" spans="1:58" ht="42" customHeight="1" x14ac:dyDescent="0.45">
      <c r="A55" s="42">
        <v>50</v>
      </c>
      <c r="B55" s="69" t="s">
        <v>928</v>
      </c>
      <c r="C55" s="44" t="s">
        <v>929</v>
      </c>
      <c r="D55" s="44" t="s">
        <v>571</v>
      </c>
      <c r="E55" s="69" t="s">
        <v>930</v>
      </c>
      <c r="F55" s="45" t="s">
        <v>931</v>
      </c>
      <c r="G55" s="44" t="s">
        <v>932</v>
      </c>
      <c r="H55" s="44" t="s">
        <v>933</v>
      </c>
      <c r="I55" s="46" t="s">
        <v>924</v>
      </c>
      <c r="J55" s="46" t="s">
        <v>934</v>
      </c>
      <c r="K55" s="44" t="s">
        <v>63</v>
      </c>
      <c r="L55" s="92" t="s">
        <v>935</v>
      </c>
      <c r="M55" s="44" t="s">
        <v>936</v>
      </c>
      <c r="N55" s="47" t="s">
        <v>66</v>
      </c>
      <c r="O55" s="48" t="s">
        <v>937</v>
      </c>
      <c r="P55" s="44" t="s">
        <v>938</v>
      </c>
      <c r="Q55" s="70" t="s">
        <v>939</v>
      </c>
      <c r="R55" s="70" t="s">
        <v>940</v>
      </c>
      <c r="S55" s="71" t="s">
        <v>941</v>
      </c>
      <c r="T55" s="70" t="s">
        <v>942</v>
      </c>
      <c r="U55" s="25" t="s">
        <v>943</v>
      </c>
      <c r="V55" s="70" t="s">
        <v>944</v>
      </c>
      <c r="W55" s="72" t="s">
        <v>945</v>
      </c>
      <c r="X55" s="70" t="s">
        <v>946</v>
      </c>
      <c r="Y55" s="49" t="s">
        <v>947</v>
      </c>
      <c r="Z55" s="70" t="s">
        <v>948</v>
      </c>
      <c r="AA55" s="71" t="s">
        <v>949</v>
      </c>
      <c r="AB55" s="70" t="s">
        <v>950</v>
      </c>
      <c r="AC55" s="70" t="s">
        <v>951</v>
      </c>
      <c r="AD55" s="22" t="s">
        <v>82</v>
      </c>
      <c r="AE55" s="26" t="s">
        <v>952</v>
      </c>
      <c r="AF55" s="27" t="s">
        <v>953</v>
      </c>
      <c r="AG55" s="70" t="s">
        <v>954</v>
      </c>
      <c r="AH55" s="70" t="s">
        <v>955</v>
      </c>
      <c r="AI55" s="73" t="s">
        <v>956</v>
      </c>
      <c r="AJ55" s="70" t="s">
        <v>957</v>
      </c>
      <c r="AK55" s="74" t="s">
        <v>958</v>
      </c>
      <c r="AL55" s="75" t="s">
        <v>959</v>
      </c>
      <c r="AM55" s="76" t="s">
        <v>960</v>
      </c>
      <c r="AN55" s="50" t="s">
        <v>961</v>
      </c>
      <c r="AO55" s="77" t="s">
        <v>962</v>
      </c>
      <c r="AP55" s="51" t="s">
        <v>963</v>
      </c>
      <c r="AQ55" s="78" t="s">
        <v>964</v>
      </c>
      <c r="AR55" s="74" t="s">
        <v>965</v>
      </c>
      <c r="AS55" s="92" t="s">
        <v>966</v>
      </c>
      <c r="AT55" s="75" t="s">
        <v>967</v>
      </c>
      <c r="AU55" s="79" t="s">
        <v>968</v>
      </c>
      <c r="AV55" s="80" t="s">
        <v>969</v>
      </c>
      <c r="AW55" s="81" t="s">
        <v>970</v>
      </c>
      <c r="AX55" s="82" t="s">
        <v>971</v>
      </c>
      <c r="AY55" s="83" t="s">
        <v>972</v>
      </c>
      <c r="AZ55" s="80" t="s">
        <v>585</v>
      </c>
      <c r="BA55" s="41" t="s">
        <v>105</v>
      </c>
      <c r="BB55" s="591" t="str">
        <f t="shared" si="0"/>
        <v>DEEP</v>
      </c>
      <c r="BC55" s="591" t="str">
        <f t="shared" si="1"/>
        <v>2. Healthcare &amp; Life Sciences-CBAHI-CBAHI-HAS-H</v>
      </c>
      <c r="BD55" s="591" t="str">
        <f t="shared" si="2"/>
        <v>CBAHI-CBAHI-HAS-H</v>
      </c>
      <c r="BE55" s="591" t="str">
        <f t="shared" si="3"/>
        <v>NONE</v>
      </c>
      <c r="BF55" s="594">
        <f t="shared" si="4"/>
        <v>15</v>
      </c>
    </row>
    <row r="56" spans="1:58" ht="42" customHeight="1" x14ac:dyDescent="0.45">
      <c r="A56" s="84">
        <v>51</v>
      </c>
      <c r="B56" s="85" t="s">
        <v>928</v>
      </c>
      <c r="C56" s="70" t="s">
        <v>929</v>
      </c>
      <c r="D56" s="70" t="s">
        <v>571</v>
      </c>
      <c r="E56" s="85" t="s">
        <v>973</v>
      </c>
      <c r="F56" s="72" t="s">
        <v>974</v>
      </c>
      <c r="G56" s="70" t="s">
        <v>975</v>
      </c>
      <c r="H56" s="70" t="s">
        <v>976</v>
      </c>
      <c r="I56" s="71" t="s">
        <v>590</v>
      </c>
      <c r="J56" s="71" t="s">
        <v>977</v>
      </c>
      <c r="K56" s="70" t="s">
        <v>63</v>
      </c>
      <c r="L56" s="92" t="s">
        <v>935</v>
      </c>
      <c r="M56" s="70" t="s">
        <v>978</v>
      </c>
      <c r="N56" s="88" t="s">
        <v>154</v>
      </c>
      <c r="O56" s="87" t="s">
        <v>937</v>
      </c>
      <c r="P56" s="70" t="s">
        <v>979</v>
      </c>
      <c r="Q56" s="70" t="s">
        <v>980</v>
      </c>
      <c r="R56" s="70" t="s">
        <v>981</v>
      </c>
      <c r="S56" s="71" t="s">
        <v>982</v>
      </c>
      <c r="T56" s="70" t="s">
        <v>983</v>
      </c>
      <c r="U56" s="25" t="s">
        <v>984</v>
      </c>
      <c r="V56" s="70" t="s">
        <v>282</v>
      </c>
      <c r="W56" s="72" t="s">
        <v>283</v>
      </c>
      <c r="X56" s="70" t="s">
        <v>284</v>
      </c>
      <c r="Y56" s="49" t="s">
        <v>285</v>
      </c>
      <c r="Z56" s="70" t="s">
        <v>286</v>
      </c>
      <c r="AA56" s="71" t="s">
        <v>286</v>
      </c>
      <c r="AB56" s="70" t="s">
        <v>287</v>
      </c>
      <c r="AC56" s="70" t="s">
        <v>288</v>
      </c>
      <c r="AD56" s="49" t="s">
        <v>289</v>
      </c>
      <c r="AE56" s="58" t="s">
        <v>290</v>
      </c>
      <c r="AF56" s="56" t="s">
        <v>291</v>
      </c>
      <c r="AG56" s="70" t="s">
        <v>292</v>
      </c>
      <c r="AH56" s="70" t="s">
        <v>293</v>
      </c>
      <c r="AI56" s="73" t="s">
        <v>215</v>
      </c>
      <c r="AJ56" s="70" t="s">
        <v>216</v>
      </c>
      <c r="AK56" s="74" t="s">
        <v>217</v>
      </c>
      <c r="AL56" s="75" t="s">
        <v>218</v>
      </c>
      <c r="AM56" s="76" t="s">
        <v>219</v>
      </c>
      <c r="AN56" s="50" t="s">
        <v>220</v>
      </c>
      <c r="AO56" s="77" t="s">
        <v>221</v>
      </c>
      <c r="AP56" s="51" t="s">
        <v>138</v>
      </c>
      <c r="AQ56" s="78" t="s">
        <v>139</v>
      </c>
      <c r="AR56" s="74" t="s">
        <v>140</v>
      </c>
      <c r="AS56" s="22" t="s">
        <v>141</v>
      </c>
      <c r="AT56" s="75" t="s">
        <v>142</v>
      </c>
      <c r="AU56" s="79" t="s">
        <v>143</v>
      </c>
      <c r="AV56" s="80" t="s">
        <v>144</v>
      </c>
      <c r="AW56" s="81" t="s">
        <v>145</v>
      </c>
      <c r="AX56" s="82" t="s">
        <v>146</v>
      </c>
      <c r="AY56" s="83" t="s">
        <v>147</v>
      </c>
      <c r="AZ56" s="80" t="s">
        <v>585</v>
      </c>
      <c r="BA56" s="41" t="s">
        <v>105</v>
      </c>
      <c r="BB56" s="591" t="str">
        <f t="shared" si="0"/>
        <v>TEMPLATE</v>
      </c>
      <c r="BC56" s="591" t="str">
        <f t="shared" si="1"/>
        <v>2. Healthcare &amp; Life Sciences-CBAHI-CBAHI-HAS-PHC</v>
      </c>
      <c r="BD56" s="591" t="str">
        <f t="shared" si="2"/>
        <v>CBAHI-CBAHI-HAS-PHC</v>
      </c>
      <c r="BE56" s="591" t="str">
        <f t="shared" si="3"/>
        <v>NONE</v>
      </c>
      <c r="BF56" s="594">
        <f t="shared" si="4"/>
        <v>6</v>
      </c>
    </row>
    <row r="57" spans="1:58" ht="42" customHeight="1" x14ac:dyDescent="0.45">
      <c r="A57" s="42">
        <v>52</v>
      </c>
      <c r="B57" s="69" t="s">
        <v>928</v>
      </c>
      <c r="C57" s="44" t="s">
        <v>929</v>
      </c>
      <c r="D57" s="44" t="s">
        <v>571</v>
      </c>
      <c r="E57" s="69" t="s">
        <v>985</v>
      </c>
      <c r="F57" s="45" t="s">
        <v>986</v>
      </c>
      <c r="G57" s="44" t="s">
        <v>987</v>
      </c>
      <c r="H57" s="44" t="s">
        <v>988</v>
      </c>
      <c r="I57" s="46" t="s">
        <v>682</v>
      </c>
      <c r="J57" s="46" t="s">
        <v>989</v>
      </c>
      <c r="K57" s="44" t="s">
        <v>63</v>
      </c>
      <c r="L57" s="92" t="s">
        <v>935</v>
      </c>
      <c r="M57" s="44" t="s">
        <v>990</v>
      </c>
      <c r="N57" s="54" t="s">
        <v>154</v>
      </c>
      <c r="O57" s="48" t="s">
        <v>937</v>
      </c>
      <c r="P57" s="44" t="s">
        <v>979</v>
      </c>
      <c r="Q57" s="70" t="s">
        <v>991</v>
      </c>
      <c r="R57" s="70" t="s">
        <v>992</v>
      </c>
      <c r="S57" s="71" t="s">
        <v>993</v>
      </c>
      <c r="T57" s="70" t="s">
        <v>994</v>
      </c>
      <c r="U57" s="25" t="s">
        <v>995</v>
      </c>
      <c r="V57" s="70" t="s">
        <v>282</v>
      </c>
      <c r="W57" s="72" t="s">
        <v>283</v>
      </c>
      <c r="X57" s="70" t="s">
        <v>284</v>
      </c>
      <c r="Y57" s="49" t="s">
        <v>285</v>
      </c>
      <c r="Z57" s="70" t="s">
        <v>286</v>
      </c>
      <c r="AA57" s="71" t="s">
        <v>286</v>
      </c>
      <c r="AB57" s="70" t="s">
        <v>287</v>
      </c>
      <c r="AC57" s="70" t="s">
        <v>288</v>
      </c>
      <c r="AD57" s="49" t="s">
        <v>289</v>
      </c>
      <c r="AE57" s="58" t="s">
        <v>290</v>
      </c>
      <c r="AF57" s="56" t="s">
        <v>291</v>
      </c>
      <c r="AG57" s="70" t="s">
        <v>292</v>
      </c>
      <c r="AH57" s="70" t="s">
        <v>293</v>
      </c>
      <c r="AI57" s="73" t="s">
        <v>215</v>
      </c>
      <c r="AJ57" s="70" t="s">
        <v>216</v>
      </c>
      <c r="AK57" s="74" t="s">
        <v>217</v>
      </c>
      <c r="AL57" s="75" t="s">
        <v>218</v>
      </c>
      <c r="AM57" s="76" t="s">
        <v>219</v>
      </c>
      <c r="AN57" s="50" t="s">
        <v>220</v>
      </c>
      <c r="AO57" s="77" t="s">
        <v>221</v>
      </c>
      <c r="AP57" s="51" t="s">
        <v>138</v>
      </c>
      <c r="AQ57" s="78" t="s">
        <v>139</v>
      </c>
      <c r="AR57" s="74" t="s">
        <v>140</v>
      </c>
      <c r="AS57" s="22" t="s">
        <v>141</v>
      </c>
      <c r="AT57" s="75" t="s">
        <v>142</v>
      </c>
      <c r="AU57" s="79" t="s">
        <v>143</v>
      </c>
      <c r="AV57" s="80" t="s">
        <v>144</v>
      </c>
      <c r="AW57" s="81" t="s">
        <v>145</v>
      </c>
      <c r="AX57" s="82" t="s">
        <v>146</v>
      </c>
      <c r="AY57" s="83" t="s">
        <v>147</v>
      </c>
      <c r="AZ57" s="80" t="s">
        <v>585</v>
      </c>
      <c r="BA57" s="41" t="s">
        <v>105</v>
      </c>
      <c r="BB57" s="591" t="str">
        <f t="shared" si="0"/>
        <v>TEMPLATE</v>
      </c>
      <c r="BC57" s="591" t="str">
        <f t="shared" si="1"/>
        <v>2. Healthcare &amp; Life Sciences-CBAHI-CBAHI-HAS-LAB</v>
      </c>
      <c r="BD57" s="591" t="str">
        <f t="shared" si="2"/>
        <v>CBAHI-CBAHI-HAS-LAB</v>
      </c>
      <c r="BE57" s="591" t="str">
        <f t="shared" si="3"/>
        <v>NONE</v>
      </c>
      <c r="BF57" s="594">
        <f t="shared" si="4"/>
        <v>6</v>
      </c>
    </row>
    <row r="58" spans="1:58" ht="42" customHeight="1" x14ac:dyDescent="0.45">
      <c r="A58" s="84">
        <v>53</v>
      </c>
      <c r="B58" s="85" t="s">
        <v>928</v>
      </c>
      <c r="C58" s="70" t="s">
        <v>929</v>
      </c>
      <c r="D58" s="70" t="s">
        <v>571</v>
      </c>
      <c r="E58" s="85" t="s">
        <v>996</v>
      </c>
      <c r="F58" s="72" t="s">
        <v>997</v>
      </c>
      <c r="G58" s="70" t="s">
        <v>998</v>
      </c>
      <c r="H58" s="70" t="s">
        <v>999</v>
      </c>
      <c r="I58" s="71" t="s">
        <v>61</v>
      </c>
      <c r="J58" s="71" t="s">
        <v>1000</v>
      </c>
      <c r="K58" s="70" t="s">
        <v>63</v>
      </c>
      <c r="L58" s="92" t="s">
        <v>935</v>
      </c>
      <c r="M58" s="70" t="s">
        <v>1001</v>
      </c>
      <c r="N58" s="88" t="s">
        <v>154</v>
      </c>
      <c r="O58" s="87" t="s">
        <v>937</v>
      </c>
      <c r="P58" s="70" t="s">
        <v>979</v>
      </c>
      <c r="Q58" s="70" t="s">
        <v>1002</v>
      </c>
      <c r="R58" s="70" t="s">
        <v>1003</v>
      </c>
      <c r="S58" s="71" t="s">
        <v>1004</v>
      </c>
      <c r="T58" s="70" t="s">
        <v>1005</v>
      </c>
      <c r="U58" s="25" t="s">
        <v>1006</v>
      </c>
      <c r="V58" s="70" t="s">
        <v>282</v>
      </c>
      <c r="W58" s="72" t="s">
        <v>283</v>
      </c>
      <c r="X58" s="70" t="s">
        <v>284</v>
      </c>
      <c r="Y58" s="49" t="s">
        <v>285</v>
      </c>
      <c r="Z58" s="70" t="s">
        <v>286</v>
      </c>
      <c r="AA58" s="71" t="s">
        <v>286</v>
      </c>
      <c r="AB58" s="70" t="s">
        <v>287</v>
      </c>
      <c r="AC58" s="70" t="s">
        <v>288</v>
      </c>
      <c r="AD58" s="49" t="s">
        <v>289</v>
      </c>
      <c r="AE58" s="58" t="s">
        <v>290</v>
      </c>
      <c r="AF58" s="56" t="s">
        <v>291</v>
      </c>
      <c r="AG58" s="70" t="s">
        <v>292</v>
      </c>
      <c r="AH58" s="70" t="s">
        <v>293</v>
      </c>
      <c r="AI58" s="73" t="s">
        <v>215</v>
      </c>
      <c r="AJ58" s="70" t="s">
        <v>216</v>
      </c>
      <c r="AK58" s="74" t="s">
        <v>217</v>
      </c>
      <c r="AL58" s="75" t="s">
        <v>218</v>
      </c>
      <c r="AM58" s="76" t="s">
        <v>219</v>
      </c>
      <c r="AN58" s="50" t="s">
        <v>220</v>
      </c>
      <c r="AO58" s="77" t="s">
        <v>221</v>
      </c>
      <c r="AP58" s="51" t="s">
        <v>138</v>
      </c>
      <c r="AQ58" s="78" t="s">
        <v>139</v>
      </c>
      <c r="AR58" s="74" t="s">
        <v>140</v>
      </c>
      <c r="AS58" s="22" t="s">
        <v>141</v>
      </c>
      <c r="AT58" s="75" t="s">
        <v>142</v>
      </c>
      <c r="AU58" s="79" t="s">
        <v>143</v>
      </c>
      <c r="AV58" s="80" t="s">
        <v>144</v>
      </c>
      <c r="AW58" s="81" t="s">
        <v>145</v>
      </c>
      <c r="AX58" s="82" t="s">
        <v>146</v>
      </c>
      <c r="AY58" s="83" t="s">
        <v>147</v>
      </c>
      <c r="AZ58" s="80" t="s">
        <v>104</v>
      </c>
      <c r="BA58" s="41" t="s">
        <v>105</v>
      </c>
      <c r="BB58" s="591" t="str">
        <f t="shared" si="0"/>
        <v>TEMPLATE</v>
      </c>
      <c r="BC58" s="591" t="str">
        <f t="shared" si="1"/>
        <v>2. Healthcare &amp; Life Sciences-CBAHI-CBAHI-HAS-LTC</v>
      </c>
      <c r="BD58" s="591" t="str">
        <f t="shared" si="2"/>
        <v>CBAHI-CBAHI-HAS-LTC</v>
      </c>
      <c r="BE58" s="591" t="str">
        <f t="shared" si="3"/>
        <v>NONE</v>
      </c>
      <c r="BF58" s="594">
        <f t="shared" si="4"/>
        <v>6</v>
      </c>
    </row>
    <row r="59" spans="1:58" ht="42" customHeight="1" x14ac:dyDescent="0.45">
      <c r="A59" s="42">
        <v>54</v>
      </c>
      <c r="B59" s="69" t="s">
        <v>928</v>
      </c>
      <c r="C59" s="44" t="s">
        <v>929</v>
      </c>
      <c r="D59" s="44" t="s">
        <v>571</v>
      </c>
      <c r="E59" s="69" t="s">
        <v>1007</v>
      </c>
      <c r="F59" s="45" t="s">
        <v>1008</v>
      </c>
      <c r="G59" s="44" t="s">
        <v>1009</v>
      </c>
      <c r="H59" s="44" t="s">
        <v>988</v>
      </c>
      <c r="I59" s="46" t="s">
        <v>658</v>
      </c>
      <c r="J59" s="46" t="s">
        <v>1010</v>
      </c>
      <c r="K59" s="44" t="s">
        <v>63</v>
      </c>
      <c r="L59" s="92" t="s">
        <v>935</v>
      </c>
      <c r="M59" s="44" t="s">
        <v>1011</v>
      </c>
      <c r="N59" s="54" t="s">
        <v>154</v>
      </c>
      <c r="O59" s="48" t="s">
        <v>937</v>
      </c>
      <c r="P59" s="44" t="s">
        <v>979</v>
      </c>
      <c r="Q59" s="70" t="s">
        <v>1012</v>
      </c>
      <c r="R59" s="70" t="s">
        <v>1013</v>
      </c>
      <c r="S59" s="71" t="s">
        <v>1014</v>
      </c>
      <c r="T59" s="70" t="s">
        <v>994</v>
      </c>
      <c r="U59" s="25" t="s">
        <v>995</v>
      </c>
      <c r="V59" s="70" t="s">
        <v>282</v>
      </c>
      <c r="W59" s="72" t="s">
        <v>283</v>
      </c>
      <c r="X59" s="70" t="s">
        <v>284</v>
      </c>
      <c r="Y59" s="49" t="s">
        <v>285</v>
      </c>
      <c r="Z59" s="70" t="s">
        <v>286</v>
      </c>
      <c r="AA59" s="71" t="s">
        <v>286</v>
      </c>
      <c r="AB59" s="70" t="s">
        <v>287</v>
      </c>
      <c r="AC59" s="70" t="s">
        <v>288</v>
      </c>
      <c r="AD59" s="49" t="s">
        <v>289</v>
      </c>
      <c r="AE59" s="58" t="s">
        <v>290</v>
      </c>
      <c r="AF59" s="56" t="s">
        <v>291</v>
      </c>
      <c r="AG59" s="70" t="s">
        <v>292</v>
      </c>
      <c r="AH59" s="70" t="s">
        <v>293</v>
      </c>
      <c r="AI59" s="73" t="s">
        <v>215</v>
      </c>
      <c r="AJ59" s="70" t="s">
        <v>216</v>
      </c>
      <c r="AK59" s="74" t="s">
        <v>217</v>
      </c>
      <c r="AL59" s="75" t="s">
        <v>218</v>
      </c>
      <c r="AM59" s="76" t="s">
        <v>219</v>
      </c>
      <c r="AN59" s="50" t="s">
        <v>220</v>
      </c>
      <c r="AO59" s="77" t="s">
        <v>221</v>
      </c>
      <c r="AP59" s="51" t="s">
        <v>138</v>
      </c>
      <c r="AQ59" s="78" t="s">
        <v>139</v>
      </c>
      <c r="AR59" s="74" t="s">
        <v>140</v>
      </c>
      <c r="AS59" s="22" t="s">
        <v>141</v>
      </c>
      <c r="AT59" s="75" t="s">
        <v>142</v>
      </c>
      <c r="AU59" s="79" t="s">
        <v>143</v>
      </c>
      <c r="AV59" s="80" t="s">
        <v>144</v>
      </c>
      <c r="AW59" s="81" t="s">
        <v>145</v>
      </c>
      <c r="AX59" s="82" t="s">
        <v>146</v>
      </c>
      <c r="AY59" s="83" t="s">
        <v>147</v>
      </c>
      <c r="AZ59" s="80" t="s">
        <v>104</v>
      </c>
      <c r="BA59" s="41" t="s">
        <v>105</v>
      </c>
      <c r="BB59" s="591" t="str">
        <f t="shared" si="0"/>
        <v>TEMPLATE</v>
      </c>
      <c r="BC59" s="591" t="str">
        <f t="shared" si="1"/>
        <v>2. Healthcare &amp; Life Sciences-CBAHI-CBAHI-HAS-AMB</v>
      </c>
      <c r="BD59" s="591" t="str">
        <f t="shared" si="2"/>
        <v>CBAHI-CBAHI-HAS-AMB</v>
      </c>
      <c r="BE59" s="591" t="str">
        <f t="shared" si="3"/>
        <v>NONE</v>
      </c>
      <c r="BF59" s="594">
        <f t="shared" si="4"/>
        <v>6</v>
      </c>
    </row>
    <row r="60" spans="1:58" ht="42" customHeight="1" x14ac:dyDescent="0.45">
      <c r="A60" s="84">
        <v>55</v>
      </c>
      <c r="B60" s="85" t="s">
        <v>928</v>
      </c>
      <c r="C60" s="70" t="s">
        <v>929</v>
      </c>
      <c r="D60" s="70" t="s">
        <v>571</v>
      </c>
      <c r="E60" s="85" t="s">
        <v>557</v>
      </c>
      <c r="F60" s="72" t="s">
        <v>58</v>
      </c>
      <c r="G60" s="70" t="s">
        <v>59</v>
      </c>
      <c r="H60" s="70" t="s">
        <v>57</v>
      </c>
      <c r="I60" s="71" t="s">
        <v>61</v>
      </c>
      <c r="J60" s="71" t="s">
        <v>62</v>
      </c>
      <c r="K60" s="70" t="s">
        <v>558</v>
      </c>
      <c r="L60" s="66" t="s">
        <v>559</v>
      </c>
      <c r="M60" s="70" t="s">
        <v>1015</v>
      </c>
      <c r="N60" s="88" t="s">
        <v>154</v>
      </c>
      <c r="O60" s="87" t="s">
        <v>196</v>
      </c>
      <c r="P60" s="70" t="s">
        <v>561</v>
      </c>
      <c r="Q60" s="70" t="s">
        <v>562</v>
      </c>
      <c r="R60" s="70" t="s">
        <v>563</v>
      </c>
      <c r="S60" s="71" t="s">
        <v>564</v>
      </c>
      <c r="T60" s="70" t="s">
        <v>565</v>
      </c>
      <c r="U60" s="25" t="s">
        <v>566</v>
      </c>
      <c r="V60" s="70" t="s">
        <v>282</v>
      </c>
      <c r="W60" s="72" t="s">
        <v>283</v>
      </c>
      <c r="X60" s="70" t="s">
        <v>284</v>
      </c>
      <c r="Y60" s="49" t="s">
        <v>285</v>
      </c>
      <c r="Z60" s="70" t="s">
        <v>286</v>
      </c>
      <c r="AA60" s="71" t="s">
        <v>286</v>
      </c>
      <c r="AB60" s="70" t="s">
        <v>287</v>
      </c>
      <c r="AC60" s="70" t="s">
        <v>288</v>
      </c>
      <c r="AD60" s="49" t="s">
        <v>289</v>
      </c>
      <c r="AE60" s="58" t="s">
        <v>290</v>
      </c>
      <c r="AF60" s="56" t="s">
        <v>291</v>
      </c>
      <c r="AG60" s="70" t="s">
        <v>292</v>
      </c>
      <c r="AH60" s="70" t="s">
        <v>293</v>
      </c>
      <c r="AI60" s="73" t="s">
        <v>215</v>
      </c>
      <c r="AJ60" s="70" t="s">
        <v>216</v>
      </c>
      <c r="AK60" s="74" t="s">
        <v>217</v>
      </c>
      <c r="AL60" s="75" t="s">
        <v>218</v>
      </c>
      <c r="AM60" s="76" t="s">
        <v>219</v>
      </c>
      <c r="AN60" s="50" t="s">
        <v>220</v>
      </c>
      <c r="AO60" s="77" t="s">
        <v>221</v>
      </c>
      <c r="AP60" s="51" t="s">
        <v>138</v>
      </c>
      <c r="AQ60" s="78" t="s">
        <v>139</v>
      </c>
      <c r="AR60" s="74" t="s">
        <v>140</v>
      </c>
      <c r="AS60" s="22" t="s">
        <v>141</v>
      </c>
      <c r="AT60" s="75" t="s">
        <v>142</v>
      </c>
      <c r="AU60" s="79" t="s">
        <v>143</v>
      </c>
      <c r="AV60" s="80" t="s">
        <v>144</v>
      </c>
      <c r="AW60" s="81" t="s">
        <v>145</v>
      </c>
      <c r="AX60" s="82" t="s">
        <v>146</v>
      </c>
      <c r="AY60" s="83" t="s">
        <v>147</v>
      </c>
      <c r="AZ60" s="80" t="s">
        <v>567</v>
      </c>
      <c r="BA60" s="34" t="s">
        <v>320</v>
      </c>
      <c r="BB60" s="591" t="str">
        <f t="shared" si="0"/>
        <v>TEMPLATE</v>
      </c>
      <c r="BC60" s="591" t="str">
        <f t="shared" si="1"/>
        <v>2. Healthcare &amp; Life Sciences-CBAHI-NCA-ECC-2:2024</v>
      </c>
      <c r="BD60" s="591" t="str">
        <f t="shared" si="2"/>
        <v>CBAHI-NCA-ECC-2-2024</v>
      </c>
      <c r="BE60" s="591" t="str">
        <f t="shared" si="3"/>
        <v>NCA-ECC-2-2024</v>
      </c>
      <c r="BF60" s="594">
        <f t="shared" si="4"/>
        <v>9</v>
      </c>
    </row>
    <row r="61" spans="1:58" ht="42" customHeight="1" x14ac:dyDescent="0.45">
      <c r="A61" s="42">
        <v>56</v>
      </c>
      <c r="B61" s="69" t="s">
        <v>928</v>
      </c>
      <c r="C61" s="44" t="s">
        <v>929</v>
      </c>
      <c r="D61" s="44" t="s">
        <v>571</v>
      </c>
      <c r="E61" s="69" t="s">
        <v>586</v>
      </c>
      <c r="F61" s="45" t="s">
        <v>587</v>
      </c>
      <c r="G61" s="44" t="s">
        <v>588</v>
      </c>
      <c r="H61" s="44" t="s">
        <v>589</v>
      </c>
      <c r="I61" s="46" t="s">
        <v>590</v>
      </c>
      <c r="J61" s="46" t="s">
        <v>591</v>
      </c>
      <c r="K61" s="44" t="s">
        <v>558</v>
      </c>
      <c r="L61" s="66" t="s">
        <v>559</v>
      </c>
      <c r="M61" s="44" t="s">
        <v>1016</v>
      </c>
      <c r="N61" s="54" t="s">
        <v>154</v>
      </c>
      <c r="O61" s="48" t="s">
        <v>593</v>
      </c>
      <c r="P61" s="44" t="s">
        <v>1017</v>
      </c>
      <c r="Q61" s="70" t="s">
        <v>595</v>
      </c>
      <c r="R61" s="70" t="s">
        <v>596</v>
      </c>
      <c r="S61" s="71" t="s">
        <v>597</v>
      </c>
      <c r="T61" s="70" t="s">
        <v>598</v>
      </c>
      <c r="U61" s="25" t="s">
        <v>599</v>
      </c>
      <c r="V61" s="70" t="s">
        <v>600</v>
      </c>
      <c r="W61" s="72" t="s">
        <v>601</v>
      </c>
      <c r="X61" s="70" t="s">
        <v>602</v>
      </c>
      <c r="Y61" s="49" t="s">
        <v>603</v>
      </c>
      <c r="Z61" s="70" t="s">
        <v>604</v>
      </c>
      <c r="AA61" s="71" t="s">
        <v>605</v>
      </c>
      <c r="AB61" s="70" t="s">
        <v>606</v>
      </c>
      <c r="AC61" s="70" t="s">
        <v>607</v>
      </c>
      <c r="AD61" s="49" t="s">
        <v>608</v>
      </c>
      <c r="AE61" s="26" t="s">
        <v>609</v>
      </c>
      <c r="AF61" s="27" t="s">
        <v>610</v>
      </c>
      <c r="AG61" s="70" t="s">
        <v>611</v>
      </c>
      <c r="AH61" s="70" t="s">
        <v>612</v>
      </c>
      <c r="AI61" s="73" t="s">
        <v>613</v>
      </c>
      <c r="AJ61" s="70" t="s">
        <v>614</v>
      </c>
      <c r="AK61" s="74" t="s">
        <v>615</v>
      </c>
      <c r="AL61" s="75" t="s">
        <v>616</v>
      </c>
      <c r="AM61" s="76" t="s">
        <v>617</v>
      </c>
      <c r="AN61" s="50" t="s">
        <v>618</v>
      </c>
      <c r="AO61" s="77" t="s">
        <v>619</v>
      </c>
      <c r="AP61" s="34" t="s">
        <v>620</v>
      </c>
      <c r="AQ61" s="78" t="s">
        <v>621</v>
      </c>
      <c r="AR61" s="74" t="s">
        <v>622</v>
      </c>
      <c r="AS61" s="61" t="s">
        <v>623</v>
      </c>
      <c r="AT61" s="75" t="s">
        <v>624</v>
      </c>
      <c r="AU61" s="79" t="s">
        <v>625</v>
      </c>
      <c r="AV61" s="80" t="s">
        <v>626</v>
      </c>
      <c r="AW61" s="81" t="s">
        <v>627</v>
      </c>
      <c r="AX61" s="82" t="s">
        <v>628</v>
      </c>
      <c r="AY61" s="83" t="s">
        <v>629</v>
      </c>
      <c r="AZ61" s="80" t="s">
        <v>585</v>
      </c>
      <c r="BA61" s="41" t="s">
        <v>105</v>
      </c>
      <c r="BB61" s="591" t="str">
        <f t="shared" si="0"/>
        <v>DEEP</v>
      </c>
      <c r="BC61" s="591" t="str">
        <f t="shared" si="1"/>
        <v>2. Healthcare &amp; Life Sciences-CBAHI-MOH-HIS</v>
      </c>
      <c r="BD61" s="591" t="str">
        <f t="shared" si="2"/>
        <v>CBAHI-MOH-HIS</v>
      </c>
      <c r="BE61" s="591" t="str">
        <f t="shared" si="3"/>
        <v>NONE</v>
      </c>
      <c r="BF61" s="594">
        <f t="shared" si="4"/>
        <v>16</v>
      </c>
    </row>
    <row r="62" spans="1:58" ht="42" customHeight="1" x14ac:dyDescent="0.45">
      <c r="A62" s="84">
        <v>57</v>
      </c>
      <c r="B62" s="85" t="s">
        <v>1018</v>
      </c>
      <c r="C62" s="70" t="s">
        <v>1019</v>
      </c>
      <c r="D62" s="70" t="s">
        <v>571</v>
      </c>
      <c r="E62" s="85" t="s">
        <v>1020</v>
      </c>
      <c r="F62" s="72" t="s">
        <v>1021</v>
      </c>
      <c r="G62" s="70" t="s">
        <v>1022</v>
      </c>
      <c r="H62" s="70" t="s">
        <v>1023</v>
      </c>
      <c r="I62" s="71" t="s">
        <v>1024</v>
      </c>
      <c r="J62" s="71" t="s">
        <v>310</v>
      </c>
      <c r="K62" s="70" t="s">
        <v>63</v>
      </c>
      <c r="L62" s="22" t="s">
        <v>64</v>
      </c>
      <c r="M62" s="70" t="s">
        <v>1025</v>
      </c>
      <c r="N62" s="88" t="s">
        <v>154</v>
      </c>
      <c r="O62" s="87" t="s">
        <v>1026</v>
      </c>
      <c r="P62" s="70" t="s">
        <v>1027</v>
      </c>
      <c r="Q62" s="70" t="s">
        <v>1028</v>
      </c>
      <c r="R62" s="70" t="s">
        <v>1029</v>
      </c>
      <c r="S62" s="71" t="s">
        <v>1030</v>
      </c>
      <c r="T62" s="70" t="s">
        <v>1031</v>
      </c>
      <c r="U62" s="25" t="s">
        <v>1032</v>
      </c>
      <c r="V62" s="70" t="s">
        <v>1033</v>
      </c>
      <c r="W62" s="72" t="s">
        <v>1034</v>
      </c>
      <c r="X62" s="70" t="s">
        <v>1035</v>
      </c>
      <c r="Y62" s="49" t="s">
        <v>1036</v>
      </c>
      <c r="Z62" s="70" t="s">
        <v>1037</v>
      </c>
      <c r="AA62" s="71" t="s">
        <v>1038</v>
      </c>
      <c r="AB62" s="70" t="s">
        <v>1039</v>
      </c>
      <c r="AC62" s="70" t="s">
        <v>1040</v>
      </c>
      <c r="AD62" s="49" t="s">
        <v>1041</v>
      </c>
      <c r="AE62" s="26" t="s">
        <v>1042</v>
      </c>
      <c r="AF62" s="60" t="s">
        <v>1043</v>
      </c>
      <c r="AG62" s="70" t="s">
        <v>1044</v>
      </c>
      <c r="AH62" s="70" t="s">
        <v>1045</v>
      </c>
      <c r="AI62" s="73" t="s">
        <v>215</v>
      </c>
      <c r="AJ62" s="70" t="s">
        <v>216</v>
      </c>
      <c r="AK62" s="74" t="s">
        <v>217</v>
      </c>
      <c r="AL62" s="75" t="s">
        <v>218</v>
      </c>
      <c r="AM62" s="76" t="s">
        <v>219</v>
      </c>
      <c r="AN62" s="50" t="s">
        <v>220</v>
      </c>
      <c r="AO62" s="77" t="s">
        <v>221</v>
      </c>
      <c r="AP62" s="51" t="s">
        <v>1046</v>
      </c>
      <c r="AQ62" s="78" t="s">
        <v>1047</v>
      </c>
      <c r="AR62" s="74" t="s">
        <v>1048</v>
      </c>
      <c r="AS62" s="22" t="s">
        <v>1049</v>
      </c>
      <c r="AT62" s="75" t="s">
        <v>1050</v>
      </c>
      <c r="AU62" s="79" t="s">
        <v>1051</v>
      </c>
      <c r="AV62" s="80" t="s">
        <v>1052</v>
      </c>
      <c r="AW62" s="81" t="s">
        <v>1053</v>
      </c>
      <c r="AX62" s="82" t="s">
        <v>1054</v>
      </c>
      <c r="AY62" s="83" t="s">
        <v>1055</v>
      </c>
      <c r="AZ62" s="80" t="s">
        <v>585</v>
      </c>
      <c r="BA62" s="41" t="s">
        <v>105</v>
      </c>
      <c r="BB62" s="591" t="str">
        <f t="shared" si="0"/>
        <v>TEMPLATE</v>
      </c>
      <c r="BC62" s="591" t="str">
        <f t="shared" si="1"/>
        <v>2. Healthcare &amp; Life Sciences-SCFHS-SCFHS-PLF</v>
      </c>
      <c r="BD62" s="591" t="str">
        <f t="shared" si="2"/>
        <v>SCFHS-SCFHS-PLF</v>
      </c>
      <c r="BE62" s="591" t="str">
        <f t="shared" si="3"/>
        <v>NONE</v>
      </c>
      <c r="BF62" s="594">
        <f t="shared" si="4"/>
        <v>9</v>
      </c>
    </row>
    <row r="63" spans="1:58" ht="42" customHeight="1" x14ac:dyDescent="0.45">
      <c r="A63" s="42">
        <v>58</v>
      </c>
      <c r="B63" s="69" t="s">
        <v>1018</v>
      </c>
      <c r="C63" s="44" t="s">
        <v>1019</v>
      </c>
      <c r="D63" s="44" t="s">
        <v>571</v>
      </c>
      <c r="E63" s="69" t="s">
        <v>1056</v>
      </c>
      <c r="F63" s="45" t="s">
        <v>1057</v>
      </c>
      <c r="G63" s="44" t="s">
        <v>1058</v>
      </c>
      <c r="H63" s="44" t="s">
        <v>1023</v>
      </c>
      <c r="I63" s="46" t="s">
        <v>590</v>
      </c>
      <c r="J63" s="46" t="s">
        <v>310</v>
      </c>
      <c r="K63" s="44" t="s">
        <v>63</v>
      </c>
      <c r="L63" s="22" t="s">
        <v>64</v>
      </c>
      <c r="M63" s="44" t="s">
        <v>1059</v>
      </c>
      <c r="N63" s="54" t="s">
        <v>154</v>
      </c>
      <c r="O63" s="48" t="s">
        <v>1026</v>
      </c>
      <c r="P63" s="44" t="s">
        <v>1060</v>
      </c>
      <c r="Q63" s="70" t="s">
        <v>1061</v>
      </c>
      <c r="R63" s="70" t="s">
        <v>1062</v>
      </c>
      <c r="S63" s="71" t="s">
        <v>1063</v>
      </c>
      <c r="T63" s="70" t="s">
        <v>1064</v>
      </c>
      <c r="U63" s="25" t="s">
        <v>1065</v>
      </c>
      <c r="V63" s="70" t="s">
        <v>282</v>
      </c>
      <c r="W63" s="72" t="s">
        <v>283</v>
      </c>
      <c r="X63" s="70" t="s">
        <v>284</v>
      </c>
      <c r="Y63" s="49" t="s">
        <v>285</v>
      </c>
      <c r="Z63" s="70" t="s">
        <v>286</v>
      </c>
      <c r="AA63" s="71" t="s">
        <v>286</v>
      </c>
      <c r="AB63" s="70" t="s">
        <v>287</v>
      </c>
      <c r="AC63" s="70" t="s">
        <v>288</v>
      </c>
      <c r="AD63" s="49" t="s">
        <v>289</v>
      </c>
      <c r="AE63" s="58" t="s">
        <v>290</v>
      </c>
      <c r="AF63" s="56" t="s">
        <v>291</v>
      </c>
      <c r="AG63" s="70" t="s">
        <v>292</v>
      </c>
      <c r="AH63" s="70" t="s">
        <v>293</v>
      </c>
      <c r="AI63" s="73" t="s">
        <v>215</v>
      </c>
      <c r="AJ63" s="70" t="s">
        <v>216</v>
      </c>
      <c r="AK63" s="74" t="s">
        <v>217</v>
      </c>
      <c r="AL63" s="75" t="s">
        <v>218</v>
      </c>
      <c r="AM63" s="76" t="s">
        <v>219</v>
      </c>
      <c r="AN63" s="50" t="s">
        <v>220</v>
      </c>
      <c r="AO63" s="77" t="s">
        <v>221</v>
      </c>
      <c r="AP63" s="51" t="s">
        <v>138</v>
      </c>
      <c r="AQ63" s="78" t="s">
        <v>139</v>
      </c>
      <c r="AR63" s="74" t="s">
        <v>140</v>
      </c>
      <c r="AS63" s="22" t="s">
        <v>141</v>
      </c>
      <c r="AT63" s="75" t="s">
        <v>142</v>
      </c>
      <c r="AU63" s="79" t="s">
        <v>143</v>
      </c>
      <c r="AV63" s="80" t="s">
        <v>144</v>
      </c>
      <c r="AW63" s="81" t="s">
        <v>145</v>
      </c>
      <c r="AX63" s="82" t="s">
        <v>146</v>
      </c>
      <c r="AY63" s="83" t="s">
        <v>147</v>
      </c>
      <c r="AZ63" s="80" t="s">
        <v>585</v>
      </c>
      <c r="BA63" s="41" t="s">
        <v>105</v>
      </c>
      <c r="BB63" s="591" t="str">
        <f t="shared" si="0"/>
        <v>TEMPLATE</v>
      </c>
      <c r="BC63" s="591" t="str">
        <f t="shared" si="1"/>
        <v>2. Healthcare &amp; Life Sciences-SCFHS-SCFHS-CPD</v>
      </c>
      <c r="BD63" s="591" t="str">
        <f t="shared" si="2"/>
        <v>SCFHS-SCFHS-CPD</v>
      </c>
      <c r="BE63" s="591" t="str">
        <f t="shared" si="3"/>
        <v>NONE</v>
      </c>
      <c r="BF63" s="594">
        <f t="shared" si="4"/>
        <v>9</v>
      </c>
    </row>
    <row r="64" spans="1:58" ht="42" customHeight="1" x14ac:dyDescent="0.45">
      <c r="A64" s="84">
        <v>59</v>
      </c>
      <c r="B64" s="85" t="s">
        <v>1018</v>
      </c>
      <c r="C64" s="70" t="s">
        <v>1019</v>
      </c>
      <c r="D64" s="70" t="s">
        <v>571</v>
      </c>
      <c r="E64" s="85" t="s">
        <v>1066</v>
      </c>
      <c r="F64" s="72" t="s">
        <v>1067</v>
      </c>
      <c r="G64" s="70" t="s">
        <v>1068</v>
      </c>
      <c r="H64" s="70" t="s">
        <v>1069</v>
      </c>
      <c r="I64" s="71" t="s">
        <v>1024</v>
      </c>
      <c r="J64" s="71" t="s">
        <v>310</v>
      </c>
      <c r="K64" s="70" t="s">
        <v>63</v>
      </c>
      <c r="L64" s="22" t="s">
        <v>64</v>
      </c>
      <c r="M64" s="70" t="s">
        <v>1070</v>
      </c>
      <c r="N64" s="93" t="s">
        <v>253</v>
      </c>
      <c r="O64" s="87" t="s">
        <v>1071</v>
      </c>
      <c r="P64" s="70" t="s">
        <v>1027</v>
      </c>
      <c r="Q64" s="70" t="s">
        <v>562</v>
      </c>
      <c r="R64" s="70" t="s">
        <v>563</v>
      </c>
      <c r="S64" s="71" t="s">
        <v>564</v>
      </c>
      <c r="T64" s="70" t="s">
        <v>565</v>
      </c>
      <c r="U64" s="25" t="s">
        <v>566</v>
      </c>
      <c r="V64" s="70" t="s">
        <v>282</v>
      </c>
      <c r="W64" s="72" t="s">
        <v>283</v>
      </c>
      <c r="X64" s="70" t="s">
        <v>284</v>
      </c>
      <c r="Y64" s="49" t="s">
        <v>285</v>
      </c>
      <c r="Z64" s="70" t="s">
        <v>286</v>
      </c>
      <c r="AA64" s="71" t="s">
        <v>286</v>
      </c>
      <c r="AB64" s="70" t="s">
        <v>287</v>
      </c>
      <c r="AC64" s="70" t="s">
        <v>288</v>
      </c>
      <c r="AD64" s="49" t="s">
        <v>289</v>
      </c>
      <c r="AE64" s="58" t="s">
        <v>290</v>
      </c>
      <c r="AF64" s="56" t="s">
        <v>291</v>
      </c>
      <c r="AG64" s="70" t="s">
        <v>292</v>
      </c>
      <c r="AH64" s="70" t="s">
        <v>293</v>
      </c>
      <c r="AI64" s="73" t="s">
        <v>215</v>
      </c>
      <c r="AJ64" s="70" t="s">
        <v>216</v>
      </c>
      <c r="AK64" s="74" t="s">
        <v>217</v>
      </c>
      <c r="AL64" s="75" t="s">
        <v>218</v>
      </c>
      <c r="AM64" s="76" t="s">
        <v>219</v>
      </c>
      <c r="AN64" s="50" t="s">
        <v>220</v>
      </c>
      <c r="AO64" s="77" t="s">
        <v>221</v>
      </c>
      <c r="AP64" s="51" t="s">
        <v>138</v>
      </c>
      <c r="AQ64" s="78" t="s">
        <v>139</v>
      </c>
      <c r="AR64" s="74" t="s">
        <v>140</v>
      </c>
      <c r="AS64" s="22" t="s">
        <v>141</v>
      </c>
      <c r="AT64" s="75" t="s">
        <v>142</v>
      </c>
      <c r="AU64" s="79" t="s">
        <v>143</v>
      </c>
      <c r="AV64" s="80" t="s">
        <v>144</v>
      </c>
      <c r="AW64" s="81" t="s">
        <v>145</v>
      </c>
      <c r="AX64" s="82" t="s">
        <v>146</v>
      </c>
      <c r="AY64" s="83" t="s">
        <v>147</v>
      </c>
      <c r="AZ64" s="80" t="s">
        <v>104</v>
      </c>
      <c r="BA64" s="41" t="s">
        <v>105</v>
      </c>
      <c r="BB64" s="591" t="str">
        <f t="shared" si="0"/>
        <v>TEMPLATE</v>
      </c>
      <c r="BC64" s="591" t="str">
        <f t="shared" si="1"/>
        <v>2. Healthcare &amp; Life Sciences-SCFHS-SCFHS-SBOARD</v>
      </c>
      <c r="BD64" s="591" t="str">
        <f t="shared" si="2"/>
        <v>SCFHS-SCFHS-SBOARD</v>
      </c>
      <c r="BE64" s="591" t="str">
        <f t="shared" si="3"/>
        <v>NONE</v>
      </c>
      <c r="BF64" s="594">
        <f t="shared" si="4"/>
        <v>7</v>
      </c>
    </row>
    <row r="65" spans="1:58" ht="42" customHeight="1" x14ac:dyDescent="0.45">
      <c r="A65" s="42">
        <v>60</v>
      </c>
      <c r="B65" s="69" t="s">
        <v>1018</v>
      </c>
      <c r="C65" s="44" t="s">
        <v>1019</v>
      </c>
      <c r="D65" s="44" t="s">
        <v>571</v>
      </c>
      <c r="E65" s="69" t="s">
        <v>1072</v>
      </c>
      <c r="F65" s="45" t="s">
        <v>1073</v>
      </c>
      <c r="G65" s="44" t="s">
        <v>1074</v>
      </c>
      <c r="H65" s="44" t="s">
        <v>1075</v>
      </c>
      <c r="I65" s="46" t="s">
        <v>590</v>
      </c>
      <c r="J65" s="46" t="s">
        <v>310</v>
      </c>
      <c r="K65" s="44" t="s">
        <v>63</v>
      </c>
      <c r="L65" s="22" t="s">
        <v>64</v>
      </c>
      <c r="M65" s="44" t="s">
        <v>1059</v>
      </c>
      <c r="N65" s="55" t="s">
        <v>253</v>
      </c>
      <c r="O65" s="48" t="s">
        <v>1026</v>
      </c>
      <c r="P65" s="44" t="s">
        <v>1076</v>
      </c>
      <c r="Q65" s="70" t="s">
        <v>562</v>
      </c>
      <c r="R65" s="70" t="s">
        <v>563</v>
      </c>
      <c r="S65" s="71" t="s">
        <v>564</v>
      </c>
      <c r="T65" s="70" t="s">
        <v>565</v>
      </c>
      <c r="U65" s="25" t="s">
        <v>566</v>
      </c>
      <c r="V65" s="70" t="s">
        <v>282</v>
      </c>
      <c r="W65" s="72" t="s">
        <v>283</v>
      </c>
      <c r="X65" s="70" t="s">
        <v>284</v>
      </c>
      <c r="Y65" s="49" t="s">
        <v>285</v>
      </c>
      <c r="Z65" s="70" t="s">
        <v>286</v>
      </c>
      <c r="AA65" s="71" t="s">
        <v>286</v>
      </c>
      <c r="AB65" s="70" t="s">
        <v>287</v>
      </c>
      <c r="AC65" s="70" t="s">
        <v>288</v>
      </c>
      <c r="AD65" s="49" t="s">
        <v>289</v>
      </c>
      <c r="AE65" s="58" t="s">
        <v>290</v>
      </c>
      <c r="AF65" s="56" t="s">
        <v>291</v>
      </c>
      <c r="AG65" s="70" t="s">
        <v>292</v>
      </c>
      <c r="AH65" s="70" t="s">
        <v>293</v>
      </c>
      <c r="AI65" s="73" t="s">
        <v>215</v>
      </c>
      <c r="AJ65" s="70" t="s">
        <v>216</v>
      </c>
      <c r="AK65" s="74" t="s">
        <v>217</v>
      </c>
      <c r="AL65" s="75" t="s">
        <v>218</v>
      </c>
      <c r="AM65" s="76" t="s">
        <v>219</v>
      </c>
      <c r="AN65" s="50" t="s">
        <v>220</v>
      </c>
      <c r="AO65" s="77" t="s">
        <v>221</v>
      </c>
      <c r="AP65" s="51" t="s">
        <v>138</v>
      </c>
      <c r="AQ65" s="78" t="s">
        <v>139</v>
      </c>
      <c r="AR65" s="74" t="s">
        <v>140</v>
      </c>
      <c r="AS65" s="22" t="s">
        <v>141</v>
      </c>
      <c r="AT65" s="75" t="s">
        <v>142</v>
      </c>
      <c r="AU65" s="79" t="s">
        <v>143</v>
      </c>
      <c r="AV65" s="80" t="s">
        <v>144</v>
      </c>
      <c r="AW65" s="81" t="s">
        <v>145</v>
      </c>
      <c r="AX65" s="82" t="s">
        <v>146</v>
      </c>
      <c r="AY65" s="83" t="s">
        <v>147</v>
      </c>
      <c r="AZ65" s="80" t="s">
        <v>104</v>
      </c>
      <c r="BA65" s="41" t="s">
        <v>105</v>
      </c>
      <c r="BB65" s="591" t="str">
        <f t="shared" si="0"/>
        <v>TEMPLATE</v>
      </c>
      <c r="BC65" s="591" t="str">
        <f t="shared" si="1"/>
        <v>2. Healthcare &amp; Life Sciences-SCFHS-SCFHS-SCRUT</v>
      </c>
      <c r="BD65" s="591" t="str">
        <f t="shared" si="2"/>
        <v>SCFHS-SCFHS-SCRUT</v>
      </c>
      <c r="BE65" s="591" t="str">
        <f t="shared" si="3"/>
        <v>NONE</v>
      </c>
      <c r="BF65" s="594">
        <f t="shared" si="4"/>
        <v>7</v>
      </c>
    </row>
    <row r="66" spans="1:58" ht="42" customHeight="1" x14ac:dyDescent="0.45">
      <c r="A66" s="84">
        <v>61</v>
      </c>
      <c r="B66" s="85" t="s">
        <v>1018</v>
      </c>
      <c r="C66" s="70" t="s">
        <v>1019</v>
      </c>
      <c r="D66" s="70" t="s">
        <v>571</v>
      </c>
      <c r="E66" s="85" t="s">
        <v>1077</v>
      </c>
      <c r="F66" s="72" t="s">
        <v>1078</v>
      </c>
      <c r="G66" s="70" t="s">
        <v>1079</v>
      </c>
      <c r="H66" s="70" t="s">
        <v>1023</v>
      </c>
      <c r="I66" s="71" t="s">
        <v>887</v>
      </c>
      <c r="J66" s="71" t="s">
        <v>310</v>
      </c>
      <c r="K66" s="70" t="s">
        <v>63</v>
      </c>
      <c r="L66" s="22" t="s">
        <v>64</v>
      </c>
      <c r="M66" s="70" t="s">
        <v>1080</v>
      </c>
      <c r="N66" s="93" t="s">
        <v>253</v>
      </c>
      <c r="O66" s="87" t="s">
        <v>1026</v>
      </c>
      <c r="P66" s="70" t="s">
        <v>1076</v>
      </c>
      <c r="Q66" s="70" t="s">
        <v>562</v>
      </c>
      <c r="R66" s="70" t="s">
        <v>563</v>
      </c>
      <c r="S66" s="71" t="s">
        <v>564</v>
      </c>
      <c r="T66" s="70" t="s">
        <v>565</v>
      </c>
      <c r="U66" s="25" t="s">
        <v>566</v>
      </c>
      <c r="V66" s="70" t="s">
        <v>282</v>
      </c>
      <c r="W66" s="72" t="s">
        <v>283</v>
      </c>
      <c r="X66" s="70" t="s">
        <v>284</v>
      </c>
      <c r="Y66" s="49" t="s">
        <v>285</v>
      </c>
      <c r="Z66" s="70" t="s">
        <v>286</v>
      </c>
      <c r="AA66" s="71" t="s">
        <v>286</v>
      </c>
      <c r="AB66" s="70" t="s">
        <v>287</v>
      </c>
      <c r="AC66" s="70" t="s">
        <v>288</v>
      </c>
      <c r="AD66" s="49" t="s">
        <v>289</v>
      </c>
      <c r="AE66" s="58" t="s">
        <v>290</v>
      </c>
      <c r="AF66" s="56" t="s">
        <v>291</v>
      </c>
      <c r="AG66" s="70" t="s">
        <v>292</v>
      </c>
      <c r="AH66" s="70" t="s">
        <v>293</v>
      </c>
      <c r="AI66" s="73" t="s">
        <v>215</v>
      </c>
      <c r="AJ66" s="70" t="s">
        <v>216</v>
      </c>
      <c r="AK66" s="74" t="s">
        <v>217</v>
      </c>
      <c r="AL66" s="75" t="s">
        <v>218</v>
      </c>
      <c r="AM66" s="76" t="s">
        <v>219</v>
      </c>
      <c r="AN66" s="50" t="s">
        <v>220</v>
      </c>
      <c r="AO66" s="77" t="s">
        <v>221</v>
      </c>
      <c r="AP66" s="51" t="s">
        <v>138</v>
      </c>
      <c r="AQ66" s="78" t="s">
        <v>139</v>
      </c>
      <c r="AR66" s="74" t="s">
        <v>140</v>
      </c>
      <c r="AS66" s="22" t="s">
        <v>141</v>
      </c>
      <c r="AT66" s="75" t="s">
        <v>142</v>
      </c>
      <c r="AU66" s="79" t="s">
        <v>143</v>
      </c>
      <c r="AV66" s="80" t="s">
        <v>144</v>
      </c>
      <c r="AW66" s="81" t="s">
        <v>145</v>
      </c>
      <c r="AX66" s="82" t="s">
        <v>146</v>
      </c>
      <c r="AY66" s="83" t="s">
        <v>147</v>
      </c>
      <c r="AZ66" s="80" t="s">
        <v>104</v>
      </c>
      <c r="BA66" s="41" t="s">
        <v>105</v>
      </c>
      <c r="BB66" s="591" t="str">
        <f t="shared" si="0"/>
        <v>TEMPLATE</v>
      </c>
      <c r="BC66" s="591" t="str">
        <f t="shared" si="1"/>
        <v>2. Healthcare &amp; Life Sciences-SCFHS-SCFHS-INTL</v>
      </c>
      <c r="BD66" s="591" t="str">
        <f t="shared" si="2"/>
        <v>SCFHS-SCFHS-INTL</v>
      </c>
      <c r="BE66" s="591" t="str">
        <f t="shared" si="3"/>
        <v>NONE</v>
      </c>
      <c r="BF66" s="594">
        <f t="shared" si="4"/>
        <v>7</v>
      </c>
    </row>
    <row r="67" spans="1:58" ht="42" customHeight="1" x14ac:dyDescent="0.45">
      <c r="A67" s="42">
        <v>62</v>
      </c>
      <c r="B67" s="69" t="s">
        <v>1018</v>
      </c>
      <c r="C67" s="44" t="s">
        <v>1019</v>
      </c>
      <c r="D67" s="44" t="s">
        <v>571</v>
      </c>
      <c r="E67" s="69" t="s">
        <v>557</v>
      </c>
      <c r="F67" s="45" t="s">
        <v>58</v>
      </c>
      <c r="G67" s="44" t="s">
        <v>59</v>
      </c>
      <c r="H67" s="44" t="s">
        <v>57</v>
      </c>
      <c r="I67" s="46" t="s">
        <v>61</v>
      </c>
      <c r="J67" s="46" t="s">
        <v>62</v>
      </c>
      <c r="K67" s="44" t="s">
        <v>558</v>
      </c>
      <c r="L67" s="66" t="s">
        <v>559</v>
      </c>
      <c r="M67" s="44" t="s">
        <v>1081</v>
      </c>
      <c r="N67" s="55" t="s">
        <v>253</v>
      </c>
      <c r="O67" s="48" t="s">
        <v>196</v>
      </c>
      <c r="P67" s="44" t="s">
        <v>561</v>
      </c>
      <c r="Q67" s="70" t="s">
        <v>562</v>
      </c>
      <c r="R67" s="70" t="s">
        <v>563</v>
      </c>
      <c r="S67" s="71" t="s">
        <v>564</v>
      </c>
      <c r="T67" s="70" t="s">
        <v>565</v>
      </c>
      <c r="U67" s="25" t="s">
        <v>566</v>
      </c>
      <c r="V67" s="70" t="s">
        <v>282</v>
      </c>
      <c r="W67" s="72" t="s">
        <v>283</v>
      </c>
      <c r="X67" s="70" t="s">
        <v>284</v>
      </c>
      <c r="Y67" s="49" t="s">
        <v>285</v>
      </c>
      <c r="Z67" s="70" t="s">
        <v>286</v>
      </c>
      <c r="AA67" s="71" t="s">
        <v>286</v>
      </c>
      <c r="AB67" s="70" t="s">
        <v>287</v>
      </c>
      <c r="AC67" s="70" t="s">
        <v>288</v>
      </c>
      <c r="AD67" s="49" t="s">
        <v>289</v>
      </c>
      <c r="AE67" s="58" t="s">
        <v>290</v>
      </c>
      <c r="AF67" s="56" t="s">
        <v>291</v>
      </c>
      <c r="AG67" s="70" t="s">
        <v>292</v>
      </c>
      <c r="AH67" s="70" t="s">
        <v>293</v>
      </c>
      <c r="AI67" s="73" t="s">
        <v>215</v>
      </c>
      <c r="AJ67" s="70" t="s">
        <v>216</v>
      </c>
      <c r="AK67" s="74" t="s">
        <v>217</v>
      </c>
      <c r="AL67" s="75" t="s">
        <v>218</v>
      </c>
      <c r="AM67" s="76" t="s">
        <v>219</v>
      </c>
      <c r="AN67" s="50" t="s">
        <v>220</v>
      </c>
      <c r="AO67" s="77" t="s">
        <v>221</v>
      </c>
      <c r="AP67" s="51" t="s">
        <v>138</v>
      </c>
      <c r="AQ67" s="78" t="s">
        <v>139</v>
      </c>
      <c r="AR67" s="74" t="s">
        <v>140</v>
      </c>
      <c r="AS67" s="22" t="s">
        <v>141</v>
      </c>
      <c r="AT67" s="75" t="s">
        <v>142</v>
      </c>
      <c r="AU67" s="79" t="s">
        <v>143</v>
      </c>
      <c r="AV67" s="80" t="s">
        <v>144</v>
      </c>
      <c r="AW67" s="81" t="s">
        <v>145</v>
      </c>
      <c r="AX67" s="82" t="s">
        <v>146</v>
      </c>
      <c r="AY67" s="83" t="s">
        <v>147</v>
      </c>
      <c r="AZ67" s="80" t="s">
        <v>567</v>
      </c>
      <c r="BA67" s="34" t="s">
        <v>320</v>
      </c>
      <c r="BB67" s="591" t="str">
        <f t="shared" si="0"/>
        <v>TEMPLATE</v>
      </c>
      <c r="BC67" s="591" t="str">
        <f t="shared" si="1"/>
        <v>2. Healthcare &amp; Life Sciences-SCFHS-NCA-ECC-2:2024</v>
      </c>
      <c r="BD67" s="591" t="str">
        <f t="shared" si="2"/>
        <v>SCFHS-NCA-ECC-2-2024</v>
      </c>
      <c r="BE67" s="591" t="str">
        <f t="shared" si="3"/>
        <v>NCA-ECC-2-2024</v>
      </c>
      <c r="BF67" s="594">
        <f t="shared" si="4"/>
        <v>7</v>
      </c>
    </row>
    <row r="68" spans="1:58" ht="42" customHeight="1" x14ac:dyDescent="0.45">
      <c r="A68" s="84">
        <v>63</v>
      </c>
      <c r="B68" s="85" t="s">
        <v>1018</v>
      </c>
      <c r="C68" s="70" t="s">
        <v>1019</v>
      </c>
      <c r="D68" s="70" t="s">
        <v>571</v>
      </c>
      <c r="E68" s="85" t="s">
        <v>382</v>
      </c>
      <c r="F68" s="72" t="s">
        <v>383</v>
      </c>
      <c r="G68" s="70" t="s">
        <v>384</v>
      </c>
      <c r="H68" s="70" t="s">
        <v>765</v>
      </c>
      <c r="I68" s="71" t="s">
        <v>250</v>
      </c>
      <c r="J68" s="71" t="s">
        <v>386</v>
      </c>
      <c r="K68" s="70" t="s">
        <v>558</v>
      </c>
      <c r="L68" s="66" t="s">
        <v>559</v>
      </c>
      <c r="M68" s="70" t="s">
        <v>1082</v>
      </c>
      <c r="N68" s="93" t="s">
        <v>253</v>
      </c>
      <c r="O68" s="87" t="s">
        <v>540</v>
      </c>
      <c r="P68" s="70" t="s">
        <v>380</v>
      </c>
      <c r="Q68" s="70" t="s">
        <v>390</v>
      </c>
      <c r="R68" s="70" t="s">
        <v>391</v>
      </c>
      <c r="S68" s="71" t="s">
        <v>392</v>
      </c>
      <c r="T68" s="70" t="s">
        <v>393</v>
      </c>
      <c r="U68" s="25" t="s">
        <v>394</v>
      </c>
      <c r="V68" s="70" t="s">
        <v>395</v>
      </c>
      <c r="W68" s="72" t="s">
        <v>396</v>
      </c>
      <c r="X68" s="70" t="s">
        <v>397</v>
      </c>
      <c r="Y68" s="49" t="s">
        <v>398</v>
      </c>
      <c r="Z68" s="70" t="s">
        <v>399</v>
      </c>
      <c r="AA68" s="71" t="s">
        <v>400</v>
      </c>
      <c r="AB68" s="70" t="s">
        <v>401</v>
      </c>
      <c r="AC68" s="70" t="s">
        <v>402</v>
      </c>
      <c r="AD68" s="49" t="s">
        <v>403</v>
      </c>
      <c r="AE68" s="50" t="s">
        <v>404</v>
      </c>
      <c r="AF68" s="60" t="s">
        <v>405</v>
      </c>
      <c r="AG68" s="70" t="s">
        <v>406</v>
      </c>
      <c r="AH68" s="70" t="s">
        <v>407</v>
      </c>
      <c r="AI68" s="73" t="s">
        <v>408</v>
      </c>
      <c r="AJ68" s="70" t="s">
        <v>409</v>
      </c>
      <c r="AK68" s="74" t="s">
        <v>410</v>
      </c>
      <c r="AL68" s="75" t="s">
        <v>411</v>
      </c>
      <c r="AM68" s="76" t="s">
        <v>412</v>
      </c>
      <c r="AN68" s="50" t="s">
        <v>413</v>
      </c>
      <c r="AO68" s="77" t="s">
        <v>414</v>
      </c>
      <c r="AP68" s="51" t="s">
        <v>415</v>
      </c>
      <c r="AQ68" s="78" t="s">
        <v>416</v>
      </c>
      <c r="AR68" s="74" t="s">
        <v>417</v>
      </c>
      <c r="AS68" s="22" t="s">
        <v>418</v>
      </c>
      <c r="AT68" s="75" t="s">
        <v>419</v>
      </c>
      <c r="AU68" s="79" t="s">
        <v>420</v>
      </c>
      <c r="AV68" s="80" t="s">
        <v>421</v>
      </c>
      <c r="AW68" s="81" t="s">
        <v>422</v>
      </c>
      <c r="AX68" s="82" t="s">
        <v>423</v>
      </c>
      <c r="AY68" s="83" t="s">
        <v>424</v>
      </c>
      <c r="AZ68" s="80" t="s">
        <v>425</v>
      </c>
      <c r="BA68" s="34" t="s">
        <v>320</v>
      </c>
      <c r="BB68" s="591" t="str">
        <f t="shared" si="0"/>
        <v>DEEP</v>
      </c>
      <c r="BC68" s="591" t="str">
        <f t="shared" si="1"/>
        <v>2. Healthcare &amp; Life Sciences-SCFHS-PDPL-2021</v>
      </c>
      <c r="BD68" s="591" t="str">
        <f t="shared" si="2"/>
        <v>SCFHS-PDPL-2021</v>
      </c>
      <c r="BE68" s="591" t="str">
        <f t="shared" si="3"/>
        <v>NONE</v>
      </c>
      <c r="BF68" s="594">
        <f t="shared" si="4"/>
        <v>14</v>
      </c>
    </row>
    <row r="69" spans="1:58" ht="42" customHeight="1" x14ac:dyDescent="0.45">
      <c r="A69" s="42">
        <v>64</v>
      </c>
      <c r="B69" s="69" t="s">
        <v>1083</v>
      </c>
      <c r="C69" s="44" t="s">
        <v>1084</v>
      </c>
      <c r="D69" s="44" t="s">
        <v>571</v>
      </c>
      <c r="E69" s="69" t="s">
        <v>1085</v>
      </c>
      <c r="F69" s="45" t="s">
        <v>1086</v>
      </c>
      <c r="G69" s="44" t="s">
        <v>1087</v>
      </c>
      <c r="H69" s="44" t="s">
        <v>1023</v>
      </c>
      <c r="I69" s="46" t="s">
        <v>1088</v>
      </c>
      <c r="J69" s="46" t="s">
        <v>1089</v>
      </c>
      <c r="K69" s="44" t="s">
        <v>63</v>
      </c>
      <c r="L69" s="22" t="s">
        <v>64</v>
      </c>
      <c r="M69" s="44" t="s">
        <v>1090</v>
      </c>
      <c r="N69" s="54" t="s">
        <v>154</v>
      </c>
      <c r="O69" s="48" t="s">
        <v>1091</v>
      </c>
      <c r="P69" s="44" t="s">
        <v>1092</v>
      </c>
      <c r="Q69" s="70" t="s">
        <v>1093</v>
      </c>
      <c r="R69" s="70" t="s">
        <v>1094</v>
      </c>
      <c r="S69" s="71" t="s">
        <v>1095</v>
      </c>
      <c r="T69" s="70" t="s">
        <v>1096</v>
      </c>
      <c r="U69" s="25" t="s">
        <v>666</v>
      </c>
      <c r="V69" s="70" t="s">
        <v>1097</v>
      </c>
      <c r="W69" s="72" t="s">
        <v>1098</v>
      </c>
      <c r="X69" s="70" t="s">
        <v>1099</v>
      </c>
      <c r="Y69" s="49" t="s">
        <v>1100</v>
      </c>
      <c r="Z69" s="70" t="s">
        <v>1101</v>
      </c>
      <c r="AA69" s="71" t="s">
        <v>1102</v>
      </c>
      <c r="AB69" s="70" t="s">
        <v>1103</v>
      </c>
      <c r="AC69" s="70" t="s">
        <v>1104</v>
      </c>
      <c r="AD69" s="49" t="s">
        <v>1105</v>
      </c>
      <c r="AE69" s="26" t="s">
        <v>675</v>
      </c>
      <c r="AF69" s="60" t="s">
        <v>1106</v>
      </c>
      <c r="AG69" s="70" t="s">
        <v>1107</v>
      </c>
      <c r="AH69" s="70" t="s">
        <v>1108</v>
      </c>
      <c r="AI69" s="73" t="s">
        <v>215</v>
      </c>
      <c r="AJ69" s="70" t="s">
        <v>216</v>
      </c>
      <c r="AK69" s="74" t="s">
        <v>217</v>
      </c>
      <c r="AL69" s="75" t="s">
        <v>218</v>
      </c>
      <c r="AM69" s="76" t="s">
        <v>219</v>
      </c>
      <c r="AN69" s="50" t="s">
        <v>220</v>
      </c>
      <c r="AO69" s="77" t="s">
        <v>221</v>
      </c>
      <c r="AP69" s="51" t="s">
        <v>1109</v>
      </c>
      <c r="AQ69" s="78" t="s">
        <v>1110</v>
      </c>
      <c r="AR69" s="74" t="s">
        <v>1111</v>
      </c>
      <c r="AS69" s="22" t="s">
        <v>1112</v>
      </c>
      <c r="AT69" s="75" t="s">
        <v>1113</v>
      </c>
      <c r="AU69" s="79" t="s">
        <v>1114</v>
      </c>
      <c r="AV69" s="80" t="s">
        <v>1115</v>
      </c>
      <c r="AW69" s="81" t="s">
        <v>1116</v>
      </c>
      <c r="AX69" s="82" t="s">
        <v>1117</v>
      </c>
      <c r="AY69" s="83" t="s">
        <v>1118</v>
      </c>
      <c r="AZ69" s="80" t="s">
        <v>1119</v>
      </c>
      <c r="BA69" s="41" t="s">
        <v>105</v>
      </c>
      <c r="BB69" s="591" t="str">
        <f t="shared" ref="BB69:BB132" si="5">IF(E69="","",IF(ISNUMBER(SEARCH("Institutional theory and regulatory governance theory underpin",AI69)),"TEMPLATE",IF(LEN(AI69)&gt;100,"DEEP",IF(AI69="","SPARSE","SHALLOW"))))</f>
        <v>TEMPLATE</v>
      </c>
      <c r="BC69" s="591" t="str">
        <f t="shared" ref="BC69:BC132" si="6">IF(E69="","",D69&amp;"-"&amp;B69&amp;"-"&amp;E69)</f>
        <v>2. Healthcare &amp; Life Sciences-CCHI-CCHI-HIR</v>
      </c>
      <c r="BD69" s="591" t="str">
        <f t="shared" ref="BD69:BD132" si="7">IF(E69="","",SUBSTITUTE(SUBSTITUTE(B69&amp;"-"&amp;E69," ",""),":","-"))</f>
        <v>CCHI-CCHI-HIR</v>
      </c>
      <c r="BE69" s="591" t="str">
        <f t="shared" ref="BE69:BE132" si="8">IF(E69="","",IF(ISNUMBER(SEARCH("ECC",E69)),"NCA-ECC-2-2024",IF(ISNUMBER(SEARCH("OTCC",E69)),"NCA-ECC-2-2024",IF(ISNUMBER(SEARCH("CCC",E69)),"NCA-ECC-2-2024",IF(ISNUMBER(SEARCH("DCC",E69)),"NCA-ECC-2-2024",IF(ISNUMBER(SEARCH("CSCC",E69)),"NCA-ECC-2-2024",IF(ISNUMBER(SEARCH("PDPL-IR",E69)),"PDPL-2021",IF(ISNUMBER(SEARCH("PDPL-DTR",E69)),"PDPL-2021","NONE"))))))))</f>
        <v>NONE</v>
      </c>
      <c r="BF69" s="594">
        <f t="shared" ref="BF69:BF132" si="9">IF(E69="","",IF(BB69="DEEP",10,IF(BB69="SHALLOW",5,IF(BB69="TEMPLATE",3,1)))+IF(N69="HIGHEST",5,IF(N69="HIGH",3,IF(N69="MODERATE",1,0)))+IF(ISNUMBER(SEARCH("Mandatory",L69)),3,0))</f>
        <v>9</v>
      </c>
    </row>
    <row r="70" spans="1:58" ht="42" customHeight="1" x14ac:dyDescent="0.45">
      <c r="A70" s="84">
        <v>65</v>
      </c>
      <c r="B70" s="85" t="s">
        <v>1083</v>
      </c>
      <c r="C70" s="70" t="s">
        <v>1084</v>
      </c>
      <c r="D70" s="70" t="s">
        <v>571</v>
      </c>
      <c r="E70" s="85" t="s">
        <v>1120</v>
      </c>
      <c r="F70" s="72" t="s">
        <v>1121</v>
      </c>
      <c r="G70" s="70" t="s">
        <v>1122</v>
      </c>
      <c r="H70" s="70" t="s">
        <v>1123</v>
      </c>
      <c r="I70" s="71" t="s">
        <v>61</v>
      </c>
      <c r="J70" s="71" t="s">
        <v>226</v>
      </c>
      <c r="K70" s="70" t="s">
        <v>63</v>
      </c>
      <c r="L70" s="22" t="s">
        <v>64</v>
      </c>
      <c r="M70" s="70" t="s">
        <v>1124</v>
      </c>
      <c r="N70" s="88" t="s">
        <v>154</v>
      </c>
      <c r="O70" s="87" t="s">
        <v>1091</v>
      </c>
      <c r="P70" s="70" t="s">
        <v>694</v>
      </c>
      <c r="Q70" s="70" t="s">
        <v>1125</v>
      </c>
      <c r="R70" s="70" t="s">
        <v>1126</v>
      </c>
      <c r="S70" s="71" t="s">
        <v>1127</v>
      </c>
      <c r="T70" s="70" t="s">
        <v>1128</v>
      </c>
      <c r="U70" s="25" t="s">
        <v>1129</v>
      </c>
      <c r="V70" s="70" t="s">
        <v>282</v>
      </c>
      <c r="W70" s="72" t="s">
        <v>283</v>
      </c>
      <c r="X70" s="70" t="s">
        <v>284</v>
      </c>
      <c r="Y70" s="49" t="s">
        <v>285</v>
      </c>
      <c r="Z70" s="70" t="s">
        <v>286</v>
      </c>
      <c r="AA70" s="71" t="s">
        <v>286</v>
      </c>
      <c r="AB70" s="70" t="s">
        <v>287</v>
      </c>
      <c r="AC70" s="70" t="s">
        <v>288</v>
      </c>
      <c r="AD70" s="49" t="s">
        <v>289</v>
      </c>
      <c r="AE70" s="58" t="s">
        <v>290</v>
      </c>
      <c r="AF70" s="56" t="s">
        <v>291</v>
      </c>
      <c r="AG70" s="70" t="s">
        <v>292</v>
      </c>
      <c r="AH70" s="70" t="s">
        <v>293</v>
      </c>
      <c r="AI70" s="73" t="s">
        <v>215</v>
      </c>
      <c r="AJ70" s="70" t="s">
        <v>216</v>
      </c>
      <c r="AK70" s="74" t="s">
        <v>217</v>
      </c>
      <c r="AL70" s="75" t="s">
        <v>218</v>
      </c>
      <c r="AM70" s="76" t="s">
        <v>219</v>
      </c>
      <c r="AN70" s="50" t="s">
        <v>220</v>
      </c>
      <c r="AO70" s="77" t="s">
        <v>221</v>
      </c>
      <c r="AP70" s="51" t="s">
        <v>138</v>
      </c>
      <c r="AQ70" s="78" t="s">
        <v>139</v>
      </c>
      <c r="AR70" s="74" t="s">
        <v>140</v>
      </c>
      <c r="AS70" s="22" t="s">
        <v>141</v>
      </c>
      <c r="AT70" s="75" t="s">
        <v>142</v>
      </c>
      <c r="AU70" s="79" t="s">
        <v>143</v>
      </c>
      <c r="AV70" s="80" t="s">
        <v>144</v>
      </c>
      <c r="AW70" s="81" t="s">
        <v>145</v>
      </c>
      <c r="AX70" s="82" t="s">
        <v>146</v>
      </c>
      <c r="AY70" s="83" t="s">
        <v>147</v>
      </c>
      <c r="AZ70" s="80" t="s">
        <v>1130</v>
      </c>
      <c r="BA70" s="41" t="s">
        <v>105</v>
      </c>
      <c r="BB70" s="591" t="str">
        <f t="shared" si="5"/>
        <v>TEMPLATE</v>
      </c>
      <c r="BC70" s="591" t="str">
        <f t="shared" si="6"/>
        <v>2. Healthcare &amp; Life Sciences-CCHI-CCHI-UBP</v>
      </c>
      <c r="BD70" s="591" t="str">
        <f t="shared" si="7"/>
        <v>CCHI-CCHI-UBP</v>
      </c>
      <c r="BE70" s="591" t="str">
        <f t="shared" si="8"/>
        <v>NONE</v>
      </c>
      <c r="BF70" s="594">
        <f t="shared" si="9"/>
        <v>9</v>
      </c>
    </row>
    <row r="71" spans="1:58" ht="42" customHeight="1" x14ac:dyDescent="0.45">
      <c r="A71" s="42">
        <v>66</v>
      </c>
      <c r="B71" s="69" t="s">
        <v>1083</v>
      </c>
      <c r="C71" s="44" t="s">
        <v>1084</v>
      </c>
      <c r="D71" s="44" t="s">
        <v>571</v>
      </c>
      <c r="E71" s="69" t="s">
        <v>1131</v>
      </c>
      <c r="F71" s="45" t="s">
        <v>1132</v>
      </c>
      <c r="G71" s="44" t="s">
        <v>1133</v>
      </c>
      <c r="H71" s="44" t="s">
        <v>1123</v>
      </c>
      <c r="I71" s="46" t="s">
        <v>337</v>
      </c>
      <c r="J71" s="46" t="s">
        <v>1134</v>
      </c>
      <c r="K71" s="44" t="s">
        <v>63</v>
      </c>
      <c r="L71" s="22" t="s">
        <v>64</v>
      </c>
      <c r="M71" s="44" t="s">
        <v>1124</v>
      </c>
      <c r="N71" s="55" t="s">
        <v>253</v>
      </c>
      <c r="O71" s="48" t="s">
        <v>1091</v>
      </c>
      <c r="P71" s="44" t="s">
        <v>694</v>
      </c>
      <c r="Q71" s="70" t="s">
        <v>1135</v>
      </c>
      <c r="R71" s="70" t="s">
        <v>1136</v>
      </c>
      <c r="S71" s="71" t="s">
        <v>1137</v>
      </c>
      <c r="T71" s="70" t="s">
        <v>1138</v>
      </c>
      <c r="U71" s="25" t="s">
        <v>1139</v>
      </c>
      <c r="V71" s="70" t="s">
        <v>282</v>
      </c>
      <c r="W71" s="72" t="s">
        <v>283</v>
      </c>
      <c r="X71" s="70" t="s">
        <v>284</v>
      </c>
      <c r="Y71" s="49" t="s">
        <v>285</v>
      </c>
      <c r="Z71" s="70" t="s">
        <v>286</v>
      </c>
      <c r="AA71" s="71" t="s">
        <v>286</v>
      </c>
      <c r="AB71" s="70" t="s">
        <v>287</v>
      </c>
      <c r="AC71" s="70" t="s">
        <v>288</v>
      </c>
      <c r="AD71" s="49" t="s">
        <v>289</v>
      </c>
      <c r="AE71" s="58" t="s">
        <v>290</v>
      </c>
      <c r="AF71" s="56" t="s">
        <v>291</v>
      </c>
      <c r="AG71" s="70" t="s">
        <v>292</v>
      </c>
      <c r="AH71" s="70" t="s">
        <v>293</v>
      </c>
      <c r="AI71" s="73" t="s">
        <v>215</v>
      </c>
      <c r="AJ71" s="70" t="s">
        <v>216</v>
      </c>
      <c r="AK71" s="74" t="s">
        <v>217</v>
      </c>
      <c r="AL71" s="75" t="s">
        <v>218</v>
      </c>
      <c r="AM71" s="76" t="s">
        <v>219</v>
      </c>
      <c r="AN71" s="50" t="s">
        <v>220</v>
      </c>
      <c r="AO71" s="77" t="s">
        <v>221</v>
      </c>
      <c r="AP71" s="51" t="s">
        <v>138</v>
      </c>
      <c r="AQ71" s="78" t="s">
        <v>139</v>
      </c>
      <c r="AR71" s="74" t="s">
        <v>140</v>
      </c>
      <c r="AS71" s="22" t="s">
        <v>141</v>
      </c>
      <c r="AT71" s="75" t="s">
        <v>142</v>
      </c>
      <c r="AU71" s="79" t="s">
        <v>143</v>
      </c>
      <c r="AV71" s="80" t="s">
        <v>144</v>
      </c>
      <c r="AW71" s="81" t="s">
        <v>145</v>
      </c>
      <c r="AX71" s="82" t="s">
        <v>146</v>
      </c>
      <c r="AY71" s="83" t="s">
        <v>147</v>
      </c>
      <c r="AZ71" s="80" t="s">
        <v>104</v>
      </c>
      <c r="BA71" s="41" t="s">
        <v>105</v>
      </c>
      <c r="BB71" s="591" t="str">
        <f t="shared" si="5"/>
        <v>TEMPLATE</v>
      </c>
      <c r="BC71" s="591" t="str">
        <f t="shared" si="6"/>
        <v>2. Healthcare &amp; Life Sciences-CCHI-CCHI-DCS</v>
      </c>
      <c r="BD71" s="591" t="str">
        <f t="shared" si="7"/>
        <v>CCHI-CCHI-DCS</v>
      </c>
      <c r="BE71" s="591" t="str">
        <f t="shared" si="8"/>
        <v>NONE</v>
      </c>
      <c r="BF71" s="594">
        <f t="shared" si="9"/>
        <v>7</v>
      </c>
    </row>
    <row r="72" spans="1:58" ht="42" customHeight="1" x14ac:dyDescent="0.45">
      <c r="A72" s="84">
        <v>67</v>
      </c>
      <c r="B72" s="85" t="s">
        <v>1083</v>
      </c>
      <c r="C72" s="70" t="s">
        <v>1084</v>
      </c>
      <c r="D72" s="70" t="s">
        <v>571</v>
      </c>
      <c r="E72" s="85" t="s">
        <v>1140</v>
      </c>
      <c r="F72" s="72" t="s">
        <v>1141</v>
      </c>
      <c r="G72" s="70" t="s">
        <v>1142</v>
      </c>
      <c r="H72" s="70" t="s">
        <v>1023</v>
      </c>
      <c r="I72" s="71" t="s">
        <v>754</v>
      </c>
      <c r="J72" s="71" t="s">
        <v>743</v>
      </c>
      <c r="K72" s="70" t="s">
        <v>63</v>
      </c>
      <c r="L72" s="22" t="s">
        <v>64</v>
      </c>
      <c r="M72" s="70" t="s">
        <v>1143</v>
      </c>
      <c r="N72" s="93" t="s">
        <v>253</v>
      </c>
      <c r="O72" s="87" t="s">
        <v>1091</v>
      </c>
      <c r="P72" s="70" t="s">
        <v>1144</v>
      </c>
      <c r="Q72" s="70" t="s">
        <v>562</v>
      </c>
      <c r="R72" s="70" t="s">
        <v>563</v>
      </c>
      <c r="S72" s="71" t="s">
        <v>564</v>
      </c>
      <c r="T72" s="70" t="s">
        <v>565</v>
      </c>
      <c r="U72" s="25" t="s">
        <v>566</v>
      </c>
      <c r="V72" s="70" t="s">
        <v>282</v>
      </c>
      <c r="W72" s="72" t="s">
        <v>283</v>
      </c>
      <c r="X72" s="70" t="s">
        <v>284</v>
      </c>
      <c r="Y72" s="49" t="s">
        <v>285</v>
      </c>
      <c r="Z72" s="70" t="s">
        <v>286</v>
      </c>
      <c r="AA72" s="71" t="s">
        <v>286</v>
      </c>
      <c r="AB72" s="70" t="s">
        <v>287</v>
      </c>
      <c r="AC72" s="70" t="s">
        <v>288</v>
      </c>
      <c r="AD72" s="49" t="s">
        <v>289</v>
      </c>
      <c r="AE72" s="58" t="s">
        <v>290</v>
      </c>
      <c r="AF72" s="56" t="s">
        <v>291</v>
      </c>
      <c r="AG72" s="70" t="s">
        <v>292</v>
      </c>
      <c r="AH72" s="70" t="s">
        <v>293</v>
      </c>
      <c r="AI72" s="73" t="s">
        <v>215</v>
      </c>
      <c r="AJ72" s="70" t="s">
        <v>216</v>
      </c>
      <c r="AK72" s="74" t="s">
        <v>217</v>
      </c>
      <c r="AL72" s="75" t="s">
        <v>218</v>
      </c>
      <c r="AM72" s="76" t="s">
        <v>219</v>
      </c>
      <c r="AN72" s="50" t="s">
        <v>220</v>
      </c>
      <c r="AO72" s="77" t="s">
        <v>221</v>
      </c>
      <c r="AP72" s="51" t="s">
        <v>138</v>
      </c>
      <c r="AQ72" s="78" t="s">
        <v>139</v>
      </c>
      <c r="AR72" s="74" t="s">
        <v>140</v>
      </c>
      <c r="AS72" s="22" t="s">
        <v>141</v>
      </c>
      <c r="AT72" s="75" t="s">
        <v>142</v>
      </c>
      <c r="AU72" s="79" t="s">
        <v>143</v>
      </c>
      <c r="AV72" s="80" t="s">
        <v>144</v>
      </c>
      <c r="AW72" s="81" t="s">
        <v>145</v>
      </c>
      <c r="AX72" s="82" t="s">
        <v>146</v>
      </c>
      <c r="AY72" s="83" t="s">
        <v>147</v>
      </c>
      <c r="AZ72" s="80" t="s">
        <v>104</v>
      </c>
      <c r="BA72" s="41" t="s">
        <v>105</v>
      </c>
      <c r="BB72" s="591" t="str">
        <f t="shared" si="5"/>
        <v>TEMPLATE</v>
      </c>
      <c r="BC72" s="591" t="str">
        <f t="shared" si="6"/>
        <v>2. Healthcare &amp; Life Sciences-CCHI-CCHI-INSLIC</v>
      </c>
      <c r="BD72" s="591" t="str">
        <f t="shared" si="7"/>
        <v>CCHI-CCHI-INSLIC</v>
      </c>
      <c r="BE72" s="591" t="str">
        <f t="shared" si="8"/>
        <v>NONE</v>
      </c>
      <c r="BF72" s="594">
        <f t="shared" si="9"/>
        <v>7</v>
      </c>
    </row>
    <row r="73" spans="1:58" ht="42" customHeight="1" x14ac:dyDescent="0.45">
      <c r="A73" s="42">
        <v>68</v>
      </c>
      <c r="B73" s="69" t="s">
        <v>1083</v>
      </c>
      <c r="C73" s="44" t="s">
        <v>1084</v>
      </c>
      <c r="D73" s="44" t="s">
        <v>571</v>
      </c>
      <c r="E73" s="69" t="s">
        <v>1145</v>
      </c>
      <c r="F73" s="45" t="s">
        <v>1146</v>
      </c>
      <c r="G73" s="44" t="s">
        <v>1147</v>
      </c>
      <c r="H73" s="44" t="s">
        <v>1148</v>
      </c>
      <c r="I73" s="46" t="s">
        <v>658</v>
      </c>
      <c r="J73" s="46" t="s">
        <v>755</v>
      </c>
      <c r="K73" s="44" t="s">
        <v>63</v>
      </c>
      <c r="L73" s="22" t="s">
        <v>64</v>
      </c>
      <c r="M73" s="44" t="s">
        <v>1149</v>
      </c>
      <c r="N73" s="55" t="s">
        <v>253</v>
      </c>
      <c r="O73" s="48" t="s">
        <v>1091</v>
      </c>
      <c r="P73" s="44" t="s">
        <v>1144</v>
      </c>
      <c r="Q73" s="70" t="s">
        <v>562</v>
      </c>
      <c r="R73" s="70" t="s">
        <v>563</v>
      </c>
      <c r="S73" s="71" t="s">
        <v>564</v>
      </c>
      <c r="T73" s="70" t="s">
        <v>565</v>
      </c>
      <c r="U73" s="25" t="s">
        <v>566</v>
      </c>
      <c r="V73" s="70" t="s">
        <v>282</v>
      </c>
      <c r="W73" s="72" t="s">
        <v>283</v>
      </c>
      <c r="X73" s="70" t="s">
        <v>284</v>
      </c>
      <c r="Y73" s="49" t="s">
        <v>285</v>
      </c>
      <c r="Z73" s="70" t="s">
        <v>286</v>
      </c>
      <c r="AA73" s="71" t="s">
        <v>286</v>
      </c>
      <c r="AB73" s="70" t="s">
        <v>287</v>
      </c>
      <c r="AC73" s="70" t="s">
        <v>288</v>
      </c>
      <c r="AD73" s="49" t="s">
        <v>289</v>
      </c>
      <c r="AE73" s="58" t="s">
        <v>290</v>
      </c>
      <c r="AF73" s="56" t="s">
        <v>291</v>
      </c>
      <c r="AG73" s="70" t="s">
        <v>292</v>
      </c>
      <c r="AH73" s="70" t="s">
        <v>293</v>
      </c>
      <c r="AI73" s="73" t="s">
        <v>215</v>
      </c>
      <c r="AJ73" s="70" t="s">
        <v>216</v>
      </c>
      <c r="AK73" s="74" t="s">
        <v>217</v>
      </c>
      <c r="AL73" s="75" t="s">
        <v>218</v>
      </c>
      <c r="AM73" s="76" t="s">
        <v>219</v>
      </c>
      <c r="AN73" s="50" t="s">
        <v>220</v>
      </c>
      <c r="AO73" s="77" t="s">
        <v>221</v>
      </c>
      <c r="AP73" s="51" t="s">
        <v>138</v>
      </c>
      <c r="AQ73" s="78" t="s">
        <v>139</v>
      </c>
      <c r="AR73" s="74" t="s">
        <v>140</v>
      </c>
      <c r="AS73" s="22" t="s">
        <v>141</v>
      </c>
      <c r="AT73" s="75" t="s">
        <v>142</v>
      </c>
      <c r="AU73" s="79" t="s">
        <v>143</v>
      </c>
      <c r="AV73" s="80" t="s">
        <v>144</v>
      </c>
      <c r="AW73" s="81" t="s">
        <v>145</v>
      </c>
      <c r="AX73" s="82" t="s">
        <v>146</v>
      </c>
      <c r="AY73" s="83" t="s">
        <v>147</v>
      </c>
      <c r="AZ73" s="80" t="s">
        <v>104</v>
      </c>
      <c r="BA73" s="41" t="s">
        <v>105</v>
      </c>
      <c r="BB73" s="591" t="str">
        <f t="shared" si="5"/>
        <v>TEMPLATE</v>
      </c>
      <c r="BC73" s="591" t="str">
        <f t="shared" si="6"/>
        <v>2. Healthcare &amp; Life Sciences-CCHI-CCHI-PROVNET</v>
      </c>
      <c r="BD73" s="591" t="str">
        <f t="shared" si="7"/>
        <v>CCHI-CCHI-PROVNET</v>
      </c>
      <c r="BE73" s="591" t="str">
        <f t="shared" si="8"/>
        <v>NONE</v>
      </c>
      <c r="BF73" s="594">
        <f t="shared" si="9"/>
        <v>7</v>
      </c>
    </row>
    <row r="74" spans="1:58" ht="42" customHeight="1" x14ac:dyDescent="0.45">
      <c r="A74" s="84">
        <v>69</v>
      </c>
      <c r="B74" s="85" t="s">
        <v>1083</v>
      </c>
      <c r="C74" s="70" t="s">
        <v>1084</v>
      </c>
      <c r="D74" s="70" t="s">
        <v>571</v>
      </c>
      <c r="E74" s="85" t="s">
        <v>557</v>
      </c>
      <c r="F74" s="72" t="s">
        <v>58</v>
      </c>
      <c r="G74" s="70" t="s">
        <v>59</v>
      </c>
      <c r="H74" s="70" t="s">
        <v>57</v>
      </c>
      <c r="I74" s="71" t="s">
        <v>61</v>
      </c>
      <c r="J74" s="71" t="s">
        <v>62</v>
      </c>
      <c r="K74" s="70" t="s">
        <v>558</v>
      </c>
      <c r="L74" s="66" t="s">
        <v>559</v>
      </c>
      <c r="M74" s="70" t="s">
        <v>1150</v>
      </c>
      <c r="N74" s="88" t="s">
        <v>154</v>
      </c>
      <c r="O74" s="87" t="s">
        <v>196</v>
      </c>
      <c r="P74" s="70" t="s">
        <v>561</v>
      </c>
      <c r="Q74" s="70" t="s">
        <v>562</v>
      </c>
      <c r="R74" s="70" t="s">
        <v>563</v>
      </c>
      <c r="S74" s="71" t="s">
        <v>564</v>
      </c>
      <c r="T74" s="70" t="s">
        <v>565</v>
      </c>
      <c r="U74" s="25" t="s">
        <v>566</v>
      </c>
      <c r="V74" s="70" t="s">
        <v>282</v>
      </c>
      <c r="W74" s="72" t="s">
        <v>283</v>
      </c>
      <c r="X74" s="70" t="s">
        <v>284</v>
      </c>
      <c r="Y74" s="49" t="s">
        <v>285</v>
      </c>
      <c r="Z74" s="70" t="s">
        <v>286</v>
      </c>
      <c r="AA74" s="71" t="s">
        <v>286</v>
      </c>
      <c r="AB74" s="70" t="s">
        <v>287</v>
      </c>
      <c r="AC74" s="70" t="s">
        <v>288</v>
      </c>
      <c r="AD74" s="49" t="s">
        <v>289</v>
      </c>
      <c r="AE74" s="58" t="s">
        <v>290</v>
      </c>
      <c r="AF74" s="56" t="s">
        <v>291</v>
      </c>
      <c r="AG74" s="70" t="s">
        <v>292</v>
      </c>
      <c r="AH74" s="70" t="s">
        <v>293</v>
      </c>
      <c r="AI74" s="73" t="s">
        <v>215</v>
      </c>
      <c r="AJ74" s="70" t="s">
        <v>216</v>
      </c>
      <c r="AK74" s="74" t="s">
        <v>217</v>
      </c>
      <c r="AL74" s="75" t="s">
        <v>218</v>
      </c>
      <c r="AM74" s="76" t="s">
        <v>219</v>
      </c>
      <c r="AN74" s="50" t="s">
        <v>220</v>
      </c>
      <c r="AO74" s="77" t="s">
        <v>221</v>
      </c>
      <c r="AP74" s="51" t="s">
        <v>138</v>
      </c>
      <c r="AQ74" s="78" t="s">
        <v>139</v>
      </c>
      <c r="AR74" s="74" t="s">
        <v>140</v>
      </c>
      <c r="AS74" s="22" t="s">
        <v>141</v>
      </c>
      <c r="AT74" s="75" t="s">
        <v>142</v>
      </c>
      <c r="AU74" s="79" t="s">
        <v>143</v>
      </c>
      <c r="AV74" s="80" t="s">
        <v>144</v>
      </c>
      <c r="AW74" s="81" t="s">
        <v>145</v>
      </c>
      <c r="AX74" s="82" t="s">
        <v>146</v>
      </c>
      <c r="AY74" s="83" t="s">
        <v>147</v>
      </c>
      <c r="AZ74" s="80" t="s">
        <v>567</v>
      </c>
      <c r="BA74" s="34" t="s">
        <v>320</v>
      </c>
      <c r="BB74" s="591" t="str">
        <f t="shared" si="5"/>
        <v>TEMPLATE</v>
      </c>
      <c r="BC74" s="591" t="str">
        <f t="shared" si="6"/>
        <v>2. Healthcare &amp; Life Sciences-CCHI-NCA-ECC-2:2024</v>
      </c>
      <c r="BD74" s="591" t="str">
        <f t="shared" si="7"/>
        <v>CCHI-NCA-ECC-2-2024</v>
      </c>
      <c r="BE74" s="591" t="str">
        <f t="shared" si="8"/>
        <v>NCA-ECC-2-2024</v>
      </c>
      <c r="BF74" s="594">
        <f t="shared" si="9"/>
        <v>9</v>
      </c>
    </row>
    <row r="75" spans="1:58" ht="42" customHeight="1" x14ac:dyDescent="0.45">
      <c r="A75" s="42">
        <v>70</v>
      </c>
      <c r="B75" s="69" t="s">
        <v>1083</v>
      </c>
      <c r="C75" s="44" t="s">
        <v>1084</v>
      </c>
      <c r="D75" s="44" t="s">
        <v>571</v>
      </c>
      <c r="E75" s="69" t="s">
        <v>382</v>
      </c>
      <c r="F75" s="45" t="s">
        <v>383</v>
      </c>
      <c r="G75" s="44" t="s">
        <v>384</v>
      </c>
      <c r="H75" s="44" t="s">
        <v>765</v>
      </c>
      <c r="I75" s="46" t="s">
        <v>250</v>
      </c>
      <c r="J75" s="46" t="s">
        <v>386</v>
      </c>
      <c r="K75" s="44" t="s">
        <v>558</v>
      </c>
      <c r="L75" s="66" t="s">
        <v>559</v>
      </c>
      <c r="M75" s="44" t="s">
        <v>1151</v>
      </c>
      <c r="N75" s="54" t="s">
        <v>154</v>
      </c>
      <c r="O75" s="48" t="s">
        <v>540</v>
      </c>
      <c r="P75" s="44" t="s">
        <v>767</v>
      </c>
      <c r="Q75" s="70" t="s">
        <v>390</v>
      </c>
      <c r="R75" s="70" t="s">
        <v>391</v>
      </c>
      <c r="S75" s="71" t="s">
        <v>392</v>
      </c>
      <c r="T75" s="70" t="s">
        <v>393</v>
      </c>
      <c r="U75" s="25" t="s">
        <v>394</v>
      </c>
      <c r="V75" s="70" t="s">
        <v>395</v>
      </c>
      <c r="W75" s="72" t="s">
        <v>396</v>
      </c>
      <c r="X75" s="70" t="s">
        <v>397</v>
      </c>
      <c r="Y75" s="49" t="s">
        <v>398</v>
      </c>
      <c r="Z75" s="70" t="s">
        <v>399</v>
      </c>
      <c r="AA75" s="71" t="s">
        <v>400</v>
      </c>
      <c r="AB75" s="70" t="s">
        <v>401</v>
      </c>
      <c r="AC75" s="70" t="s">
        <v>402</v>
      </c>
      <c r="AD75" s="49" t="s">
        <v>403</v>
      </c>
      <c r="AE75" s="50" t="s">
        <v>404</v>
      </c>
      <c r="AF75" s="60" t="s">
        <v>405</v>
      </c>
      <c r="AG75" s="70" t="s">
        <v>406</v>
      </c>
      <c r="AH75" s="70" t="s">
        <v>407</v>
      </c>
      <c r="AI75" s="73" t="s">
        <v>408</v>
      </c>
      <c r="AJ75" s="70" t="s">
        <v>409</v>
      </c>
      <c r="AK75" s="74" t="s">
        <v>410</v>
      </c>
      <c r="AL75" s="75" t="s">
        <v>411</v>
      </c>
      <c r="AM75" s="76" t="s">
        <v>412</v>
      </c>
      <c r="AN75" s="50" t="s">
        <v>413</v>
      </c>
      <c r="AO75" s="77" t="s">
        <v>414</v>
      </c>
      <c r="AP75" s="51" t="s">
        <v>415</v>
      </c>
      <c r="AQ75" s="78" t="s">
        <v>416</v>
      </c>
      <c r="AR75" s="74" t="s">
        <v>417</v>
      </c>
      <c r="AS75" s="22" t="s">
        <v>418</v>
      </c>
      <c r="AT75" s="75" t="s">
        <v>419</v>
      </c>
      <c r="AU75" s="79" t="s">
        <v>420</v>
      </c>
      <c r="AV75" s="80" t="s">
        <v>421</v>
      </c>
      <c r="AW75" s="81" t="s">
        <v>422</v>
      </c>
      <c r="AX75" s="82" t="s">
        <v>423</v>
      </c>
      <c r="AY75" s="83" t="s">
        <v>424</v>
      </c>
      <c r="AZ75" s="80" t="s">
        <v>425</v>
      </c>
      <c r="BA75" s="34" t="s">
        <v>320</v>
      </c>
      <c r="BB75" s="591" t="str">
        <f t="shared" si="5"/>
        <v>DEEP</v>
      </c>
      <c r="BC75" s="591" t="str">
        <f t="shared" si="6"/>
        <v>2. Healthcare &amp; Life Sciences-CCHI-PDPL-2021</v>
      </c>
      <c r="BD75" s="591" t="str">
        <f t="shared" si="7"/>
        <v>CCHI-PDPL-2021</v>
      </c>
      <c r="BE75" s="591" t="str">
        <f t="shared" si="8"/>
        <v>NONE</v>
      </c>
      <c r="BF75" s="594">
        <f t="shared" si="9"/>
        <v>16</v>
      </c>
    </row>
    <row r="76" spans="1:58" ht="42" customHeight="1" x14ac:dyDescent="0.45">
      <c r="A76" s="84">
        <v>71</v>
      </c>
      <c r="B76" s="85" t="s">
        <v>1083</v>
      </c>
      <c r="C76" s="70" t="s">
        <v>1084</v>
      </c>
      <c r="D76" s="70" t="s">
        <v>571</v>
      </c>
      <c r="E76" s="85" t="s">
        <v>1152</v>
      </c>
      <c r="F76" s="72" t="s">
        <v>1153</v>
      </c>
      <c r="G76" s="70" t="s">
        <v>1154</v>
      </c>
      <c r="H76" s="70" t="s">
        <v>1155</v>
      </c>
      <c r="I76" s="71" t="s">
        <v>1155</v>
      </c>
      <c r="J76" s="71" t="s">
        <v>1156</v>
      </c>
      <c r="K76" s="70" t="s">
        <v>558</v>
      </c>
      <c r="L76" s="66" t="s">
        <v>559</v>
      </c>
      <c r="M76" s="70" t="s">
        <v>1157</v>
      </c>
      <c r="N76" s="88" t="s">
        <v>154</v>
      </c>
      <c r="O76" s="87" t="s">
        <v>1158</v>
      </c>
      <c r="P76" s="70" t="s">
        <v>1159</v>
      </c>
      <c r="Q76" s="70" t="s">
        <v>1160</v>
      </c>
      <c r="R76" s="70" t="s">
        <v>1161</v>
      </c>
      <c r="S76" s="71" t="s">
        <v>1162</v>
      </c>
      <c r="T76" s="70" t="s">
        <v>1163</v>
      </c>
      <c r="U76" s="25" t="s">
        <v>1164</v>
      </c>
      <c r="V76" s="70" t="s">
        <v>1165</v>
      </c>
      <c r="W76" s="72" t="s">
        <v>1166</v>
      </c>
      <c r="X76" s="70" t="s">
        <v>1167</v>
      </c>
      <c r="Y76" s="49" t="s">
        <v>1168</v>
      </c>
      <c r="Z76" s="70" t="s">
        <v>1169</v>
      </c>
      <c r="AA76" s="71" t="s">
        <v>1170</v>
      </c>
      <c r="AB76" s="70" t="s">
        <v>1171</v>
      </c>
      <c r="AC76" s="70" t="s">
        <v>1172</v>
      </c>
      <c r="AD76" s="61" t="s">
        <v>1173</v>
      </c>
      <c r="AE76" s="26" t="s">
        <v>1174</v>
      </c>
      <c r="AF76" s="27" t="s">
        <v>1175</v>
      </c>
      <c r="AG76" s="70" t="s">
        <v>1176</v>
      </c>
      <c r="AH76" s="70" t="s">
        <v>1177</v>
      </c>
      <c r="AI76" s="73" t="s">
        <v>1178</v>
      </c>
      <c r="AJ76" s="70" t="s">
        <v>1179</v>
      </c>
      <c r="AK76" s="74" t="s">
        <v>1180</v>
      </c>
      <c r="AL76" s="75" t="s">
        <v>1181</v>
      </c>
      <c r="AM76" s="76" t="s">
        <v>1182</v>
      </c>
      <c r="AN76" s="50" t="s">
        <v>1183</v>
      </c>
      <c r="AO76" s="77" t="s">
        <v>1184</v>
      </c>
      <c r="AP76" s="34" t="s">
        <v>1185</v>
      </c>
      <c r="AQ76" s="78" t="s">
        <v>1186</v>
      </c>
      <c r="AR76" s="74" t="s">
        <v>1187</v>
      </c>
      <c r="AS76" s="61" t="s">
        <v>1188</v>
      </c>
      <c r="AT76" s="75" t="s">
        <v>1189</v>
      </c>
      <c r="AU76" s="79" t="s">
        <v>1190</v>
      </c>
      <c r="AV76" s="80" t="s">
        <v>1191</v>
      </c>
      <c r="AW76" s="81" t="s">
        <v>1192</v>
      </c>
      <c r="AX76" s="82" t="s">
        <v>1193</v>
      </c>
      <c r="AY76" s="83" t="s">
        <v>1194</v>
      </c>
      <c r="AZ76" s="80" t="s">
        <v>1195</v>
      </c>
      <c r="BA76" s="41" t="s">
        <v>105</v>
      </c>
      <c r="BB76" s="591" t="str">
        <f t="shared" si="5"/>
        <v>DEEP</v>
      </c>
      <c r="BC76" s="591" t="str">
        <f t="shared" si="6"/>
        <v>2. Healthcare &amp; Life Sciences-CCHI-SAMA-CSF</v>
      </c>
      <c r="BD76" s="591" t="str">
        <f t="shared" si="7"/>
        <v>CCHI-SAMA-CSF</v>
      </c>
      <c r="BE76" s="591" t="str">
        <f t="shared" si="8"/>
        <v>NONE</v>
      </c>
      <c r="BF76" s="594">
        <f t="shared" si="9"/>
        <v>16</v>
      </c>
    </row>
    <row r="77" spans="1:58" ht="42" customHeight="1" x14ac:dyDescent="0.45">
      <c r="A77" s="42">
        <v>72</v>
      </c>
      <c r="B77" s="69" t="s">
        <v>1196</v>
      </c>
      <c r="C77" s="44" t="s">
        <v>1197</v>
      </c>
      <c r="D77" s="44" t="s">
        <v>571</v>
      </c>
      <c r="E77" s="69" t="s">
        <v>1198</v>
      </c>
      <c r="F77" s="45" t="s">
        <v>1199</v>
      </c>
      <c r="G77" s="44" t="s">
        <v>1200</v>
      </c>
      <c r="H77" s="44" t="s">
        <v>1201</v>
      </c>
      <c r="I77" s="46" t="s">
        <v>1202</v>
      </c>
      <c r="J77" s="46" t="s">
        <v>310</v>
      </c>
      <c r="K77" s="44" t="s">
        <v>63</v>
      </c>
      <c r="L77" s="22" t="s">
        <v>64</v>
      </c>
      <c r="M77" s="44" t="s">
        <v>1203</v>
      </c>
      <c r="N77" s="47" t="s">
        <v>66</v>
      </c>
      <c r="O77" s="48" t="s">
        <v>1204</v>
      </c>
      <c r="P77" s="44" t="s">
        <v>1205</v>
      </c>
      <c r="Q77" s="70" t="s">
        <v>1206</v>
      </c>
      <c r="R77" s="70" t="s">
        <v>1207</v>
      </c>
      <c r="S77" s="71" t="s">
        <v>1208</v>
      </c>
      <c r="T77" s="70" t="s">
        <v>1209</v>
      </c>
      <c r="U77" s="65" t="s">
        <v>1210</v>
      </c>
      <c r="V77" s="70" t="s">
        <v>282</v>
      </c>
      <c r="W77" s="72" t="s">
        <v>283</v>
      </c>
      <c r="X77" s="70" t="s">
        <v>284</v>
      </c>
      <c r="Y77" s="49" t="s">
        <v>285</v>
      </c>
      <c r="Z77" s="70" t="s">
        <v>286</v>
      </c>
      <c r="AA77" s="71" t="s">
        <v>286</v>
      </c>
      <c r="AB77" s="70" t="s">
        <v>287</v>
      </c>
      <c r="AC77" s="70" t="s">
        <v>288</v>
      </c>
      <c r="AD77" s="49" t="s">
        <v>289</v>
      </c>
      <c r="AE77" s="58" t="s">
        <v>290</v>
      </c>
      <c r="AF77" s="56" t="s">
        <v>291</v>
      </c>
      <c r="AG77" s="70" t="s">
        <v>292</v>
      </c>
      <c r="AH77" s="70" t="s">
        <v>293</v>
      </c>
      <c r="AI77" s="73" t="s">
        <v>1211</v>
      </c>
      <c r="AJ77" s="70" t="s">
        <v>1212</v>
      </c>
      <c r="AK77" s="74" t="s">
        <v>1213</v>
      </c>
      <c r="AL77" s="75" t="s">
        <v>1214</v>
      </c>
      <c r="AM77" s="76" t="s">
        <v>1215</v>
      </c>
      <c r="AN77" s="50" t="s">
        <v>1216</v>
      </c>
      <c r="AO77" s="77" t="s">
        <v>1217</v>
      </c>
      <c r="AP77" s="62" t="s">
        <v>1218</v>
      </c>
      <c r="AQ77" s="78" t="s">
        <v>1219</v>
      </c>
      <c r="AR77" s="74" t="s">
        <v>1220</v>
      </c>
      <c r="AS77" s="22" t="s">
        <v>1221</v>
      </c>
      <c r="AT77" s="75" t="s">
        <v>1222</v>
      </c>
      <c r="AU77" s="79" t="s">
        <v>1223</v>
      </c>
      <c r="AV77" s="80" t="s">
        <v>1224</v>
      </c>
      <c r="AW77" s="81" t="s">
        <v>1225</v>
      </c>
      <c r="AX77" s="82" t="s">
        <v>1226</v>
      </c>
      <c r="AY77" s="83" t="s">
        <v>1227</v>
      </c>
      <c r="AZ77" s="80" t="s">
        <v>1228</v>
      </c>
      <c r="BA77" s="41" t="s">
        <v>105</v>
      </c>
      <c r="BB77" s="591" t="str">
        <f t="shared" si="5"/>
        <v>DEEP</v>
      </c>
      <c r="BC77" s="591" t="str">
        <f t="shared" si="6"/>
        <v>2. Healthcare &amp; Life Sciences-SHC-SHC-HSTP</v>
      </c>
      <c r="BD77" s="591" t="str">
        <f t="shared" si="7"/>
        <v>SHC-SHC-HSTP</v>
      </c>
      <c r="BE77" s="591" t="str">
        <f t="shared" si="8"/>
        <v>NONE</v>
      </c>
      <c r="BF77" s="594">
        <f t="shared" si="9"/>
        <v>18</v>
      </c>
    </row>
    <row r="78" spans="1:58" ht="42" customHeight="1" x14ac:dyDescent="0.45">
      <c r="A78" s="84">
        <v>73</v>
      </c>
      <c r="B78" s="85" t="s">
        <v>1196</v>
      </c>
      <c r="C78" s="70" t="s">
        <v>1197</v>
      </c>
      <c r="D78" s="70" t="s">
        <v>571</v>
      </c>
      <c r="E78" s="85" t="s">
        <v>1229</v>
      </c>
      <c r="F78" s="72" t="s">
        <v>1230</v>
      </c>
      <c r="G78" s="70" t="s">
        <v>1231</v>
      </c>
      <c r="H78" s="70" t="s">
        <v>263</v>
      </c>
      <c r="I78" s="71" t="s">
        <v>1155</v>
      </c>
      <c r="J78" s="71" t="s">
        <v>310</v>
      </c>
      <c r="K78" s="70" t="s">
        <v>63</v>
      </c>
      <c r="L78" s="64" t="s">
        <v>538</v>
      </c>
      <c r="M78" s="70" t="s">
        <v>1232</v>
      </c>
      <c r="N78" s="93" t="s">
        <v>253</v>
      </c>
      <c r="O78" s="87" t="s">
        <v>1204</v>
      </c>
      <c r="P78" s="70" t="s">
        <v>1233</v>
      </c>
      <c r="Q78" s="70" t="s">
        <v>562</v>
      </c>
      <c r="R78" s="70" t="s">
        <v>563</v>
      </c>
      <c r="S78" s="71" t="s">
        <v>564</v>
      </c>
      <c r="T78" s="70" t="s">
        <v>565</v>
      </c>
      <c r="U78" s="25" t="s">
        <v>566</v>
      </c>
      <c r="V78" s="70" t="s">
        <v>282</v>
      </c>
      <c r="W78" s="72" t="s">
        <v>283</v>
      </c>
      <c r="X78" s="70" t="s">
        <v>284</v>
      </c>
      <c r="Y78" s="49" t="s">
        <v>285</v>
      </c>
      <c r="Z78" s="70" t="s">
        <v>286</v>
      </c>
      <c r="AA78" s="71" t="s">
        <v>286</v>
      </c>
      <c r="AB78" s="70" t="s">
        <v>287</v>
      </c>
      <c r="AC78" s="70" t="s">
        <v>288</v>
      </c>
      <c r="AD78" s="49" t="s">
        <v>289</v>
      </c>
      <c r="AE78" s="58" t="s">
        <v>290</v>
      </c>
      <c r="AF78" s="56" t="s">
        <v>291</v>
      </c>
      <c r="AG78" s="70" t="s">
        <v>292</v>
      </c>
      <c r="AH78" s="70" t="s">
        <v>293</v>
      </c>
      <c r="AI78" s="73" t="s">
        <v>215</v>
      </c>
      <c r="AJ78" s="70" t="s">
        <v>216</v>
      </c>
      <c r="AK78" s="74" t="s">
        <v>217</v>
      </c>
      <c r="AL78" s="75" t="s">
        <v>218</v>
      </c>
      <c r="AM78" s="76" t="s">
        <v>219</v>
      </c>
      <c r="AN78" s="50" t="s">
        <v>220</v>
      </c>
      <c r="AO78" s="77" t="s">
        <v>221</v>
      </c>
      <c r="AP78" s="51" t="s">
        <v>138</v>
      </c>
      <c r="AQ78" s="78" t="s">
        <v>139</v>
      </c>
      <c r="AR78" s="74" t="s">
        <v>140</v>
      </c>
      <c r="AS78" s="22" t="s">
        <v>141</v>
      </c>
      <c r="AT78" s="75" t="s">
        <v>142</v>
      </c>
      <c r="AU78" s="79" t="s">
        <v>143</v>
      </c>
      <c r="AV78" s="80" t="s">
        <v>144</v>
      </c>
      <c r="AW78" s="81" t="s">
        <v>145</v>
      </c>
      <c r="AX78" s="82" t="s">
        <v>146</v>
      </c>
      <c r="AY78" s="83" t="s">
        <v>147</v>
      </c>
      <c r="AZ78" s="80" t="s">
        <v>104</v>
      </c>
      <c r="BA78" s="41" t="s">
        <v>105</v>
      </c>
      <c r="BB78" s="591" t="str">
        <f t="shared" si="5"/>
        <v>TEMPLATE</v>
      </c>
      <c r="BC78" s="591" t="str">
        <f t="shared" si="6"/>
        <v>2. Healthcare &amp; Life Sciences-SHC-SHC-NHAP</v>
      </c>
      <c r="BD78" s="591" t="str">
        <f t="shared" si="7"/>
        <v>SHC-SHC-NHAP</v>
      </c>
      <c r="BE78" s="591" t="str">
        <f t="shared" si="8"/>
        <v>NONE</v>
      </c>
      <c r="BF78" s="594">
        <f t="shared" si="9"/>
        <v>4</v>
      </c>
    </row>
    <row r="79" spans="1:58" ht="42" customHeight="1" x14ac:dyDescent="0.45">
      <c r="A79" s="42">
        <v>74</v>
      </c>
      <c r="B79" s="69" t="s">
        <v>1196</v>
      </c>
      <c r="C79" s="44" t="s">
        <v>1197</v>
      </c>
      <c r="D79" s="44" t="s">
        <v>571</v>
      </c>
      <c r="E79" s="69" t="s">
        <v>1234</v>
      </c>
      <c r="F79" s="45" t="s">
        <v>1235</v>
      </c>
      <c r="G79" s="44" t="s">
        <v>1236</v>
      </c>
      <c r="H79" s="44" t="s">
        <v>912</v>
      </c>
      <c r="I79" s="46" t="s">
        <v>61</v>
      </c>
      <c r="J79" s="46" t="s">
        <v>310</v>
      </c>
      <c r="K79" s="44" t="s">
        <v>63</v>
      </c>
      <c r="L79" s="64" t="s">
        <v>538</v>
      </c>
      <c r="M79" s="44" t="s">
        <v>1237</v>
      </c>
      <c r="N79" s="54" t="s">
        <v>154</v>
      </c>
      <c r="O79" s="48" t="s">
        <v>1204</v>
      </c>
      <c r="P79" s="44" t="s">
        <v>1233</v>
      </c>
      <c r="Q79" s="70" t="s">
        <v>562</v>
      </c>
      <c r="R79" s="70" t="s">
        <v>563</v>
      </c>
      <c r="S79" s="71" t="s">
        <v>564</v>
      </c>
      <c r="T79" s="70" t="s">
        <v>565</v>
      </c>
      <c r="U79" s="25" t="s">
        <v>566</v>
      </c>
      <c r="V79" s="70" t="s">
        <v>282</v>
      </c>
      <c r="W79" s="72" t="s">
        <v>283</v>
      </c>
      <c r="X79" s="70" t="s">
        <v>284</v>
      </c>
      <c r="Y79" s="49" t="s">
        <v>285</v>
      </c>
      <c r="Z79" s="70" t="s">
        <v>286</v>
      </c>
      <c r="AA79" s="71" t="s">
        <v>286</v>
      </c>
      <c r="AB79" s="70" t="s">
        <v>287</v>
      </c>
      <c r="AC79" s="70" t="s">
        <v>288</v>
      </c>
      <c r="AD79" s="49" t="s">
        <v>289</v>
      </c>
      <c r="AE79" s="58" t="s">
        <v>290</v>
      </c>
      <c r="AF79" s="56" t="s">
        <v>291</v>
      </c>
      <c r="AG79" s="70" t="s">
        <v>292</v>
      </c>
      <c r="AH79" s="70" t="s">
        <v>293</v>
      </c>
      <c r="AI79" s="73" t="s">
        <v>215</v>
      </c>
      <c r="AJ79" s="70" t="s">
        <v>216</v>
      </c>
      <c r="AK79" s="74" t="s">
        <v>217</v>
      </c>
      <c r="AL79" s="75" t="s">
        <v>218</v>
      </c>
      <c r="AM79" s="76" t="s">
        <v>219</v>
      </c>
      <c r="AN79" s="50" t="s">
        <v>220</v>
      </c>
      <c r="AO79" s="77" t="s">
        <v>221</v>
      </c>
      <c r="AP79" s="51" t="s">
        <v>138</v>
      </c>
      <c r="AQ79" s="78" t="s">
        <v>139</v>
      </c>
      <c r="AR79" s="74" t="s">
        <v>140</v>
      </c>
      <c r="AS79" s="22" t="s">
        <v>141</v>
      </c>
      <c r="AT79" s="75" t="s">
        <v>142</v>
      </c>
      <c r="AU79" s="79" t="s">
        <v>143</v>
      </c>
      <c r="AV79" s="80" t="s">
        <v>144</v>
      </c>
      <c r="AW79" s="81" t="s">
        <v>145</v>
      </c>
      <c r="AX79" s="82" t="s">
        <v>146</v>
      </c>
      <c r="AY79" s="83" t="s">
        <v>147</v>
      </c>
      <c r="AZ79" s="80" t="s">
        <v>104</v>
      </c>
      <c r="BA79" s="41" t="s">
        <v>105</v>
      </c>
      <c r="BB79" s="591" t="str">
        <f t="shared" si="5"/>
        <v>TEMPLATE</v>
      </c>
      <c r="BC79" s="591" t="str">
        <f t="shared" si="6"/>
        <v>2. Healthcare &amp; Life Sciences-SHC-SHC-QF</v>
      </c>
      <c r="BD79" s="591" t="str">
        <f t="shared" si="7"/>
        <v>SHC-SHC-QF</v>
      </c>
      <c r="BE79" s="591" t="str">
        <f t="shared" si="8"/>
        <v>NONE</v>
      </c>
      <c r="BF79" s="594">
        <f t="shared" si="9"/>
        <v>6</v>
      </c>
    </row>
    <row r="80" spans="1:58" ht="42" customHeight="1" x14ac:dyDescent="0.45">
      <c r="A80" s="84">
        <v>75</v>
      </c>
      <c r="B80" s="85" t="s">
        <v>1196</v>
      </c>
      <c r="C80" s="70" t="s">
        <v>1197</v>
      </c>
      <c r="D80" s="70" t="s">
        <v>571</v>
      </c>
      <c r="E80" s="85" t="s">
        <v>1238</v>
      </c>
      <c r="F80" s="72" t="s">
        <v>1239</v>
      </c>
      <c r="G80" s="70" t="s">
        <v>1240</v>
      </c>
      <c r="H80" s="70" t="s">
        <v>1075</v>
      </c>
      <c r="I80" s="71" t="s">
        <v>61</v>
      </c>
      <c r="J80" s="71" t="s">
        <v>310</v>
      </c>
      <c r="K80" s="70" t="s">
        <v>63</v>
      </c>
      <c r="L80" s="64" t="s">
        <v>538</v>
      </c>
      <c r="M80" s="70" t="s">
        <v>1241</v>
      </c>
      <c r="N80" s="88" t="s">
        <v>154</v>
      </c>
      <c r="O80" s="87" t="s">
        <v>1204</v>
      </c>
      <c r="P80" s="70" t="s">
        <v>1242</v>
      </c>
      <c r="Q80" s="70" t="s">
        <v>562</v>
      </c>
      <c r="R80" s="70" t="s">
        <v>563</v>
      </c>
      <c r="S80" s="71" t="s">
        <v>564</v>
      </c>
      <c r="T80" s="70" t="s">
        <v>565</v>
      </c>
      <c r="U80" s="25" t="s">
        <v>566</v>
      </c>
      <c r="V80" s="70" t="s">
        <v>282</v>
      </c>
      <c r="W80" s="72" t="s">
        <v>283</v>
      </c>
      <c r="X80" s="70" t="s">
        <v>284</v>
      </c>
      <c r="Y80" s="49" t="s">
        <v>285</v>
      </c>
      <c r="Z80" s="70" t="s">
        <v>286</v>
      </c>
      <c r="AA80" s="71" t="s">
        <v>286</v>
      </c>
      <c r="AB80" s="70" t="s">
        <v>287</v>
      </c>
      <c r="AC80" s="70" t="s">
        <v>288</v>
      </c>
      <c r="AD80" s="49" t="s">
        <v>289</v>
      </c>
      <c r="AE80" s="58" t="s">
        <v>290</v>
      </c>
      <c r="AF80" s="56" t="s">
        <v>291</v>
      </c>
      <c r="AG80" s="70" t="s">
        <v>292</v>
      </c>
      <c r="AH80" s="70" t="s">
        <v>293</v>
      </c>
      <c r="AI80" s="73" t="s">
        <v>215</v>
      </c>
      <c r="AJ80" s="70" t="s">
        <v>216</v>
      </c>
      <c r="AK80" s="74" t="s">
        <v>217</v>
      </c>
      <c r="AL80" s="75" t="s">
        <v>218</v>
      </c>
      <c r="AM80" s="76" t="s">
        <v>219</v>
      </c>
      <c r="AN80" s="50" t="s">
        <v>220</v>
      </c>
      <c r="AO80" s="77" t="s">
        <v>221</v>
      </c>
      <c r="AP80" s="51" t="s">
        <v>138</v>
      </c>
      <c r="AQ80" s="78" t="s">
        <v>139</v>
      </c>
      <c r="AR80" s="74" t="s">
        <v>140</v>
      </c>
      <c r="AS80" s="22" t="s">
        <v>141</v>
      </c>
      <c r="AT80" s="75" t="s">
        <v>142</v>
      </c>
      <c r="AU80" s="79" t="s">
        <v>143</v>
      </c>
      <c r="AV80" s="80" t="s">
        <v>144</v>
      </c>
      <c r="AW80" s="81" t="s">
        <v>145</v>
      </c>
      <c r="AX80" s="82" t="s">
        <v>146</v>
      </c>
      <c r="AY80" s="83" t="s">
        <v>147</v>
      </c>
      <c r="AZ80" s="80" t="s">
        <v>104</v>
      </c>
      <c r="BA80" s="41" t="s">
        <v>105</v>
      </c>
      <c r="BB80" s="591" t="str">
        <f t="shared" si="5"/>
        <v>TEMPLATE</v>
      </c>
      <c r="BC80" s="591" t="str">
        <f t="shared" si="6"/>
        <v>2. Healthcare &amp; Life Sciences-SHC-SHC-PRIV</v>
      </c>
      <c r="BD80" s="591" t="str">
        <f t="shared" si="7"/>
        <v>SHC-SHC-PRIV</v>
      </c>
      <c r="BE80" s="591" t="str">
        <f t="shared" si="8"/>
        <v>NONE</v>
      </c>
      <c r="BF80" s="594">
        <f t="shared" si="9"/>
        <v>6</v>
      </c>
    </row>
    <row r="81" spans="1:58" ht="42" customHeight="1" x14ac:dyDescent="0.45">
      <c r="A81" s="42">
        <v>76</v>
      </c>
      <c r="B81" s="69" t="s">
        <v>1196</v>
      </c>
      <c r="C81" s="44" t="s">
        <v>1197</v>
      </c>
      <c r="D81" s="44" t="s">
        <v>571</v>
      </c>
      <c r="E81" s="69" t="s">
        <v>557</v>
      </c>
      <c r="F81" s="45" t="s">
        <v>58</v>
      </c>
      <c r="G81" s="44" t="s">
        <v>59</v>
      </c>
      <c r="H81" s="44" t="s">
        <v>57</v>
      </c>
      <c r="I81" s="46" t="s">
        <v>61</v>
      </c>
      <c r="J81" s="46" t="s">
        <v>62</v>
      </c>
      <c r="K81" s="44" t="s">
        <v>558</v>
      </c>
      <c r="L81" s="66" t="s">
        <v>559</v>
      </c>
      <c r="M81" s="44" t="s">
        <v>1243</v>
      </c>
      <c r="N81" s="54" t="s">
        <v>154</v>
      </c>
      <c r="O81" s="48" t="s">
        <v>196</v>
      </c>
      <c r="P81" s="44" t="s">
        <v>561</v>
      </c>
      <c r="Q81" s="70" t="s">
        <v>562</v>
      </c>
      <c r="R81" s="70" t="s">
        <v>563</v>
      </c>
      <c r="S81" s="71" t="s">
        <v>564</v>
      </c>
      <c r="T81" s="70" t="s">
        <v>565</v>
      </c>
      <c r="U81" s="25" t="s">
        <v>566</v>
      </c>
      <c r="V81" s="70" t="s">
        <v>282</v>
      </c>
      <c r="W81" s="72" t="s">
        <v>283</v>
      </c>
      <c r="X81" s="70" t="s">
        <v>284</v>
      </c>
      <c r="Y81" s="49" t="s">
        <v>285</v>
      </c>
      <c r="Z81" s="70" t="s">
        <v>286</v>
      </c>
      <c r="AA81" s="71" t="s">
        <v>286</v>
      </c>
      <c r="AB81" s="70" t="s">
        <v>287</v>
      </c>
      <c r="AC81" s="70" t="s">
        <v>288</v>
      </c>
      <c r="AD81" s="49" t="s">
        <v>289</v>
      </c>
      <c r="AE81" s="58" t="s">
        <v>290</v>
      </c>
      <c r="AF81" s="56" t="s">
        <v>291</v>
      </c>
      <c r="AG81" s="70" t="s">
        <v>292</v>
      </c>
      <c r="AH81" s="70" t="s">
        <v>293</v>
      </c>
      <c r="AI81" s="73" t="s">
        <v>215</v>
      </c>
      <c r="AJ81" s="70" t="s">
        <v>216</v>
      </c>
      <c r="AK81" s="74" t="s">
        <v>217</v>
      </c>
      <c r="AL81" s="75" t="s">
        <v>218</v>
      </c>
      <c r="AM81" s="76" t="s">
        <v>219</v>
      </c>
      <c r="AN81" s="50" t="s">
        <v>220</v>
      </c>
      <c r="AO81" s="77" t="s">
        <v>221</v>
      </c>
      <c r="AP81" s="51" t="s">
        <v>138</v>
      </c>
      <c r="AQ81" s="78" t="s">
        <v>139</v>
      </c>
      <c r="AR81" s="74" t="s">
        <v>140</v>
      </c>
      <c r="AS81" s="22" t="s">
        <v>141</v>
      </c>
      <c r="AT81" s="75" t="s">
        <v>142</v>
      </c>
      <c r="AU81" s="79" t="s">
        <v>143</v>
      </c>
      <c r="AV81" s="80" t="s">
        <v>144</v>
      </c>
      <c r="AW81" s="81" t="s">
        <v>145</v>
      </c>
      <c r="AX81" s="82" t="s">
        <v>146</v>
      </c>
      <c r="AY81" s="83" t="s">
        <v>147</v>
      </c>
      <c r="AZ81" s="80" t="s">
        <v>567</v>
      </c>
      <c r="BA81" s="34" t="s">
        <v>320</v>
      </c>
      <c r="BB81" s="591" t="str">
        <f t="shared" si="5"/>
        <v>TEMPLATE</v>
      </c>
      <c r="BC81" s="591" t="str">
        <f t="shared" si="6"/>
        <v>2. Healthcare &amp; Life Sciences-SHC-NCA-ECC-2:2024</v>
      </c>
      <c r="BD81" s="591" t="str">
        <f t="shared" si="7"/>
        <v>SHC-NCA-ECC-2-2024</v>
      </c>
      <c r="BE81" s="591" t="str">
        <f t="shared" si="8"/>
        <v>NCA-ECC-2-2024</v>
      </c>
      <c r="BF81" s="594">
        <f t="shared" si="9"/>
        <v>9</v>
      </c>
    </row>
    <row r="82" spans="1:58" ht="42" customHeight="1" x14ac:dyDescent="0.45">
      <c r="A82" s="84">
        <v>77</v>
      </c>
      <c r="B82" s="85" t="s">
        <v>1244</v>
      </c>
      <c r="C82" s="70" t="s">
        <v>1245</v>
      </c>
      <c r="D82" s="70" t="s">
        <v>571</v>
      </c>
      <c r="E82" s="85" t="s">
        <v>1246</v>
      </c>
      <c r="F82" s="72" t="s">
        <v>1247</v>
      </c>
      <c r="G82" s="70" t="s">
        <v>1248</v>
      </c>
      <c r="H82" s="70" t="s">
        <v>633</v>
      </c>
      <c r="I82" s="71" t="s">
        <v>61</v>
      </c>
      <c r="J82" s="71" t="s">
        <v>194</v>
      </c>
      <c r="K82" s="70" t="s">
        <v>63</v>
      </c>
      <c r="L82" s="22" t="s">
        <v>64</v>
      </c>
      <c r="M82" s="70" t="s">
        <v>1249</v>
      </c>
      <c r="N82" s="86" t="s">
        <v>66</v>
      </c>
      <c r="O82" s="87" t="s">
        <v>1250</v>
      </c>
      <c r="P82" s="70" t="s">
        <v>1251</v>
      </c>
      <c r="Q82" s="70" t="s">
        <v>1252</v>
      </c>
      <c r="R82" s="70" t="s">
        <v>1253</v>
      </c>
      <c r="S82" s="71" t="s">
        <v>1254</v>
      </c>
      <c r="T82" s="70" t="s">
        <v>1255</v>
      </c>
      <c r="U82" s="25" t="s">
        <v>1256</v>
      </c>
      <c r="V82" s="70" t="s">
        <v>1257</v>
      </c>
      <c r="W82" s="72" t="s">
        <v>1258</v>
      </c>
      <c r="X82" s="70" t="s">
        <v>1259</v>
      </c>
      <c r="Y82" s="22" t="s">
        <v>205</v>
      </c>
      <c r="Z82" s="70" t="s">
        <v>1260</v>
      </c>
      <c r="AA82" s="71" t="s">
        <v>1261</v>
      </c>
      <c r="AB82" s="70" t="s">
        <v>1262</v>
      </c>
      <c r="AC82" s="70" t="s">
        <v>1263</v>
      </c>
      <c r="AD82" s="49" t="s">
        <v>650</v>
      </c>
      <c r="AE82" s="37" t="s">
        <v>1264</v>
      </c>
      <c r="AF82" s="27" t="s">
        <v>1265</v>
      </c>
      <c r="AG82" s="70" t="s">
        <v>1266</v>
      </c>
      <c r="AH82" s="70" t="s">
        <v>1267</v>
      </c>
      <c r="AI82" s="73" t="s">
        <v>4843</v>
      </c>
      <c r="AJ82" s="70" t="s">
        <v>4844</v>
      </c>
      <c r="AK82" s="74" t="s">
        <v>4845</v>
      </c>
      <c r="AL82" s="75" t="s">
        <v>218</v>
      </c>
      <c r="AM82" s="76" t="s">
        <v>4846</v>
      </c>
      <c r="AN82" s="50" t="s">
        <v>220</v>
      </c>
      <c r="AO82" s="77" t="s">
        <v>4847</v>
      </c>
      <c r="AP82" s="51" t="s">
        <v>138</v>
      </c>
      <c r="AQ82" s="78" t="s">
        <v>139</v>
      </c>
      <c r="AR82" s="74" t="s">
        <v>140</v>
      </c>
      <c r="AS82" s="22" t="s">
        <v>141</v>
      </c>
      <c r="AT82" s="75" t="s">
        <v>142</v>
      </c>
      <c r="AU82" s="79" t="s">
        <v>143</v>
      </c>
      <c r="AV82" s="80" t="s">
        <v>144</v>
      </c>
      <c r="AW82" s="81" t="s">
        <v>145</v>
      </c>
      <c r="AX82" s="82" t="s">
        <v>146</v>
      </c>
      <c r="AY82" s="83" t="s">
        <v>147</v>
      </c>
      <c r="AZ82" s="80" t="s">
        <v>585</v>
      </c>
      <c r="BA82" s="41" t="s">
        <v>105</v>
      </c>
      <c r="BB82" s="591" t="str">
        <f t="shared" si="5"/>
        <v>DEEP</v>
      </c>
      <c r="BC82" s="591" t="str">
        <f t="shared" si="6"/>
        <v>2. Healthcare &amp; Life Sciences-NHIC-NHIC-NABIDH</v>
      </c>
      <c r="BD82" s="591" t="str">
        <f t="shared" si="7"/>
        <v>NHIC-NHIC-NABIDH</v>
      </c>
      <c r="BE82" s="591" t="str">
        <f t="shared" si="8"/>
        <v>NONE</v>
      </c>
      <c r="BF82" s="594">
        <f t="shared" si="9"/>
        <v>18</v>
      </c>
    </row>
    <row r="83" spans="1:58" ht="42" customHeight="1" x14ac:dyDescent="0.45">
      <c r="A83" s="42">
        <v>78</v>
      </c>
      <c r="B83" s="69" t="s">
        <v>1244</v>
      </c>
      <c r="C83" s="44" t="s">
        <v>1245</v>
      </c>
      <c r="D83" s="44" t="s">
        <v>571</v>
      </c>
      <c r="E83" s="69" t="s">
        <v>1268</v>
      </c>
      <c r="F83" s="45" t="s">
        <v>1269</v>
      </c>
      <c r="G83" s="44" t="s">
        <v>1270</v>
      </c>
      <c r="H83" s="44" t="s">
        <v>1271</v>
      </c>
      <c r="I83" s="46" t="s">
        <v>658</v>
      </c>
      <c r="J83" s="46" t="s">
        <v>743</v>
      </c>
      <c r="K83" s="44" t="s">
        <v>63</v>
      </c>
      <c r="L83" s="22" t="s">
        <v>64</v>
      </c>
      <c r="M83" s="44" t="s">
        <v>1272</v>
      </c>
      <c r="N83" s="54" t="s">
        <v>154</v>
      </c>
      <c r="O83" s="48" t="s">
        <v>1250</v>
      </c>
      <c r="P83" s="44" t="s">
        <v>1273</v>
      </c>
      <c r="Q83" s="70" t="s">
        <v>562</v>
      </c>
      <c r="R83" s="70" t="s">
        <v>563</v>
      </c>
      <c r="S83" s="71" t="s">
        <v>564</v>
      </c>
      <c r="T83" s="70" t="s">
        <v>565</v>
      </c>
      <c r="U83" s="25" t="s">
        <v>566</v>
      </c>
      <c r="V83" s="70" t="s">
        <v>282</v>
      </c>
      <c r="W83" s="72" t="s">
        <v>283</v>
      </c>
      <c r="X83" s="70" t="s">
        <v>284</v>
      </c>
      <c r="Y83" s="49" t="s">
        <v>285</v>
      </c>
      <c r="Z83" s="70" t="s">
        <v>286</v>
      </c>
      <c r="AA83" s="71" t="s">
        <v>286</v>
      </c>
      <c r="AB83" s="70" t="s">
        <v>287</v>
      </c>
      <c r="AC83" s="70" t="s">
        <v>288</v>
      </c>
      <c r="AD83" s="49" t="s">
        <v>289</v>
      </c>
      <c r="AE83" s="58" t="s">
        <v>290</v>
      </c>
      <c r="AF83" s="56" t="s">
        <v>291</v>
      </c>
      <c r="AG83" s="70" t="s">
        <v>292</v>
      </c>
      <c r="AH83" s="70" t="s">
        <v>293</v>
      </c>
      <c r="AI83" s="73" t="s">
        <v>215</v>
      </c>
      <c r="AJ83" s="70" t="s">
        <v>216</v>
      </c>
      <c r="AK83" s="74" t="s">
        <v>217</v>
      </c>
      <c r="AL83" s="75" t="s">
        <v>218</v>
      </c>
      <c r="AM83" s="76" t="s">
        <v>219</v>
      </c>
      <c r="AN83" s="50" t="s">
        <v>220</v>
      </c>
      <c r="AO83" s="77" t="s">
        <v>221</v>
      </c>
      <c r="AP83" s="51" t="s">
        <v>138</v>
      </c>
      <c r="AQ83" s="78" t="s">
        <v>139</v>
      </c>
      <c r="AR83" s="74" t="s">
        <v>140</v>
      </c>
      <c r="AS83" s="22" t="s">
        <v>141</v>
      </c>
      <c r="AT83" s="75" t="s">
        <v>142</v>
      </c>
      <c r="AU83" s="79" t="s">
        <v>143</v>
      </c>
      <c r="AV83" s="80" t="s">
        <v>144</v>
      </c>
      <c r="AW83" s="81" t="s">
        <v>145</v>
      </c>
      <c r="AX83" s="82" t="s">
        <v>146</v>
      </c>
      <c r="AY83" s="83" t="s">
        <v>147</v>
      </c>
      <c r="AZ83" s="80" t="s">
        <v>104</v>
      </c>
      <c r="BA83" s="41" t="s">
        <v>105</v>
      </c>
      <c r="BB83" s="591" t="str">
        <f t="shared" si="5"/>
        <v>TEMPLATE</v>
      </c>
      <c r="BC83" s="591" t="str">
        <f t="shared" si="6"/>
        <v>2. Healthcare &amp; Life Sciences-NHIC-NHIC-HDS</v>
      </c>
      <c r="BD83" s="591" t="str">
        <f t="shared" si="7"/>
        <v>NHIC-NHIC-HDS</v>
      </c>
      <c r="BE83" s="591" t="str">
        <f t="shared" si="8"/>
        <v>NONE</v>
      </c>
      <c r="BF83" s="594">
        <f t="shared" si="9"/>
        <v>9</v>
      </c>
    </row>
    <row r="84" spans="1:58" ht="42" customHeight="1" x14ac:dyDescent="0.45">
      <c r="A84" s="84">
        <v>79</v>
      </c>
      <c r="B84" s="85" t="s">
        <v>1244</v>
      </c>
      <c r="C84" s="70" t="s">
        <v>1245</v>
      </c>
      <c r="D84" s="70" t="s">
        <v>571</v>
      </c>
      <c r="E84" s="85" t="s">
        <v>1274</v>
      </c>
      <c r="F84" s="72" t="s">
        <v>1275</v>
      </c>
      <c r="G84" s="70" t="s">
        <v>1276</v>
      </c>
      <c r="H84" s="70" t="s">
        <v>109</v>
      </c>
      <c r="I84" s="71" t="s">
        <v>151</v>
      </c>
      <c r="J84" s="71" t="s">
        <v>755</v>
      </c>
      <c r="K84" s="70" t="s">
        <v>63</v>
      </c>
      <c r="L84" s="22" t="s">
        <v>64</v>
      </c>
      <c r="M84" s="70" t="s">
        <v>1277</v>
      </c>
      <c r="N84" s="86" t="s">
        <v>66</v>
      </c>
      <c r="O84" s="87" t="s">
        <v>1250</v>
      </c>
      <c r="P84" s="70" t="s">
        <v>1278</v>
      </c>
      <c r="Q84" s="70" t="s">
        <v>562</v>
      </c>
      <c r="R84" s="70" t="s">
        <v>563</v>
      </c>
      <c r="S84" s="71" t="s">
        <v>564</v>
      </c>
      <c r="T84" s="70" t="s">
        <v>565</v>
      </c>
      <c r="U84" s="25" t="s">
        <v>566</v>
      </c>
      <c r="V84" s="70" t="s">
        <v>282</v>
      </c>
      <c r="W84" s="72" t="s">
        <v>283</v>
      </c>
      <c r="X84" s="70" t="s">
        <v>284</v>
      </c>
      <c r="Y84" s="49" t="s">
        <v>285</v>
      </c>
      <c r="Z84" s="70" t="s">
        <v>286</v>
      </c>
      <c r="AA84" s="71" t="s">
        <v>286</v>
      </c>
      <c r="AB84" s="70" t="s">
        <v>287</v>
      </c>
      <c r="AC84" s="70" t="s">
        <v>288</v>
      </c>
      <c r="AD84" s="49" t="s">
        <v>289</v>
      </c>
      <c r="AE84" s="58" t="s">
        <v>290</v>
      </c>
      <c r="AF84" s="56" t="s">
        <v>291</v>
      </c>
      <c r="AG84" s="70" t="s">
        <v>292</v>
      </c>
      <c r="AH84" s="70" t="s">
        <v>293</v>
      </c>
      <c r="AI84" s="73" t="s">
        <v>4848</v>
      </c>
      <c r="AJ84" s="70" t="s">
        <v>4849</v>
      </c>
      <c r="AK84" s="74" t="s">
        <v>4850</v>
      </c>
      <c r="AL84" s="75" t="s">
        <v>218</v>
      </c>
      <c r="AM84" s="76" t="s">
        <v>4851</v>
      </c>
      <c r="AN84" s="50" t="s">
        <v>220</v>
      </c>
      <c r="AO84" s="77" t="s">
        <v>221</v>
      </c>
      <c r="AP84" s="51" t="s">
        <v>138</v>
      </c>
      <c r="AQ84" s="78" t="s">
        <v>139</v>
      </c>
      <c r="AR84" s="74" t="s">
        <v>140</v>
      </c>
      <c r="AS84" s="22" t="s">
        <v>141</v>
      </c>
      <c r="AT84" s="75" t="s">
        <v>142</v>
      </c>
      <c r="AU84" s="79" t="s">
        <v>143</v>
      </c>
      <c r="AV84" s="80" t="s">
        <v>144</v>
      </c>
      <c r="AW84" s="81" t="s">
        <v>145</v>
      </c>
      <c r="AX84" s="82" t="s">
        <v>146</v>
      </c>
      <c r="AY84" s="83" t="s">
        <v>147</v>
      </c>
      <c r="AZ84" s="80" t="s">
        <v>104</v>
      </c>
      <c r="BA84" s="41" t="s">
        <v>105</v>
      </c>
      <c r="BB84" s="591" t="str">
        <f t="shared" si="5"/>
        <v>DEEP</v>
      </c>
      <c r="BC84" s="591" t="str">
        <f t="shared" si="6"/>
        <v>2. Healthcare &amp; Life Sciences-NHIC-NHIC-INTEROP</v>
      </c>
      <c r="BD84" s="591" t="str">
        <f t="shared" si="7"/>
        <v>NHIC-NHIC-INTEROP</v>
      </c>
      <c r="BE84" s="591" t="str">
        <f t="shared" si="8"/>
        <v>NONE</v>
      </c>
      <c r="BF84" s="594">
        <f t="shared" si="9"/>
        <v>18</v>
      </c>
    </row>
    <row r="85" spans="1:58" ht="42" customHeight="1" x14ac:dyDescent="0.45">
      <c r="A85" s="42">
        <v>80</v>
      </c>
      <c r="B85" s="69" t="s">
        <v>1244</v>
      </c>
      <c r="C85" s="44" t="s">
        <v>1245</v>
      </c>
      <c r="D85" s="44" t="s">
        <v>571</v>
      </c>
      <c r="E85" s="69" t="s">
        <v>1279</v>
      </c>
      <c r="F85" s="45" t="s">
        <v>1280</v>
      </c>
      <c r="G85" s="44" t="s">
        <v>1281</v>
      </c>
      <c r="H85" s="44" t="s">
        <v>912</v>
      </c>
      <c r="I85" s="46" t="s">
        <v>658</v>
      </c>
      <c r="J85" s="46" t="s">
        <v>310</v>
      </c>
      <c r="K85" s="44" t="s">
        <v>63</v>
      </c>
      <c r="L85" s="22" t="s">
        <v>64</v>
      </c>
      <c r="M85" s="44" t="s">
        <v>1282</v>
      </c>
      <c r="N85" s="54" t="s">
        <v>154</v>
      </c>
      <c r="O85" s="48" t="s">
        <v>1250</v>
      </c>
      <c r="P85" s="44" t="s">
        <v>1278</v>
      </c>
      <c r="Q85" s="70" t="s">
        <v>562</v>
      </c>
      <c r="R85" s="70" t="s">
        <v>563</v>
      </c>
      <c r="S85" s="71" t="s">
        <v>564</v>
      </c>
      <c r="T85" s="70" t="s">
        <v>565</v>
      </c>
      <c r="U85" s="25" t="s">
        <v>566</v>
      </c>
      <c r="V85" s="70" t="s">
        <v>282</v>
      </c>
      <c r="W85" s="72" t="s">
        <v>283</v>
      </c>
      <c r="X85" s="70" t="s">
        <v>284</v>
      </c>
      <c r="Y85" s="49" t="s">
        <v>285</v>
      </c>
      <c r="Z85" s="70" t="s">
        <v>286</v>
      </c>
      <c r="AA85" s="71" t="s">
        <v>286</v>
      </c>
      <c r="AB85" s="70" t="s">
        <v>287</v>
      </c>
      <c r="AC85" s="70" t="s">
        <v>288</v>
      </c>
      <c r="AD85" s="49" t="s">
        <v>289</v>
      </c>
      <c r="AE85" s="58" t="s">
        <v>290</v>
      </c>
      <c r="AF85" s="56" t="s">
        <v>291</v>
      </c>
      <c r="AG85" s="70" t="s">
        <v>292</v>
      </c>
      <c r="AH85" s="70" t="s">
        <v>293</v>
      </c>
      <c r="AI85" s="73" t="s">
        <v>215</v>
      </c>
      <c r="AJ85" s="70" t="s">
        <v>216</v>
      </c>
      <c r="AK85" s="74" t="s">
        <v>217</v>
      </c>
      <c r="AL85" s="75" t="s">
        <v>218</v>
      </c>
      <c r="AM85" s="76" t="s">
        <v>219</v>
      </c>
      <c r="AN85" s="50" t="s">
        <v>220</v>
      </c>
      <c r="AO85" s="77" t="s">
        <v>221</v>
      </c>
      <c r="AP85" s="51" t="s">
        <v>138</v>
      </c>
      <c r="AQ85" s="78" t="s">
        <v>139</v>
      </c>
      <c r="AR85" s="74" t="s">
        <v>140</v>
      </c>
      <c r="AS85" s="22" t="s">
        <v>141</v>
      </c>
      <c r="AT85" s="75" t="s">
        <v>142</v>
      </c>
      <c r="AU85" s="79" t="s">
        <v>143</v>
      </c>
      <c r="AV85" s="80" t="s">
        <v>144</v>
      </c>
      <c r="AW85" s="81" t="s">
        <v>145</v>
      </c>
      <c r="AX85" s="82" t="s">
        <v>146</v>
      </c>
      <c r="AY85" s="83" t="s">
        <v>147</v>
      </c>
      <c r="AZ85" s="80" t="s">
        <v>104</v>
      </c>
      <c r="BA85" s="41" t="s">
        <v>105</v>
      </c>
      <c r="BB85" s="591" t="str">
        <f t="shared" si="5"/>
        <v>TEMPLATE</v>
      </c>
      <c r="BC85" s="591" t="str">
        <f t="shared" si="6"/>
        <v>2. Healthcare &amp; Life Sciences-NHIC-NHIC-CODES</v>
      </c>
      <c r="BD85" s="591" t="str">
        <f t="shared" si="7"/>
        <v>NHIC-NHIC-CODES</v>
      </c>
      <c r="BE85" s="591" t="str">
        <f t="shared" si="8"/>
        <v>NONE</v>
      </c>
      <c r="BF85" s="594">
        <f t="shared" si="9"/>
        <v>9</v>
      </c>
    </row>
    <row r="86" spans="1:58" ht="42" customHeight="1" x14ac:dyDescent="0.45">
      <c r="A86" s="84">
        <v>81</v>
      </c>
      <c r="B86" s="85" t="s">
        <v>1244</v>
      </c>
      <c r="C86" s="70" t="s">
        <v>1245</v>
      </c>
      <c r="D86" s="70" t="s">
        <v>571</v>
      </c>
      <c r="E86" s="85" t="s">
        <v>557</v>
      </c>
      <c r="F86" s="72" t="s">
        <v>58</v>
      </c>
      <c r="G86" s="70" t="s">
        <v>59</v>
      </c>
      <c r="H86" s="70" t="s">
        <v>57</v>
      </c>
      <c r="I86" s="71" t="s">
        <v>61</v>
      </c>
      <c r="J86" s="71" t="s">
        <v>62</v>
      </c>
      <c r="K86" s="70" t="s">
        <v>558</v>
      </c>
      <c r="L86" s="66" t="s">
        <v>559</v>
      </c>
      <c r="M86" s="70" t="s">
        <v>1283</v>
      </c>
      <c r="N86" s="86" t="s">
        <v>66</v>
      </c>
      <c r="O86" s="87" t="s">
        <v>196</v>
      </c>
      <c r="P86" s="70" t="s">
        <v>561</v>
      </c>
      <c r="Q86" s="70" t="s">
        <v>562</v>
      </c>
      <c r="R86" s="70" t="s">
        <v>563</v>
      </c>
      <c r="S86" s="71" t="s">
        <v>564</v>
      </c>
      <c r="T86" s="70" t="s">
        <v>565</v>
      </c>
      <c r="U86" s="25" t="s">
        <v>566</v>
      </c>
      <c r="V86" s="70" t="s">
        <v>282</v>
      </c>
      <c r="W86" s="72" t="s">
        <v>283</v>
      </c>
      <c r="X86" s="70" t="s">
        <v>284</v>
      </c>
      <c r="Y86" s="49" t="s">
        <v>285</v>
      </c>
      <c r="Z86" s="70" t="s">
        <v>286</v>
      </c>
      <c r="AA86" s="71" t="s">
        <v>286</v>
      </c>
      <c r="AB86" s="70" t="s">
        <v>287</v>
      </c>
      <c r="AC86" s="70" t="s">
        <v>288</v>
      </c>
      <c r="AD86" s="49" t="s">
        <v>289</v>
      </c>
      <c r="AE86" s="58" t="s">
        <v>290</v>
      </c>
      <c r="AF86" s="56" t="s">
        <v>291</v>
      </c>
      <c r="AG86" s="70" t="s">
        <v>292</v>
      </c>
      <c r="AH86" s="70" t="s">
        <v>293</v>
      </c>
      <c r="AI86" s="73" t="s">
        <v>4852</v>
      </c>
      <c r="AJ86" s="70" t="s">
        <v>4853</v>
      </c>
      <c r="AK86" s="74" t="s">
        <v>4854</v>
      </c>
      <c r="AL86" s="75" t="s">
        <v>218</v>
      </c>
      <c r="AM86" s="76" t="s">
        <v>4855</v>
      </c>
      <c r="AN86" s="50" t="s">
        <v>220</v>
      </c>
      <c r="AO86" s="77" t="s">
        <v>221</v>
      </c>
      <c r="AP86" s="51" t="s">
        <v>138</v>
      </c>
      <c r="AQ86" s="78" t="s">
        <v>139</v>
      </c>
      <c r="AR86" s="74" t="s">
        <v>140</v>
      </c>
      <c r="AS86" s="22" t="s">
        <v>141</v>
      </c>
      <c r="AT86" s="75" t="s">
        <v>142</v>
      </c>
      <c r="AU86" s="79" t="s">
        <v>143</v>
      </c>
      <c r="AV86" s="80" t="s">
        <v>144</v>
      </c>
      <c r="AW86" s="81" t="s">
        <v>145</v>
      </c>
      <c r="AX86" s="82" t="s">
        <v>146</v>
      </c>
      <c r="AY86" s="83" t="s">
        <v>147</v>
      </c>
      <c r="AZ86" s="80" t="s">
        <v>567</v>
      </c>
      <c r="BA86" s="34" t="s">
        <v>320</v>
      </c>
      <c r="BB86" s="591" t="str">
        <f t="shared" si="5"/>
        <v>DEEP</v>
      </c>
      <c r="BC86" s="591" t="str">
        <f t="shared" si="6"/>
        <v>2. Healthcare &amp; Life Sciences-NHIC-NCA-ECC-2:2024</v>
      </c>
      <c r="BD86" s="591" t="str">
        <f t="shared" si="7"/>
        <v>NHIC-NCA-ECC-2-2024</v>
      </c>
      <c r="BE86" s="591" t="str">
        <f t="shared" si="8"/>
        <v>NCA-ECC-2-2024</v>
      </c>
      <c r="BF86" s="594">
        <f t="shared" si="9"/>
        <v>18</v>
      </c>
    </row>
    <row r="87" spans="1:58" ht="42" customHeight="1" x14ac:dyDescent="0.45">
      <c r="A87" s="42">
        <v>82</v>
      </c>
      <c r="B87" s="69" t="s">
        <v>1244</v>
      </c>
      <c r="C87" s="44" t="s">
        <v>1245</v>
      </c>
      <c r="D87" s="44" t="s">
        <v>571</v>
      </c>
      <c r="E87" s="69" t="s">
        <v>382</v>
      </c>
      <c r="F87" s="45" t="s">
        <v>383</v>
      </c>
      <c r="G87" s="44" t="s">
        <v>384</v>
      </c>
      <c r="H87" s="44" t="s">
        <v>765</v>
      </c>
      <c r="I87" s="46" t="s">
        <v>250</v>
      </c>
      <c r="J87" s="46" t="s">
        <v>386</v>
      </c>
      <c r="K87" s="44" t="s">
        <v>558</v>
      </c>
      <c r="L87" s="66" t="s">
        <v>559</v>
      </c>
      <c r="M87" s="44" t="s">
        <v>1284</v>
      </c>
      <c r="N87" s="47" t="s">
        <v>66</v>
      </c>
      <c r="O87" s="48" t="s">
        <v>540</v>
      </c>
      <c r="P87" s="44" t="s">
        <v>380</v>
      </c>
      <c r="Q87" s="70" t="s">
        <v>390</v>
      </c>
      <c r="R87" s="70" t="s">
        <v>391</v>
      </c>
      <c r="S87" s="71" t="s">
        <v>392</v>
      </c>
      <c r="T87" s="70" t="s">
        <v>393</v>
      </c>
      <c r="U87" s="25" t="s">
        <v>394</v>
      </c>
      <c r="V87" s="70" t="s">
        <v>395</v>
      </c>
      <c r="W87" s="72" t="s">
        <v>396</v>
      </c>
      <c r="X87" s="70" t="s">
        <v>397</v>
      </c>
      <c r="Y87" s="49" t="s">
        <v>398</v>
      </c>
      <c r="Z87" s="70" t="s">
        <v>399</v>
      </c>
      <c r="AA87" s="71" t="s">
        <v>400</v>
      </c>
      <c r="AB87" s="70" t="s">
        <v>401</v>
      </c>
      <c r="AC87" s="70" t="s">
        <v>402</v>
      </c>
      <c r="AD87" s="49" t="s">
        <v>403</v>
      </c>
      <c r="AE87" s="50" t="s">
        <v>404</v>
      </c>
      <c r="AF87" s="60" t="s">
        <v>405</v>
      </c>
      <c r="AG87" s="70" t="s">
        <v>406</v>
      </c>
      <c r="AH87" s="70" t="s">
        <v>407</v>
      </c>
      <c r="AI87" s="73" t="s">
        <v>408</v>
      </c>
      <c r="AJ87" s="70" t="s">
        <v>409</v>
      </c>
      <c r="AK87" s="74" t="s">
        <v>410</v>
      </c>
      <c r="AL87" s="75" t="s">
        <v>411</v>
      </c>
      <c r="AM87" s="76" t="s">
        <v>412</v>
      </c>
      <c r="AN87" s="50" t="s">
        <v>413</v>
      </c>
      <c r="AO87" s="77" t="s">
        <v>414</v>
      </c>
      <c r="AP87" s="51" t="s">
        <v>415</v>
      </c>
      <c r="AQ87" s="78" t="s">
        <v>416</v>
      </c>
      <c r="AR87" s="74" t="s">
        <v>417</v>
      </c>
      <c r="AS87" s="22" t="s">
        <v>418</v>
      </c>
      <c r="AT87" s="75" t="s">
        <v>419</v>
      </c>
      <c r="AU87" s="79" t="s">
        <v>420</v>
      </c>
      <c r="AV87" s="80" t="s">
        <v>421</v>
      </c>
      <c r="AW87" s="81" t="s">
        <v>422</v>
      </c>
      <c r="AX87" s="82" t="s">
        <v>423</v>
      </c>
      <c r="AY87" s="83" t="s">
        <v>424</v>
      </c>
      <c r="AZ87" s="80" t="s">
        <v>425</v>
      </c>
      <c r="BA87" s="34" t="s">
        <v>320</v>
      </c>
      <c r="BB87" s="591" t="str">
        <f t="shared" si="5"/>
        <v>DEEP</v>
      </c>
      <c r="BC87" s="591" t="str">
        <f t="shared" si="6"/>
        <v>2. Healthcare &amp; Life Sciences-NHIC-PDPL-2021</v>
      </c>
      <c r="BD87" s="591" t="str">
        <f t="shared" si="7"/>
        <v>NHIC-PDPL-2021</v>
      </c>
      <c r="BE87" s="591" t="str">
        <f t="shared" si="8"/>
        <v>NONE</v>
      </c>
      <c r="BF87" s="594">
        <f t="shared" si="9"/>
        <v>18</v>
      </c>
    </row>
    <row r="88" spans="1:58" x14ac:dyDescent="0.45">
      <c r="BB88" s="591" t="str">
        <f t="shared" si="5"/>
        <v/>
      </c>
      <c r="BC88" s="591" t="str">
        <f t="shared" si="6"/>
        <v/>
      </c>
      <c r="BD88" s="591" t="str">
        <f t="shared" si="7"/>
        <v/>
      </c>
      <c r="BE88" s="591" t="str">
        <f t="shared" si="8"/>
        <v/>
      </c>
      <c r="BF88" s="594" t="str">
        <f t="shared" si="9"/>
        <v/>
      </c>
    </row>
    <row r="89" spans="1:58" ht="19.5" customHeight="1" x14ac:dyDescent="0.45">
      <c r="A89" s="94"/>
      <c r="B89" s="95" t="s">
        <v>1285</v>
      </c>
      <c r="C89" s="94"/>
      <c r="D89" s="94"/>
      <c r="E89" s="94"/>
      <c r="F89" s="94"/>
      <c r="G89" s="94"/>
      <c r="H89" s="94"/>
      <c r="I89" s="94"/>
      <c r="J89" s="94"/>
      <c r="K89" s="94"/>
      <c r="L89" s="94"/>
      <c r="M89" s="94"/>
      <c r="N89" s="94"/>
      <c r="O89" s="94"/>
      <c r="P89" s="94"/>
      <c r="BB89" s="591" t="str">
        <f t="shared" si="5"/>
        <v/>
      </c>
      <c r="BC89" s="591" t="str">
        <f t="shared" si="6"/>
        <v/>
      </c>
      <c r="BD89" s="591" t="str">
        <f t="shared" si="7"/>
        <v/>
      </c>
      <c r="BE89" s="591" t="str">
        <f t="shared" si="8"/>
        <v/>
      </c>
      <c r="BF89" s="594" t="str">
        <f t="shared" si="9"/>
        <v/>
      </c>
    </row>
    <row r="90" spans="1:58" ht="42" customHeight="1" x14ac:dyDescent="0.45">
      <c r="A90" s="96">
        <v>83</v>
      </c>
      <c r="B90" s="97" t="s">
        <v>1286</v>
      </c>
      <c r="C90" s="98" t="s">
        <v>1287</v>
      </c>
      <c r="D90" s="98" t="s">
        <v>1288</v>
      </c>
      <c r="E90" s="97" t="s">
        <v>1152</v>
      </c>
      <c r="F90" s="99" t="s">
        <v>1289</v>
      </c>
      <c r="G90" s="98" t="s">
        <v>1290</v>
      </c>
      <c r="H90" s="98" t="s">
        <v>1155</v>
      </c>
      <c r="I90" s="100" t="s">
        <v>1155</v>
      </c>
      <c r="J90" s="100" t="s">
        <v>1156</v>
      </c>
      <c r="K90" s="98" t="s">
        <v>63</v>
      </c>
      <c r="L90" s="22" t="s">
        <v>64</v>
      </c>
      <c r="M90" s="98" t="s">
        <v>1291</v>
      </c>
      <c r="N90" s="101" t="s">
        <v>253</v>
      </c>
      <c r="O90" s="102" t="s">
        <v>1292</v>
      </c>
      <c r="P90" s="98" t="s">
        <v>1293</v>
      </c>
      <c r="Q90" s="98" t="s">
        <v>1160</v>
      </c>
      <c r="R90" s="98" t="s">
        <v>1161</v>
      </c>
      <c r="S90" s="100" t="s">
        <v>1162</v>
      </c>
      <c r="T90" s="98" t="s">
        <v>1163</v>
      </c>
      <c r="U90" s="25" t="s">
        <v>1164</v>
      </c>
      <c r="V90" s="98" t="s">
        <v>1165</v>
      </c>
      <c r="W90" s="99" t="s">
        <v>1166</v>
      </c>
      <c r="X90" s="98" t="s">
        <v>1167</v>
      </c>
      <c r="Y90" s="49" t="s">
        <v>1168</v>
      </c>
      <c r="Z90" s="98" t="s">
        <v>1169</v>
      </c>
      <c r="AA90" s="100" t="s">
        <v>1170</v>
      </c>
      <c r="AB90" s="98" t="s">
        <v>1171</v>
      </c>
      <c r="AC90" s="98" t="s">
        <v>1172</v>
      </c>
      <c r="AD90" s="61" t="s">
        <v>1173</v>
      </c>
      <c r="AE90" s="26" t="s">
        <v>1174</v>
      </c>
      <c r="AF90" s="27" t="s">
        <v>1175</v>
      </c>
      <c r="AG90" s="98" t="s">
        <v>1176</v>
      </c>
      <c r="AH90" s="98" t="s">
        <v>1177</v>
      </c>
      <c r="AI90" s="103" t="s">
        <v>1178</v>
      </c>
      <c r="AJ90" s="98" t="s">
        <v>1179</v>
      </c>
      <c r="AK90" s="104" t="s">
        <v>1180</v>
      </c>
      <c r="AL90" s="105" t="s">
        <v>1181</v>
      </c>
      <c r="AM90" s="106" t="s">
        <v>1182</v>
      </c>
      <c r="AN90" s="107" t="s">
        <v>1183</v>
      </c>
      <c r="AO90" s="108" t="s">
        <v>1184</v>
      </c>
      <c r="AP90" s="34" t="s">
        <v>1185</v>
      </c>
      <c r="AQ90" s="109" t="s">
        <v>1186</v>
      </c>
      <c r="AR90" s="104" t="s">
        <v>1187</v>
      </c>
      <c r="AS90" s="61" t="s">
        <v>1188</v>
      </c>
      <c r="AT90" s="105" t="s">
        <v>1189</v>
      </c>
      <c r="AU90" s="110" t="s">
        <v>1190</v>
      </c>
      <c r="AV90" s="111" t="s">
        <v>1191</v>
      </c>
      <c r="AW90" s="112" t="s">
        <v>1192</v>
      </c>
      <c r="AX90" s="113" t="s">
        <v>1193</v>
      </c>
      <c r="AY90" s="114" t="s">
        <v>1194</v>
      </c>
      <c r="AZ90" s="111" t="s">
        <v>1195</v>
      </c>
      <c r="BA90" s="41" t="s">
        <v>105</v>
      </c>
      <c r="BB90" s="591" t="str">
        <f t="shared" si="5"/>
        <v>DEEP</v>
      </c>
      <c r="BC90" s="591" t="str">
        <f t="shared" si="6"/>
        <v>5. Financial Regulators-SAMA-SAMA-CSF</v>
      </c>
      <c r="BD90" s="591" t="str">
        <f t="shared" si="7"/>
        <v>SAMA-SAMA-CSF</v>
      </c>
      <c r="BE90" s="591" t="str">
        <f t="shared" si="8"/>
        <v>NONE</v>
      </c>
      <c r="BF90" s="594">
        <f t="shared" si="9"/>
        <v>14</v>
      </c>
    </row>
    <row r="91" spans="1:58" ht="42" customHeight="1" x14ac:dyDescent="0.45">
      <c r="A91" s="42">
        <v>84</v>
      </c>
      <c r="B91" s="115" t="s">
        <v>1286</v>
      </c>
      <c r="C91" s="44" t="s">
        <v>1287</v>
      </c>
      <c r="D91" s="44" t="s">
        <v>1288</v>
      </c>
      <c r="E91" s="115" t="s">
        <v>1294</v>
      </c>
      <c r="F91" s="45" t="s">
        <v>1295</v>
      </c>
      <c r="G91" s="44" t="s">
        <v>1296</v>
      </c>
      <c r="H91" s="44" t="s">
        <v>1023</v>
      </c>
      <c r="I91" s="46" t="s">
        <v>682</v>
      </c>
      <c r="J91" s="46" t="s">
        <v>1297</v>
      </c>
      <c r="K91" s="44" t="s">
        <v>63</v>
      </c>
      <c r="L91" s="22" t="s">
        <v>64</v>
      </c>
      <c r="M91" s="44" t="s">
        <v>1298</v>
      </c>
      <c r="N91" s="59" t="s">
        <v>275</v>
      </c>
      <c r="O91" s="48" t="s">
        <v>1158</v>
      </c>
      <c r="P91" s="44" t="s">
        <v>1159</v>
      </c>
      <c r="Q91" s="98" t="s">
        <v>1299</v>
      </c>
      <c r="R91" s="98" t="s">
        <v>1300</v>
      </c>
      <c r="S91" s="100" t="s">
        <v>1301</v>
      </c>
      <c r="T91" s="98" t="s">
        <v>1302</v>
      </c>
      <c r="U91" s="25" t="s">
        <v>666</v>
      </c>
      <c r="V91" s="98" t="s">
        <v>282</v>
      </c>
      <c r="W91" s="99" t="s">
        <v>283</v>
      </c>
      <c r="X91" s="98" t="s">
        <v>284</v>
      </c>
      <c r="Y91" s="49" t="s">
        <v>285</v>
      </c>
      <c r="Z91" s="98" t="s">
        <v>286</v>
      </c>
      <c r="AA91" s="100" t="s">
        <v>286</v>
      </c>
      <c r="AB91" s="98" t="s">
        <v>287</v>
      </c>
      <c r="AC91" s="98" t="s">
        <v>288</v>
      </c>
      <c r="AD91" s="49" t="s">
        <v>289</v>
      </c>
      <c r="AE91" s="58" t="s">
        <v>290</v>
      </c>
      <c r="AF91" s="56" t="s">
        <v>291</v>
      </c>
      <c r="AG91" s="98" t="s">
        <v>292</v>
      </c>
      <c r="AH91" s="98" t="s">
        <v>293</v>
      </c>
      <c r="AI91" s="103" t="s">
        <v>215</v>
      </c>
      <c r="AJ91" s="98" t="s">
        <v>216</v>
      </c>
      <c r="AK91" s="104" t="s">
        <v>217</v>
      </c>
      <c r="AL91" s="105" t="s">
        <v>218</v>
      </c>
      <c r="AM91" s="106" t="s">
        <v>219</v>
      </c>
      <c r="AN91" s="107" t="s">
        <v>220</v>
      </c>
      <c r="AO91" s="108" t="s">
        <v>221</v>
      </c>
      <c r="AP91" s="51" t="s">
        <v>138</v>
      </c>
      <c r="AQ91" s="109" t="s">
        <v>139</v>
      </c>
      <c r="AR91" s="104" t="s">
        <v>140</v>
      </c>
      <c r="AS91" s="22" t="s">
        <v>141</v>
      </c>
      <c r="AT91" s="105" t="s">
        <v>142</v>
      </c>
      <c r="AU91" s="110" t="s">
        <v>143</v>
      </c>
      <c r="AV91" s="111" t="s">
        <v>144</v>
      </c>
      <c r="AW91" s="112" t="s">
        <v>145</v>
      </c>
      <c r="AX91" s="113" t="s">
        <v>146</v>
      </c>
      <c r="AY91" s="114" t="s">
        <v>147</v>
      </c>
      <c r="AZ91" s="111" t="s">
        <v>1303</v>
      </c>
      <c r="BA91" s="41" t="s">
        <v>105</v>
      </c>
      <c r="BB91" s="591" t="str">
        <f t="shared" si="5"/>
        <v>TEMPLATE</v>
      </c>
      <c r="BC91" s="591" t="str">
        <f t="shared" si="6"/>
        <v>5. Financial Regulators-SAMA-SAMA-AML</v>
      </c>
      <c r="BD91" s="591" t="str">
        <f t="shared" si="7"/>
        <v>SAMA-SAMA-AML</v>
      </c>
      <c r="BE91" s="591" t="str">
        <f t="shared" si="8"/>
        <v>NONE</v>
      </c>
      <c r="BF91" s="594">
        <f t="shared" si="9"/>
        <v>6</v>
      </c>
    </row>
    <row r="92" spans="1:58" ht="42" customHeight="1" x14ac:dyDescent="0.45">
      <c r="A92" s="96">
        <v>85</v>
      </c>
      <c r="B92" s="97" t="s">
        <v>1286</v>
      </c>
      <c r="C92" s="98" t="s">
        <v>1287</v>
      </c>
      <c r="D92" s="98" t="s">
        <v>1288</v>
      </c>
      <c r="E92" s="97" t="s">
        <v>1304</v>
      </c>
      <c r="F92" s="99" t="s">
        <v>1305</v>
      </c>
      <c r="G92" s="98" t="s">
        <v>1306</v>
      </c>
      <c r="H92" s="98" t="s">
        <v>109</v>
      </c>
      <c r="I92" s="100" t="s">
        <v>109</v>
      </c>
      <c r="J92" s="100" t="s">
        <v>386</v>
      </c>
      <c r="K92" s="98" t="s">
        <v>63</v>
      </c>
      <c r="L92" s="22" t="s">
        <v>64</v>
      </c>
      <c r="M92" s="98" t="s">
        <v>1307</v>
      </c>
      <c r="N92" s="116" t="s">
        <v>275</v>
      </c>
      <c r="O92" s="102" t="s">
        <v>1158</v>
      </c>
      <c r="P92" s="98" t="s">
        <v>1159</v>
      </c>
      <c r="Q92" s="98" t="s">
        <v>562</v>
      </c>
      <c r="R92" s="98" t="s">
        <v>563</v>
      </c>
      <c r="S92" s="100" t="s">
        <v>564</v>
      </c>
      <c r="T92" s="98" t="s">
        <v>565</v>
      </c>
      <c r="U92" s="25" t="s">
        <v>566</v>
      </c>
      <c r="V92" s="98" t="s">
        <v>282</v>
      </c>
      <c r="W92" s="99" t="s">
        <v>283</v>
      </c>
      <c r="X92" s="98" t="s">
        <v>284</v>
      </c>
      <c r="Y92" s="49" t="s">
        <v>285</v>
      </c>
      <c r="Z92" s="98" t="s">
        <v>286</v>
      </c>
      <c r="AA92" s="100" t="s">
        <v>286</v>
      </c>
      <c r="AB92" s="98" t="s">
        <v>287</v>
      </c>
      <c r="AC92" s="98" t="s">
        <v>288</v>
      </c>
      <c r="AD92" s="49" t="s">
        <v>289</v>
      </c>
      <c r="AE92" s="58" t="s">
        <v>290</v>
      </c>
      <c r="AF92" s="56" t="s">
        <v>291</v>
      </c>
      <c r="AG92" s="98" t="s">
        <v>292</v>
      </c>
      <c r="AH92" s="98" t="s">
        <v>293</v>
      </c>
      <c r="AI92" s="103" t="s">
        <v>215</v>
      </c>
      <c r="AJ92" s="98" t="s">
        <v>216</v>
      </c>
      <c r="AK92" s="104" t="s">
        <v>217</v>
      </c>
      <c r="AL92" s="105" t="s">
        <v>218</v>
      </c>
      <c r="AM92" s="106" t="s">
        <v>219</v>
      </c>
      <c r="AN92" s="107" t="s">
        <v>220</v>
      </c>
      <c r="AO92" s="108" t="s">
        <v>221</v>
      </c>
      <c r="AP92" s="51" t="s">
        <v>138</v>
      </c>
      <c r="AQ92" s="109" t="s">
        <v>139</v>
      </c>
      <c r="AR92" s="104" t="s">
        <v>140</v>
      </c>
      <c r="AS92" s="22" t="s">
        <v>141</v>
      </c>
      <c r="AT92" s="105" t="s">
        <v>142</v>
      </c>
      <c r="AU92" s="110" t="s">
        <v>143</v>
      </c>
      <c r="AV92" s="111" t="s">
        <v>144</v>
      </c>
      <c r="AW92" s="112" t="s">
        <v>145</v>
      </c>
      <c r="AX92" s="113" t="s">
        <v>146</v>
      </c>
      <c r="AY92" s="114" t="s">
        <v>147</v>
      </c>
      <c r="AZ92" s="111" t="s">
        <v>1303</v>
      </c>
      <c r="BA92" s="41" t="s">
        <v>105</v>
      </c>
      <c r="BB92" s="591" t="str">
        <f t="shared" si="5"/>
        <v>TEMPLATE</v>
      </c>
      <c r="BC92" s="591" t="str">
        <f t="shared" si="6"/>
        <v>5. Financial Regulators-SAMA-SAMA-OBF</v>
      </c>
      <c r="BD92" s="591" t="str">
        <f t="shared" si="7"/>
        <v>SAMA-SAMA-OBF</v>
      </c>
      <c r="BE92" s="591" t="str">
        <f t="shared" si="8"/>
        <v>NONE</v>
      </c>
      <c r="BF92" s="594">
        <f t="shared" si="9"/>
        <v>6</v>
      </c>
    </row>
    <row r="93" spans="1:58" ht="42" customHeight="1" x14ac:dyDescent="0.45">
      <c r="A93" s="42">
        <v>86</v>
      </c>
      <c r="B93" s="115" t="s">
        <v>1286</v>
      </c>
      <c r="C93" s="44" t="s">
        <v>1287</v>
      </c>
      <c r="D93" s="44" t="s">
        <v>1288</v>
      </c>
      <c r="E93" s="115" t="s">
        <v>1308</v>
      </c>
      <c r="F93" s="45" t="s">
        <v>1309</v>
      </c>
      <c r="G93" s="44" t="s">
        <v>1310</v>
      </c>
      <c r="H93" s="44" t="s">
        <v>250</v>
      </c>
      <c r="I93" s="46" t="s">
        <v>250</v>
      </c>
      <c r="J93" s="46" t="s">
        <v>152</v>
      </c>
      <c r="K93" s="44" t="s">
        <v>63</v>
      </c>
      <c r="L93" s="22" t="s">
        <v>64</v>
      </c>
      <c r="M93" s="44" t="s">
        <v>1311</v>
      </c>
      <c r="N93" s="59" t="s">
        <v>275</v>
      </c>
      <c r="O93" s="48" t="s">
        <v>1158</v>
      </c>
      <c r="P93" s="44" t="s">
        <v>1159</v>
      </c>
      <c r="Q93" s="98" t="s">
        <v>562</v>
      </c>
      <c r="R93" s="98" t="s">
        <v>563</v>
      </c>
      <c r="S93" s="100" t="s">
        <v>564</v>
      </c>
      <c r="T93" s="98" t="s">
        <v>565</v>
      </c>
      <c r="U93" s="25" t="s">
        <v>566</v>
      </c>
      <c r="V93" s="98" t="s">
        <v>282</v>
      </c>
      <c r="W93" s="99" t="s">
        <v>283</v>
      </c>
      <c r="X93" s="98" t="s">
        <v>284</v>
      </c>
      <c r="Y93" s="49" t="s">
        <v>285</v>
      </c>
      <c r="Z93" s="98" t="s">
        <v>286</v>
      </c>
      <c r="AA93" s="100" t="s">
        <v>286</v>
      </c>
      <c r="AB93" s="98" t="s">
        <v>287</v>
      </c>
      <c r="AC93" s="98" t="s">
        <v>288</v>
      </c>
      <c r="AD93" s="49" t="s">
        <v>289</v>
      </c>
      <c r="AE93" s="58" t="s">
        <v>290</v>
      </c>
      <c r="AF93" s="56" t="s">
        <v>291</v>
      </c>
      <c r="AG93" s="98" t="s">
        <v>292</v>
      </c>
      <c r="AH93" s="98" t="s">
        <v>293</v>
      </c>
      <c r="AI93" s="103" t="s">
        <v>215</v>
      </c>
      <c r="AJ93" s="98" t="s">
        <v>216</v>
      </c>
      <c r="AK93" s="104" t="s">
        <v>217</v>
      </c>
      <c r="AL93" s="105" t="s">
        <v>218</v>
      </c>
      <c r="AM93" s="106" t="s">
        <v>219</v>
      </c>
      <c r="AN93" s="107" t="s">
        <v>220</v>
      </c>
      <c r="AO93" s="108" t="s">
        <v>221</v>
      </c>
      <c r="AP93" s="51" t="s">
        <v>138</v>
      </c>
      <c r="AQ93" s="109" t="s">
        <v>139</v>
      </c>
      <c r="AR93" s="104" t="s">
        <v>140</v>
      </c>
      <c r="AS93" s="22" t="s">
        <v>141</v>
      </c>
      <c r="AT93" s="105" t="s">
        <v>142</v>
      </c>
      <c r="AU93" s="110" t="s">
        <v>143</v>
      </c>
      <c r="AV93" s="111" t="s">
        <v>144</v>
      </c>
      <c r="AW93" s="112" t="s">
        <v>145</v>
      </c>
      <c r="AX93" s="113" t="s">
        <v>146</v>
      </c>
      <c r="AY93" s="114" t="s">
        <v>147</v>
      </c>
      <c r="AZ93" s="111" t="s">
        <v>1312</v>
      </c>
      <c r="BA93" s="41" t="s">
        <v>105</v>
      </c>
      <c r="BB93" s="591" t="str">
        <f t="shared" si="5"/>
        <v>TEMPLATE</v>
      </c>
      <c r="BC93" s="591" t="str">
        <f t="shared" si="6"/>
        <v>5. Financial Regulators-SAMA-SAMA-PSR</v>
      </c>
      <c r="BD93" s="591" t="str">
        <f t="shared" si="7"/>
        <v>SAMA-SAMA-PSR</v>
      </c>
      <c r="BE93" s="591" t="str">
        <f t="shared" si="8"/>
        <v>NONE</v>
      </c>
      <c r="BF93" s="594">
        <f t="shared" si="9"/>
        <v>6</v>
      </c>
    </row>
    <row r="94" spans="1:58" ht="42" customHeight="1" x14ac:dyDescent="0.45">
      <c r="A94" s="96">
        <v>87</v>
      </c>
      <c r="B94" s="97" t="s">
        <v>1286</v>
      </c>
      <c r="C94" s="98" t="s">
        <v>1287</v>
      </c>
      <c r="D94" s="98" t="s">
        <v>1288</v>
      </c>
      <c r="E94" s="97" t="s">
        <v>1313</v>
      </c>
      <c r="F94" s="99" t="s">
        <v>1314</v>
      </c>
      <c r="G94" s="98" t="s">
        <v>1315</v>
      </c>
      <c r="H94" s="98" t="s">
        <v>886</v>
      </c>
      <c r="I94" s="100" t="s">
        <v>1155</v>
      </c>
      <c r="J94" s="100" t="s">
        <v>1316</v>
      </c>
      <c r="K94" s="98" t="s">
        <v>63</v>
      </c>
      <c r="L94" s="22" t="s">
        <v>64</v>
      </c>
      <c r="M94" s="98" t="s">
        <v>1317</v>
      </c>
      <c r="N94" s="116" t="s">
        <v>275</v>
      </c>
      <c r="O94" s="102" t="s">
        <v>1158</v>
      </c>
      <c r="P94" s="98" t="s">
        <v>1159</v>
      </c>
      <c r="Q94" s="98" t="s">
        <v>562</v>
      </c>
      <c r="R94" s="98" t="s">
        <v>563</v>
      </c>
      <c r="S94" s="100" t="s">
        <v>564</v>
      </c>
      <c r="T94" s="98" t="s">
        <v>565</v>
      </c>
      <c r="U94" s="25" t="s">
        <v>566</v>
      </c>
      <c r="V94" s="98" t="s">
        <v>282</v>
      </c>
      <c r="W94" s="99" t="s">
        <v>283</v>
      </c>
      <c r="X94" s="98" t="s">
        <v>284</v>
      </c>
      <c r="Y94" s="49" t="s">
        <v>285</v>
      </c>
      <c r="Z94" s="98" t="s">
        <v>286</v>
      </c>
      <c r="AA94" s="100" t="s">
        <v>286</v>
      </c>
      <c r="AB94" s="98" t="s">
        <v>287</v>
      </c>
      <c r="AC94" s="98" t="s">
        <v>288</v>
      </c>
      <c r="AD94" s="49" t="s">
        <v>289</v>
      </c>
      <c r="AE94" s="58" t="s">
        <v>290</v>
      </c>
      <c r="AF94" s="56" t="s">
        <v>291</v>
      </c>
      <c r="AG94" s="98" t="s">
        <v>292</v>
      </c>
      <c r="AH94" s="98" t="s">
        <v>293</v>
      </c>
      <c r="AI94" s="103" t="s">
        <v>215</v>
      </c>
      <c r="AJ94" s="98" t="s">
        <v>216</v>
      </c>
      <c r="AK94" s="104" t="s">
        <v>217</v>
      </c>
      <c r="AL94" s="105" t="s">
        <v>218</v>
      </c>
      <c r="AM94" s="106" t="s">
        <v>219</v>
      </c>
      <c r="AN94" s="107" t="s">
        <v>220</v>
      </c>
      <c r="AO94" s="108" t="s">
        <v>221</v>
      </c>
      <c r="AP94" s="51" t="s">
        <v>138</v>
      </c>
      <c r="AQ94" s="109" t="s">
        <v>139</v>
      </c>
      <c r="AR94" s="104" t="s">
        <v>140</v>
      </c>
      <c r="AS94" s="22" t="s">
        <v>141</v>
      </c>
      <c r="AT94" s="105" t="s">
        <v>142</v>
      </c>
      <c r="AU94" s="110" t="s">
        <v>143</v>
      </c>
      <c r="AV94" s="111" t="s">
        <v>144</v>
      </c>
      <c r="AW94" s="112" t="s">
        <v>145</v>
      </c>
      <c r="AX94" s="113" t="s">
        <v>146</v>
      </c>
      <c r="AY94" s="114" t="s">
        <v>147</v>
      </c>
      <c r="AZ94" s="111" t="s">
        <v>1303</v>
      </c>
      <c r="BA94" s="41" t="s">
        <v>105</v>
      </c>
      <c r="BB94" s="591" t="str">
        <f t="shared" si="5"/>
        <v>TEMPLATE</v>
      </c>
      <c r="BC94" s="591" t="str">
        <f t="shared" si="6"/>
        <v>5. Financial Regulators-SAMA-SAMA-ITGF</v>
      </c>
      <c r="BD94" s="591" t="str">
        <f t="shared" si="7"/>
        <v>SAMA-SAMA-ITGF</v>
      </c>
      <c r="BE94" s="591" t="str">
        <f t="shared" si="8"/>
        <v>NONE</v>
      </c>
      <c r="BF94" s="594">
        <f t="shared" si="9"/>
        <v>6</v>
      </c>
    </row>
    <row r="95" spans="1:58" ht="42" customHeight="1" x14ac:dyDescent="0.45">
      <c r="A95" s="42">
        <v>88</v>
      </c>
      <c r="B95" s="115" t="s">
        <v>1286</v>
      </c>
      <c r="C95" s="44" t="s">
        <v>1287</v>
      </c>
      <c r="D95" s="44" t="s">
        <v>1288</v>
      </c>
      <c r="E95" s="115" t="s">
        <v>1318</v>
      </c>
      <c r="F95" s="45" t="s">
        <v>1319</v>
      </c>
      <c r="G95" s="44" t="s">
        <v>1320</v>
      </c>
      <c r="H95" s="44" t="s">
        <v>1148</v>
      </c>
      <c r="I95" s="46" t="s">
        <v>61</v>
      </c>
      <c r="J95" s="46" t="s">
        <v>194</v>
      </c>
      <c r="K95" s="44" t="s">
        <v>63</v>
      </c>
      <c r="L95" s="22" t="s">
        <v>64</v>
      </c>
      <c r="M95" s="44" t="s">
        <v>1321</v>
      </c>
      <c r="N95" s="55" t="s">
        <v>253</v>
      </c>
      <c r="O95" s="48" t="s">
        <v>1158</v>
      </c>
      <c r="P95" s="44" t="s">
        <v>1159</v>
      </c>
      <c r="Q95" s="98" t="s">
        <v>1322</v>
      </c>
      <c r="R95" s="98" t="s">
        <v>1323</v>
      </c>
      <c r="S95" s="100" t="s">
        <v>1324</v>
      </c>
      <c r="T95" s="98" t="s">
        <v>1325</v>
      </c>
      <c r="U95" s="25" t="s">
        <v>1326</v>
      </c>
      <c r="V95" s="98" t="s">
        <v>282</v>
      </c>
      <c r="W95" s="99" t="s">
        <v>283</v>
      </c>
      <c r="X95" s="98" t="s">
        <v>284</v>
      </c>
      <c r="Y95" s="49" t="s">
        <v>285</v>
      </c>
      <c r="Z95" s="98" t="s">
        <v>286</v>
      </c>
      <c r="AA95" s="100" t="s">
        <v>286</v>
      </c>
      <c r="AB95" s="98" t="s">
        <v>287</v>
      </c>
      <c r="AC95" s="98" t="s">
        <v>288</v>
      </c>
      <c r="AD95" s="49" t="s">
        <v>289</v>
      </c>
      <c r="AE95" s="58" t="s">
        <v>290</v>
      </c>
      <c r="AF95" s="56" t="s">
        <v>291</v>
      </c>
      <c r="AG95" s="98" t="s">
        <v>292</v>
      </c>
      <c r="AH95" s="98" t="s">
        <v>293</v>
      </c>
      <c r="AI95" s="103" t="s">
        <v>215</v>
      </c>
      <c r="AJ95" s="98" t="s">
        <v>216</v>
      </c>
      <c r="AK95" s="104" t="s">
        <v>217</v>
      </c>
      <c r="AL95" s="105" t="s">
        <v>218</v>
      </c>
      <c r="AM95" s="106" t="s">
        <v>219</v>
      </c>
      <c r="AN95" s="107" t="s">
        <v>220</v>
      </c>
      <c r="AO95" s="108" t="s">
        <v>221</v>
      </c>
      <c r="AP95" s="51" t="s">
        <v>138</v>
      </c>
      <c r="AQ95" s="109" t="s">
        <v>139</v>
      </c>
      <c r="AR95" s="104" t="s">
        <v>140</v>
      </c>
      <c r="AS95" s="22" t="s">
        <v>141</v>
      </c>
      <c r="AT95" s="105" t="s">
        <v>142</v>
      </c>
      <c r="AU95" s="110" t="s">
        <v>143</v>
      </c>
      <c r="AV95" s="111" t="s">
        <v>144</v>
      </c>
      <c r="AW95" s="112" t="s">
        <v>145</v>
      </c>
      <c r="AX95" s="113" t="s">
        <v>146</v>
      </c>
      <c r="AY95" s="114" t="s">
        <v>147</v>
      </c>
      <c r="AZ95" s="111" t="s">
        <v>1303</v>
      </c>
      <c r="BA95" s="41" t="s">
        <v>105</v>
      </c>
      <c r="BB95" s="591" t="str">
        <f t="shared" si="5"/>
        <v>TEMPLATE</v>
      </c>
      <c r="BC95" s="591" t="str">
        <f t="shared" si="6"/>
        <v>5. Financial Regulators-SAMA-SAMA-BCM</v>
      </c>
      <c r="BD95" s="591" t="str">
        <f t="shared" si="7"/>
        <v>SAMA-SAMA-BCM</v>
      </c>
      <c r="BE95" s="591" t="str">
        <f t="shared" si="8"/>
        <v>NONE</v>
      </c>
      <c r="BF95" s="594">
        <f t="shared" si="9"/>
        <v>7</v>
      </c>
    </row>
    <row r="96" spans="1:58" ht="42" customHeight="1" x14ac:dyDescent="0.45">
      <c r="A96" s="96">
        <v>89</v>
      </c>
      <c r="B96" s="97" t="s">
        <v>1286</v>
      </c>
      <c r="C96" s="98" t="s">
        <v>1287</v>
      </c>
      <c r="D96" s="98" t="s">
        <v>1288</v>
      </c>
      <c r="E96" s="97" t="s">
        <v>1327</v>
      </c>
      <c r="F96" s="99" t="s">
        <v>1328</v>
      </c>
      <c r="G96" s="98" t="s">
        <v>1329</v>
      </c>
      <c r="H96" s="98" t="s">
        <v>912</v>
      </c>
      <c r="I96" s="100" t="s">
        <v>1202</v>
      </c>
      <c r="J96" s="100" t="s">
        <v>1330</v>
      </c>
      <c r="K96" s="98" t="s">
        <v>63</v>
      </c>
      <c r="L96" s="22" t="s">
        <v>64</v>
      </c>
      <c r="M96" s="98" t="s">
        <v>1331</v>
      </c>
      <c r="N96" s="101" t="s">
        <v>253</v>
      </c>
      <c r="O96" s="102" t="s">
        <v>1158</v>
      </c>
      <c r="P96" s="98" t="s">
        <v>1159</v>
      </c>
      <c r="Q96" s="98" t="s">
        <v>562</v>
      </c>
      <c r="R96" s="98" t="s">
        <v>563</v>
      </c>
      <c r="S96" s="100" t="s">
        <v>564</v>
      </c>
      <c r="T96" s="98" t="s">
        <v>565</v>
      </c>
      <c r="U96" s="25" t="s">
        <v>566</v>
      </c>
      <c r="V96" s="98" t="s">
        <v>282</v>
      </c>
      <c r="W96" s="99" t="s">
        <v>283</v>
      </c>
      <c r="X96" s="98" t="s">
        <v>284</v>
      </c>
      <c r="Y96" s="49" t="s">
        <v>285</v>
      </c>
      <c r="Z96" s="98" t="s">
        <v>286</v>
      </c>
      <c r="AA96" s="100" t="s">
        <v>286</v>
      </c>
      <c r="AB96" s="98" t="s">
        <v>287</v>
      </c>
      <c r="AC96" s="98" t="s">
        <v>288</v>
      </c>
      <c r="AD96" s="49" t="s">
        <v>289</v>
      </c>
      <c r="AE96" s="58" t="s">
        <v>290</v>
      </c>
      <c r="AF96" s="56" t="s">
        <v>291</v>
      </c>
      <c r="AG96" s="98" t="s">
        <v>292</v>
      </c>
      <c r="AH96" s="98" t="s">
        <v>293</v>
      </c>
      <c r="AI96" s="103" t="s">
        <v>215</v>
      </c>
      <c r="AJ96" s="98" t="s">
        <v>216</v>
      </c>
      <c r="AK96" s="104" t="s">
        <v>217</v>
      </c>
      <c r="AL96" s="105" t="s">
        <v>218</v>
      </c>
      <c r="AM96" s="106" t="s">
        <v>219</v>
      </c>
      <c r="AN96" s="107" t="s">
        <v>220</v>
      </c>
      <c r="AO96" s="108" t="s">
        <v>221</v>
      </c>
      <c r="AP96" s="51" t="s">
        <v>138</v>
      </c>
      <c r="AQ96" s="109" t="s">
        <v>139</v>
      </c>
      <c r="AR96" s="104" t="s">
        <v>140</v>
      </c>
      <c r="AS96" s="22" t="s">
        <v>141</v>
      </c>
      <c r="AT96" s="105" t="s">
        <v>142</v>
      </c>
      <c r="AU96" s="110" t="s">
        <v>143</v>
      </c>
      <c r="AV96" s="111" t="s">
        <v>144</v>
      </c>
      <c r="AW96" s="112" t="s">
        <v>145</v>
      </c>
      <c r="AX96" s="113" t="s">
        <v>146</v>
      </c>
      <c r="AY96" s="114" t="s">
        <v>147</v>
      </c>
      <c r="AZ96" s="111" t="s">
        <v>1303</v>
      </c>
      <c r="BA96" s="41" t="s">
        <v>105</v>
      </c>
      <c r="BB96" s="591" t="str">
        <f t="shared" si="5"/>
        <v>TEMPLATE</v>
      </c>
      <c r="BC96" s="591" t="str">
        <f t="shared" si="6"/>
        <v>5. Financial Regulators-SAMA-SAMA-CCP</v>
      </c>
      <c r="BD96" s="591" t="str">
        <f t="shared" si="7"/>
        <v>SAMA-SAMA-CCP</v>
      </c>
      <c r="BE96" s="591" t="str">
        <f t="shared" si="8"/>
        <v>NONE</v>
      </c>
      <c r="BF96" s="594">
        <f t="shared" si="9"/>
        <v>7</v>
      </c>
    </row>
    <row r="97" spans="1:58" ht="42" customHeight="1" x14ac:dyDescent="0.45">
      <c r="A97" s="42">
        <v>90</v>
      </c>
      <c r="B97" s="115" t="s">
        <v>1286</v>
      </c>
      <c r="C97" s="44" t="s">
        <v>1287</v>
      </c>
      <c r="D97" s="44" t="s">
        <v>1288</v>
      </c>
      <c r="E97" s="115" t="s">
        <v>1332</v>
      </c>
      <c r="F97" s="45" t="s">
        <v>1333</v>
      </c>
      <c r="G97" s="44" t="s">
        <v>1334</v>
      </c>
      <c r="H97" s="44" t="s">
        <v>1075</v>
      </c>
      <c r="I97" s="46" t="s">
        <v>61</v>
      </c>
      <c r="J97" s="46" t="s">
        <v>310</v>
      </c>
      <c r="K97" s="44" t="s">
        <v>63</v>
      </c>
      <c r="L97" s="22" t="s">
        <v>64</v>
      </c>
      <c r="M97" s="44" t="s">
        <v>1335</v>
      </c>
      <c r="N97" s="55" t="s">
        <v>253</v>
      </c>
      <c r="O97" s="48" t="s">
        <v>1158</v>
      </c>
      <c r="P97" s="44" t="s">
        <v>1336</v>
      </c>
      <c r="Q97" s="98" t="s">
        <v>562</v>
      </c>
      <c r="R97" s="98" t="s">
        <v>563</v>
      </c>
      <c r="S97" s="100" t="s">
        <v>564</v>
      </c>
      <c r="T97" s="98" t="s">
        <v>565</v>
      </c>
      <c r="U97" s="25" t="s">
        <v>566</v>
      </c>
      <c r="V97" s="98" t="s">
        <v>282</v>
      </c>
      <c r="W97" s="99" t="s">
        <v>283</v>
      </c>
      <c r="X97" s="98" t="s">
        <v>284</v>
      </c>
      <c r="Y97" s="49" t="s">
        <v>285</v>
      </c>
      <c r="Z97" s="98" t="s">
        <v>286</v>
      </c>
      <c r="AA97" s="100" t="s">
        <v>286</v>
      </c>
      <c r="AB97" s="98" t="s">
        <v>287</v>
      </c>
      <c r="AC97" s="98" t="s">
        <v>288</v>
      </c>
      <c r="AD97" s="49" t="s">
        <v>289</v>
      </c>
      <c r="AE97" s="58" t="s">
        <v>290</v>
      </c>
      <c r="AF97" s="56" t="s">
        <v>291</v>
      </c>
      <c r="AG97" s="98" t="s">
        <v>292</v>
      </c>
      <c r="AH97" s="98" t="s">
        <v>293</v>
      </c>
      <c r="AI97" s="103" t="s">
        <v>215</v>
      </c>
      <c r="AJ97" s="98" t="s">
        <v>216</v>
      </c>
      <c r="AK97" s="104" t="s">
        <v>217</v>
      </c>
      <c r="AL97" s="105" t="s">
        <v>218</v>
      </c>
      <c r="AM97" s="106" t="s">
        <v>219</v>
      </c>
      <c r="AN97" s="107" t="s">
        <v>220</v>
      </c>
      <c r="AO97" s="108" t="s">
        <v>221</v>
      </c>
      <c r="AP97" s="51" t="s">
        <v>138</v>
      </c>
      <c r="AQ97" s="109" t="s">
        <v>139</v>
      </c>
      <c r="AR97" s="104" t="s">
        <v>140</v>
      </c>
      <c r="AS97" s="22" t="s">
        <v>141</v>
      </c>
      <c r="AT97" s="105" t="s">
        <v>142</v>
      </c>
      <c r="AU97" s="110" t="s">
        <v>143</v>
      </c>
      <c r="AV97" s="111" t="s">
        <v>144</v>
      </c>
      <c r="AW97" s="112" t="s">
        <v>145</v>
      </c>
      <c r="AX97" s="113" t="s">
        <v>146</v>
      </c>
      <c r="AY97" s="114" t="s">
        <v>147</v>
      </c>
      <c r="AZ97" s="111" t="s">
        <v>1303</v>
      </c>
      <c r="BA97" s="41" t="s">
        <v>105</v>
      </c>
      <c r="BB97" s="591" t="str">
        <f t="shared" si="5"/>
        <v>TEMPLATE</v>
      </c>
      <c r="BC97" s="591" t="str">
        <f t="shared" si="6"/>
        <v>5. Financial Regulators-SAMA-SAMA-CLOUD</v>
      </c>
      <c r="BD97" s="591" t="str">
        <f t="shared" si="7"/>
        <v>SAMA-SAMA-CLOUD</v>
      </c>
      <c r="BE97" s="591" t="str">
        <f t="shared" si="8"/>
        <v>NONE</v>
      </c>
      <c r="BF97" s="594">
        <f t="shared" si="9"/>
        <v>7</v>
      </c>
    </row>
    <row r="98" spans="1:58" ht="42" customHeight="1" x14ac:dyDescent="0.45">
      <c r="A98" s="96">
        <v>91</v>
      </c>
      <c r="B98" s="97" t="s">
        <v>1286</v>
      </c>
      <c r="C98" s="98" t="s">
        <v>1287</v>
      </c>
      <c r="D98" s="98" t="s">
        <v>1288</v>
      </c>
      <c r="E98" s="97" t="s">
        <v>557</v>
      </c>
      <c r="F98" s="99" t="s">
        <v>58</v>
      </c>
      <c r="G98" s="98" t="s">
        <v>59</v>
      </c>
      <c r="H98" s="98" t="s">
        <v>57</v>
      </c>
      <c r="I98" s="100" t="s">
        <v>61</v>
      </c>
      <c r="J98" s="100" t="s">
        <v>62</v>
      </c>
      <c r="K98" s="98" t="s">
        <v>558</v>
      </c>
      <c r="L98" s="66" t="s">
        <v>559</v>
      </c>
      <c r="M98" s="98" t="s">
        <v>1337</v>
      </c>
      <c r="N98" s="101" t="s">
        <v>253</v>
      </c>
      <c r="O98" s="102" t="s">
        <v>196</v>
      </c>
      <c r="P98" s="98" t="s">
        <v>561</v>
      </c>
      <c r="Q98" s="98" t="s">
        <v>562</v>
      </c>
      <c r="R98" s="98" t="s">
        <v>563</v>
      </c>
      <c r="S98" s="100" t="s">
        <v>564</v>
      </c>
      <c r="T98" s="98" t="s">
        <v>565</v>
      </c>
      <c r="U98" s="25" t="s">
        <v>566</v>
      </c>
      <c r="V98" s="98" t="s">
        <v>282</v>
      </c>
      <c r="W98" s="99" t="s">
        <v>283</v>
      </c>
      <c r="X98" s="98" t="s">
        <v>284</v>
      </c>
      <c r="Y98" s="49" t="s">
        <v>285</v>
      </c>
      <c r="Z98" s="98" t="s">
        <v>286</v>
      </c>
      <c r="AA98" s="100" t="s">
        <v>286</v>
      </c>
      <c r="AB98" s="98" t="s">
        <v>287</v>
      </c>
      <c r="AC98" s="98" t="s">
        <v>288</v>
      </c>
      <c r="AD98" s="49" t="s">
        <v>289</v>
      </c>
      <c r="AE98" s="58" t="s">
        <v>290</v>
      </c>
      <c r="AF98" s="56" t="s">
        <v>291</v>
      </c>
      <c r="AG98" s="98" t="s">
        <v>292</v>
      </c>
      <c r="AH98" s="98" t="s">
        <v>293</v>
      </c>
      <c r="AI98" s="103" t="s">
        <v>215</v>
      </c>
      <c r="AJ98" s="98" t="s">
        <v>216</v>
      </c>
      <c r="AK98" s="104" t="s">
        <v>217</v>
      </c>
      <c r="AL98" s="105" t="s">
        <v>218</v>
      </c>
      <c r="AM98" s="106" t="s">
        <v>219</v>
      </c>
      <c r="AN98" s="107" t="s">
        <v>220</v>
      </c>
      <c r="AO98" s="108" t="s">
        <v>221</v>
      </c>
      <c r="AP98" s="51" t="s">
        <v>138</v>
      </c>
      <c r="AQ98" s="109" t="s">
        <v>139</v>
      </c>
      <c r="AR98" s="104" t="s">
        <v>140</v>
      </c>
      <c r="AS98" s="22" t="s">
        <v>141</v>
      </c>
      <c r="AT98" s="105" t="s">
        <v>142</v>
      </c>
      <c r="AU98" s="110" t="s">
        <v>143</v>
      </c>
      <c r="AV98" s="111" t="s">
        <v>144</v>
      </c>
      <c r="AW98" s="112" t="s">
        <v>145</v>
      </c>
      <c r="AX98" s="113" t="s">
        <v>146</v>
      </c>
      <c r="AY98" s="114" t="s">
        <v>147</v>
      </c>
      <c r="AZ98" s="111" t="s">
        <v>567</v>
      </c>
      <c r="BA98" s="34" t="s">
        <v>320</v>
      </c>
      <c r="BB98" s="591" t="str">
        <f t="shared" si="5"/>
        <v>TEMPLATE</v>
      </c>
      <c r="BC98" s="591" t="str">
        <f t="shared" si="6"/>
        <v>5. Financial Regulators-SAMA-NCA-ECC-2:2024</v>
      </c>
      <c r="BD98" s="591" t="str">
        <f t="shared" si="7"/>
        <v>SAMA-NCA-ECC-2-2024</v>
      </c>
      <c r="BE98" s="591" t="str">
        <f t="shared" si="8"/>
        <v>NCA-ECC-2-2024</v>
      </c>
      <c r="BF98" s="594">
        <f t="shared" si="9"/>
        <v>7</v>
      </c>
    </row>
    <row r="99" spans="1:58" ht="42" customHeight="1" x14ac:dyDescent="0.45">
      <c r="A99" s="42">
        <v>92</v>
      </c>
      <c r="B99" s="115" t="s">
        <v>1286</v>
      </c>
      <c r="C99" s="44" t="s">
        <v>1287</v>
      </c>
      <c r="D99" s="44" t="s">
        <v>1288</v>
      </c>
      <c r="E99" s="115" t="s">
        <v>382</v>
      </c>
      <c r="F99" s="45" t="s">
        <v>383</v>
      </c>
      <c r="G99" s="44" t="s">
        <v>384</v>
      </c>
      <c r="H99" s="44" t="s">
        <v>765</v>
      </c>
      <c r="I99" s="46" t="s">
        <v>250</v>
      </c>
      <c r="J99" s="46" t="s">
        <v>386</v>
      </c>
      <c r="K99" s="44" t="s">
        <v>558</v>
      </c>
      <c r="L99" s="66" t="s">
        <v>559</v>
      </c>
      <c r="M99" s="44" t="s">
        <v>1338</v>
      </c>
      <c r="N99" s="55" t="s">
        <v>253</v>
      </c>
      <c r="O99" s="48" t="s">
        <v>540</v>
      </c>
      <c r="P99" s="44" t="s">
        <v>767</v>
      </c>
      <c r="Q99" s="98" t="s">
        <v>390</v>
      </c>
      <c r="R99" s="98" t="s">
        <v>391</v>
      </c>
      <c r="S99" s="100" t="s">
        <v>392</v>
      </c>
      <c r="T99" s="98" t="s">
        <v>393</v>
      </c>
      <c r="U99" s="25" t="s">
        <v>394</v>
      </c>
      <c r="V99" s="98" t="s">
        <v>395</v>
      </c>
      <c r="W99" s="99" t="s">
        <v>396</v>
      </c>
      <c r="X99" s="98" t="s">
        <v>397</v>
      </c>
      <c r="Y99" s="49" t="s">
        <v>398</v>
      </c>
      <c r="Z99" s="98" t="s">
        <v>399</v>
      </c>
      <c r="AA99" s="100" t="s">
        <v>400</v>
      </c>
      <c r="AB99" s="98" t="s">
        <v>401</v>
      </c>
      <c r="AC99" s="98" t="s">
        <v>402</v>
      </c>
      <c r="AD99" s="49" t="s">
        <v>403</v>
      </c>
      <c r="AE99" s="50" t="s">
        <v>404</v>
      </c>
      <c r="AF99" s="60" t="s">
        <v>405</v>
      </c>
      <c r="AG99" s="98" t="s">
        <v>406</v>
      </c>
      <c r="AH99" s="98" t="s">
        <v>407</v>
      </c>
      <c r="AI99" s="103" t="s">
        <v>408</v>
      </c>
      <c r="AJ99" s="98" t="s">
        <v>409</v>
      </c>
      <c r="AK99" s="104" t="s">
        <v>410</v>
      </c>
      <c r="AL99" s="105" t="s">
        <v>411</v>
      </c>
      <c r="AM99" s="106" t="s">
        <v>412</v>
      </c>
      <c r="AN99" s="107" t="s">
        <v>413</v>
      </c>
      <c r="AO99" s="108" t="s">
        <v>414</v>
      </c>
      <c r="AP99" s="51" t="s">
        <v>415</v>
      </c>
      <c r="AQ99" s="109" t="s">
        <v>416</v>
      </c>
      <c r="AR99" s="104" t="s">
        <v>417</v>
      </c>
      <c r="AS99" s="22" t="s">
        <v>418</v>
      </c>
      <c r="AT99" s="105" t="s">
        <v>419</v>
      </c>
      <c r="AU99" s="110" t="s">
        <v>420</v>
      </c>
      <c r="AV99" s="111" t="s">
        <v>421</v>
      </c>
      <c r="AW99" s="112" t="s">
        <v>422</v>
      </c>
      <c r="AX99" s="113" t="s">
        <v>423</v>
      </c>
      <c r="AY99" s="114" t="s">
        <v>424</v>
      </c>
      <c r="AZ99" s="111" t="s">
        <v>425</v>
      </c>
      <c r="BA99" s="34" t="s">
        <v>320</v>
      </c>
      <c r="BB99" s="591" t="str">
        <f t="shared" si="5"/>
        <v>DEEP</v>
      </c>
      <c r="BC99" s="591" t="str">
        <f t="shared" si="6"/>
        <v>5. Financial Regulators-SAMA-PDPL-2021</v>
      </c>
      <c r="BD99" s="591" t="str">
        <f t="shared" si="7"/>
        <v>SAMA-PDPL-2021</v>
      </c>
      <c r="BE99" s="591" t="str">
        <f t="shared" si="8"/>
        <v>NONE</v>
      </c>
      <c r="BF99" s="594">
        <f t="shared" si="9"/>
        <v>14</v>
      </c>
    </row>
    <row r="100" spans="1:58" x14ac:dyDescent="0.45">
      <c r="BB100" s="591" t="str">
        <f t="shared" si="5"/>
        <v/>
      </c>
      <c r="BC100" s="591" t="str">
        <f t="shared" si="6"/>
        <v/>
      </c>
      <c r="BD100" s="591" t="str">
        <f t="shared" si="7"/>
        <v/>
      </c>
      <c r="BE100" s="591" t="str">
        <f t="shared" si="8"/>
        <v/>
      </c>
      <c r="BF100" s="594" t="str">
        <f t="shared" si="9"/>
        <v/>
      </c>
    </row>
    <row r="101" spans="1:58" ht="19.5" customHeight="1" x14ac:dyDescent="0.45">
      <c r="A101" s="117"/>
      <c r="B101" s="118" t="s">
        <v>1339</v>
      </c>
      <c r="C101" s="117"/>
      <c r="D101" s="117"/>
      <c r="E101" s="117"/>
      <c r="F101" s="117"/>
      <c r="G101" s="117"/>
      <c r="H101" s="117"/>
      <c r="I101" s="117"/>
      <c r="J101" s="117"/>
      <c r="K101" s="117"/>
      <c r="L101" s="117"/>
      <c r="M101" s="117"/>
      <c r="N101" s="117"/>
      <c r="O101" s="117"/>
      <c r="P101" s="117"/>
      <c r="BB101" s="591" t="str">
        <f t="shared" si="5"/>
        <v/>
      </c>
      <c r="BC101" s="591" t="str">
        <f t="shared" si="6"/>
        <v/>
      </c>
      <c r="BD101" s="591" t="str">
        <f t="shared" si="7"/>
        <v/>
      </c>
      <c r="BE101" s="591" t="str">
        <f t="shared" si="8"/>
        <v/>
      </c>
      <c r="BF101" s="594" t="str">
        <f t="shared" si="9"/>
        <v/>
      </c>
    </row>
    <row r="102" spans="1:58" ht="42" customHeight="1" x14ac:dyDescent="0.45">
      <c r="A102" s="119">
        <v>93</v>
      </c>
      <c r="B102" s="120" t="s">
        <v>1340</v>
      </c>
      <c r="C102" s="121" t="s">
        <v>1341</v>
      </c>
      <c r="D102" s="121" t="s">
        <v>1342</v>
      </c>
      <c r="E102" s="120" t="s">
        <v>1343</v>
      </c>
      <c r="F102" s="122" t="s">
        <v>1344</v>
      </c>
      <c r="G102" s="121" t="s">
        <v>1345</v>
      </c>
      <c r="H102" s="121" t="s">
        <v>912</v>
      </c>
      <c r="I102" s="123" t="s">
        <v>1346</v>
      </c>
      <c r="J102" s="123" t="s">
        <v>310</v>
      </c>
      <c r="K102" s="121" t="s">
        <v>63</v>
      </c>
      <c r="L102" s="22" t="s">
        <v>64</v>
      </c>
      <c r="M102" s="121" t="s">
        <v>1347</v>
      </c>
      <c r="N102" s="124" t="s">
        <v>154</v>
      </c>
      <c r="O102" s="125" t="s">
        <v>1348</v>
      </c>
      <c r="P102" s="121" t="s">
        <v>1349</v>
      </c>
      <c r="Q102" s="121" t="s">
        <v>1350</v>
      </c>
      <c r="R102" s="121" t="s">
        <v>1351</v>
      </c>
      <c r="S102" s="123" t="s">
        <v>1352</v>
      </c>
      <c r="T102" s="121" t="s">
        <v>1353</v>
      </c>
      <c r="U102" s="25" t="s">
        <v>1354</v>
      </c>
      <c r="V102" s="121" t="s">
        <v>282</v>
      </c>
      <c r="W102" s="122" t="s">
        <v>283</v>
      </c>
      <c r="X102" s="121" t="s">
        <v>284</v>
      </c>
      <c r="Y102" s="49" t="s">
        <v>285</v>
      </c>
      <c r="Z102" s="121" t="s">
        <v>286</v>
      </c>
      <c r="AA102" s="123" t="s">
        <v>286</v>
      </c>
      <c r="AB102" s="121" t="s">
        <v>287</v>
      </c>
      <c r="AC102" s="121" t="s">
        <v>288</v>
      </c>
      <c r="AD102" s="49" t="s">
        <v>289</v>
      </c>
      <c r="AE102" s="58" t="s">
        <v>290</v>
      </c>
      <c r="AF102" s="56" t="s">
        <v>291</v>
      </c>
      <c r="AG102" s="121" t="s">
        <v>292</v>
      </c>
      <c r="AH102" s="121" t="s">
        <v>293</v>
      </c>
      <c r="AI102" s="126" t="s">
        <v>215</v>
      </c>
      <c r="AJ102" s="121" t="s">
        <v>216</v>
      </c>
      <c r="AK102" s="127" t="s">
        <v>217</v>
      </c>
      <c r="AL102" s="128" t="s">
        <v>218</v>
      </c>
      <c r="AM102" s="129" t="s">
        <v>219</v>
      </c>
      <c r="AN102" s="130" t="s">
        <v>220</v>
      </c>
      <c r="AO102" s="131" t="s">
        <v>221</v>
      </c>
      <c r="AP102" s="51" t="s">
        <v>138</v>
      </c>
      <c r="AQ102" s="132" t="s">
        <v>139</v>
      </c>
      <c r="AR102" s="127" t="s">
        <v>140</v>
      </c>
      <c r="AS102" s="22" t="s">
        <v>141</v>
      </c>
      <c r="AT102" s="128" t="s">
        <v>142</v>
      </c>
      <c r="AU102" s="133" t="s">
        <v>143</v>
      </c>
      <c r="AV102" s="134" t="s">
        <v>144</v>
      </c>
      <c r="AW102" s="135" t="s">
        <v>145</v>
      </c>
      <c r="AX102" s="136" t="s">
        <v>146</v>
      </c>
      <c r="AY102" s="137" t="s">
        <v>147</v>
      </c>
      <c r="AZ102" s="134" t="s">
        <v>1355</v>
      </c>
      <c r="BA102" s="41" t="s">
        <v>105</v>
      </c>
      <c r="BB102" s="591" t="str">
        <f t="shared" si="5"/>
        <v>TEMPLATE</v>
      </c>
      <c r="BC102" s="591" t="str">
        <f t="shared" si="6"/>
        <v>4. ICT / Digital / Telecom-CST-CST-TITA</v>
      </c>
      <c r="BD102" s="591" t="str">
        <f t="shared" si="7"/>
        <v>CST-CST-TITA</v>
      </c>
      <c r="BE102" s="591" t="str">
        <f t="shared" si="8"/>
        <v>NONE</v>
      </c>
      <c r="BF102" s="594">
        <f t="shared" si="9"/>
        <v>9</v>
      </c>
    </row>
    <row r="103" spans="1:58" ht="42" customHeight="1" x14ac:dyDescent="0.45">
      <c r="A103" s="42">
        <v>94</v>
      </c>
      <c r="B103" s="138" t="s">
        <v>1340</v>
      </c>
      <c r="C103" s="44" t="s">
        <v>1341</v>
      </c>
      <c r="D103" s="44" t="s">
        <v>1342</v>
      </c>
      <c r="E103" s="138" t="s">
        <v>1356</v>
      </c>
      <c r="F103" s="45" t="s">
        <v>1357</v>
      </c>
      <c r="G103" s="44" t="s">
        <v>1358</v>
      </c>
      <c r="H103" s="44" t="s">
        <v>1359</v>
      </c>
      <c r="I103" s="46" t="s">
        <v>151</v>
      </c>
      <c r="J103" s="46" t="s">
        <v>386</v>
      </c>
      <c r="K103" s="44" t="s">
        <v>63</v>
      </c>
      <c r="L103" s="22" t="s">
        <v>64</v>
      </c>
      <c r="M103" s="44" t="s">
        <v>1360</v>
      </c>
      <c r="N103" s="54" t="s">
        <v>154</v>
      </c>
      <c r="O103" s="48" t="s">
        <v>1348</v>
      </c>
      <c r="P103" s="44" t="s">
        <v>1361</v>
      </c>
      <c r="Q103" s="121" t="s">
        <v>562</v>
      </c>
      <c r="R103" s="121" t="s">
        <v>563</v>
      </c>
      <c r="S103" s="123" t="s">
        <v>564</v>
      </c>
      <c r="T103" s="121" t="s">
        <v>565</v>
      </c>
      <c r="U103" s="25" t="s">
        <v>566</v>
      </c>
      <c r="V103" s="121" t="s">
        <v>282</v>
      </c>
      <c r="W103" s="122" t="s">
        <v>283</v>
      </c>
      <c r="X103" s="121" t="s">
        <v>284</v>
      </c>
      <c r="Y103" s="49" t="s">
        <v>285</v>
      </c>
      <c r="Z103" s="121" t="s">
        <v>286</v>
      </c>
      <c r="AA103" s="123" t="s">
        <v>286</v>
      </c>
      <c r="AB103" s="121" t="s">
        <v>287</v>
      </c>
      <c r="AC103" s="121" t="s">
        <v>288</v>
      </c>
      <c r="AD103" s="49" t="s">
        <v>289</v>
      </c>
      <c r="AE103" s="58" t="s">
        <v>290</v>
      </c>
      <c r="AF103" s="56" t="s">
        <v>291</v>
      </c>
      <c r="AG103" s="121" t="s">
        <v>292</v>
      </c>
      <c r="AH103" s="121" t="s">
        <v>293</v>
      </c>
      <c r="AI103" s="126" t="s">
        <v>215</v>
      </c>
      <c r="AJ103" s="121" t="s">
        <v>216</v>
      </c>
      <c r="AK103" s="127" t="s">
        <v>217</v>
      </c>
      <c r="AL103" s="128" t="s">
        <v>218</v>
      </c>
      <c r="AM103" s="129" t="s">
        <v>219</v>
      </c>
      <c r="AN103" s="130" t="s">
        <v>220</v>
      </c>
      <c r="AO103" s="131" t="s">
        <v>221</v>
      </c>
      <c r="AP103" s="51" t="s">
        <v>138</v>
      </c>
      <c r="AQ103" s="132" t="s">
        <v>139</v>
      </c>
      <c r="AR103" s="127" t="s">
        <v>140</v>
      </c>
      <c r="AS103" s="22" t="s">
        <v>141</v>
      </c>
      <c r="AT103" s="128" t="s">
        <v>142</v>
      </c>
      <c r="AU103" s="133" t="s">
        <v>143</v>
      </c>
      <c r="AV103" s="134" t="s">
        <v>144</v>
      </c>
      <c r="AW103" s="135" t="s">
        <v>145</v>
      </c>
      <c r="AX103" s="136" t="s">
        <v>146</v>
      </c>
      <c r="AY103" s="137" t="s">
        <v>147</v>
      </c>
      <c r="AZ103" s="134" t="s">
        <v>1355</v>
      </c>
      <c r="BA103" s="41" t="s">
        <v>105</v>
      </c>
      <c r="BB103" s="591" t="str">
        <f t="shared" si="5"/>
        <v>TEMPLATE</v>
      </c>
      <c r="BC103" s="591" t="str">
        <f t="shared" si="6"/>
        <v>4. ICT / Digital / Telecom-CST-CST-CSRF</v>
      </c>
      <c r="BD103" s="591" t="str">
        <f t="shared" si="7"/>
        <v>CST-CST-CSRF</v>
      </c>
      <c r="BE103" s="591" t="str">
        <f t="shared" si="8"/>
        <v>NONE</v>
      </c>
      <c r="BF103" s="594">
        <f t="shared" si="9"/>
        <v>9</v>
      </c>
    </row>
    <row r="104" spans="1:58" ht="42" customHeight="1" x14ac:dyDescent="0.45">
      <c r="A104" s="119">
        <v>95</v>
      </c>
      <c r="B104" s="120" t="s">
        <v>1340</v>
      </c>
      <c r="C104" s="121" t="s">
        <v>1341</v>
      </c>
      <c r="D104" s="121" t="s">
        <v>1342</v>
      </c>
      <c r="E104" s="120" t="s">
        <v>1362</v>
      </c>
      <c r="F104" s="122" t="s">
        <v>1363</v>
      </c>
      <c r="G104" s="121" t="s">
        <v>1364</v>
      </c>
      <c r="H104" s="121" t="s">
        <v>1365</v>
      </c>
      <c r="I104" s="123" t="s">
        <v>109</v>
      </c>
      <c r="J104" s="123" t="s">
        <v>226</v>
      </c>
      <c r="K104" s="121" t="s">
        <v>63</v>
      </c>
      <c r="L104" s="22" t="s">
        <v>64</v>
      </c>
      <c r="M104" s="121" t="s">
        <v>1366</v>
      </c>
      <c r="N104" s="124" t="s">
        <v>154</v>
      </c>
      <c r="O104" s="125" t="s">
        <v>1348</v>
      </c>
      <c r="P104" s="121" t="s">
        <v>1361</v>
      </c>
      <c r="Q104" s="121" t="s">
        <v>562</v>
      </c>
      <c r="R104" s="121" t="s">
        <v>563</v>
      </c>
      <c r="S104" s="123" t="s">
        <v>564</v>
      </c>
      <c r="T104" s="121" t="s">
        <v>565</v>
      </c>
      <c r="U104" s="25" t="s">
        <v>566</v>
      </c>
      <c r="V104" s="121" t="s">
        <v>282</v>
      </c>
      <c r="W104" s="122" t="s">
        <v>283</v>
      </c>
      <c r="X104" s="121" t="s">
        <v>284</v>
      </c>
      <c r="Y104" s="49" t="s">
        <v>285</v>
      </c>
      <c r="Z104" s="121" t="s">
        <v>286</v>
      </c>
      <c r="AA104" s="123" t="s">
        <v>286</v>
      </c>
      <c r="AB104" s="121" t="s">
        <v>287</v>
      </c>
      <c r="AC104" s="121" t="s">
        <v>288</v>
      </c>
      <c r="AD104" s="49" t="s">
        <v>289</v>
      </c>
      <c r="AE104" s="58" t="s">
        <v>290</v>
      </c>
      <c r="AF104" s="56" t="s">
        <v>291</v>
      </c>
      <c r="AG104" s="121" t="s">
        <v>292</v>
      </c>
      <c r="AH104" s="121" t="s">
        <v>293</v>
      </c>
      <c r="AI104" s="126" t="s">
        <v>215</v>
      </c>
      <c r="AJ104" s="121" t="s">
        <v>216</v>
      </c>
      <c r="AK104" s="127" t="s">
        <v>217</v>
      </c>
      <c r="AL104" s="128" t="s">
        <v>218</v>
      </c>
      <c r="AM104" s="129" t="s">
        <v>219</v>
      </c>
      <c r="AN104" s="130" t="s">
        <v>220</v>
      </c>
      <c r="AO104" s="131" t="s">
        <v>221</v>
      </c>
      <c r="AP104" s="51" t="s">
        <v>138</v>
      </c>
      <c r="AQ104" s="132" t="s">
        <v>139</v>
      </c>
      <c r="AR104" s="127" t="s">
        <v>140</v>
      </c>
      <c r="AS104" s="22" t="s">
        <v>141</v>
      </c>
      <c r="AT104" s="128" t="s">
        <v>142</v>
      </c>
      <c r="AU104" s="133" t="s">
        <v>143</v>
      </c>
      <c r="AV104" s="134" t="s">
        <v>144</v>
      </c>
      <c r="AW104" s="135" t="s">
        <v>145</v>
      </c>
      <c r="AX104" s="136" t="s">
        <v>146</v>
      </c>
      <c r="AY104" s="137" t="s">
        <v>147</v>
      </c>
      <c r="AZ104" s="134" t="s">
        <v>1355</v>
      </c>
      <c r="BA104" s="41" t="s">
        <v>105</v>
      </c>
      <c r="BB104" s="591" t="str">
        <f t="shared" si="5"/>
        <v>TEMPLATE</v>
      </c>
      <c r="BC104" s="591" t="str">
        <f t="shared" si="6"/>
        <v>4. ICT / Digital / Telecom-CST-CST-CYBER-OPS</v>
      </c>
      <c r="BD104" s="591" t="str">
        <f t="shared" si="7"/>
        <v>CST-CST-CYBER-OPS</v>
      </c>
      <c r="BE104" s="591" t="str">
        <f t="shared" si="8"/>
        <v>NONE</v>
      </c>
      <c r="BF104" s="594">
        <f t="shared" si="9"/>
        <v>9</v>
      </c>
    </row>
    <row r="105" spans="1:58" ht="42" customHeight="1" x14ac:dyDescent="0.45">
      <c r="A105" s="42">
        <v>96</v>
      </c>
      <c r="B105" s="138" t="s">
        <v>1340</v>
      </c>
      <c r="C105" s="44" t="s">
        <v>1341</v>
      </c>
      <c r="D105" s="44" t="s">
        <v>1342</v>
      </c>
      <c r="E105" s="138" t="s">
        <v>1367</v>
      </c>
      <c r="F105" s="45" t="s">
        <v>1368</v>
      </c>
      <c r="G105" s="44" t="s">
        <v>1369</v>
      </c>
      <c r="H105" s="44" t="s">
        <v>1148</v>
      </c>
      <c r="I105" s="46" t="s">
        <v>61</v>
      </c>
      <c r="J105" s="46" t="s">
        <v>1370</v>
      </c>
      <c r="K105" s="44" t="s">
        <v>63</v>
      </c>
      <c r="L105" s="22" t="s">
        <v>64</v>
      </c>
      <c r="M105" s="44" t="s">
        <v>1371</v>
      </c>
      <c r="N105" s="54" t="s">
        <v>154</v>
      </c>
      <c r="O105" s="48" t="s">
        <v>1348</v>
      </c>
      <c r="P105" s="44" t="s">
        <v>1372</v>
      </c>
      <c r="Q105" s="121" t="s">
        <v>1373</v>
      </c>
      <c r="R105" s="121" t="s">
        <v>1374</v>
      </c>
      <c r="S105" s="123" t="s">
        <v>1375</v>
      </c>
      <c r="T105" s="121" t="s">
        <v>1376</v>
      </c>
      <c r="U105" s="25" t="s">
        <v>1377</v>
      </c>
      <c r="V105" s="121" t="s">
        <v>282</v>
      </c>
      <c r="W105" s="122" t="s">
        <v>283</v>
      </c>
      <c r="X105" s="121" t="s">
        <v>284</v>
      </c>
      <c r="Y105" s="49" t="s">
        <v>285</v>
      </c>
      <c r="Z105" s="121" t="s">
        <v>286</v>
      </c>
      <c r="AA105" s="123" t="s">
        <v>286</v>
      </c>
      <c r="AB105" s="121" t="s">
        <v>287</v>
      </c>
      <c r="AC105" s="121" t="s">
        <v>288</v>
      </c>
      <c r="AD105" s="49" t="s">
        <v>289</v>
      </c>
      <c r="AE105" s="58" t="s">
        <v>290</v>
      </c>
      <c r="AF105" s="56" t="s">
        <v>291</v>
      </c>
      <c r="AG105" s="121" t="s">
        <v>292</v>
      </c>
      <c r="AH105" s="121" t="s">
        <v>293</v>
      </c>
      <c r="AI105" s="126" t="s">
        <v>215</v>
      </c>
      <c r="AJ105" s="121" t="s">
        <v>216</v>
      </c>
      <c r="AK105" s="127" t="s">
        <v>217</v>
      </c>
      <c r="AL105" s="128" t="s">
        <v>218</v>
      </c>
      <c r="AM105" s="129" t="s">
        <v>219</v>
      </c>
      <c r="AN105" s="130" t="s">
        <v>220</v>
      </c>
      <c r="AO105" s="131" t="s">
        <v>221</v>
      </c>
      <c r="AP105" s="51" t="s">
        <v>138</v>
      </c>
      <c r="AQ105" s="132" t="s">
        <v>139</v>
      </c>
      <c r="AR105" s="127" t="s">
        <v>140</v>
      </c>
      <c r="AS105" s="22" t="s">
        <v>141</v>
      </c>
      <c r="AT105" s="128" t="s">
        <v>142</v>
      </c>
      <c r="AU105" s="133" t="s">
        <v>143</v>
      </c>
      <c r="AV105" s="134" t="s">
        <v>144</v>
      </c>
      <c r="AW105" s="135" t="s">
        <v>145</v>
      </c>
      <c r="AX105" s="136" t="s">
        <v>146</v>
      </c>
      <c r="AY105" s="137" t="s">
        <v>147</v>
      </c>
      <c r="AZ105" s="134" t="s">
        <v>1378</v>
      </c>
      <c r="BA105" s="34" t="s">
        <v>320</v>
      </c>
      <c r="BB105" s="591" t="str">
        <f t="shared" si="5"/>
        <v>TEMPLATE</v>
      </c>
      <c r="BC105" s="591" t="str">
        <f t="shared" si="6"/>
        <v>4. ICT / Digital / Telecom-CST-CST-CCR</v>
      </c>
      <c r="BD105" s="591" t="str">
        <f t="shared" si="7"/>
        <v>CST-CST-CCR</v>
      </c>
      <c r="BE105" s="591" t="str">
        <f t="shared" si="8"/>
        <v>NONE</v>
      </c>
      <c r="BF105" s="594">
        <f t="shared" si="9"/>
        <v>9</v>
      </c>
    </row>
    <row r="106" spans="1:58" ht="42" customHeight="1" x14ac:dyDescent="0.45">
      <c r="A106" s="119">
        <v>97</v>
      </c>
      <c r="B106" s="120" t="s">
        <v>1340</v>
      </c>
      <c r="C106" s="121" t="s">
        <v>1341</v>
      </c>
      <c r="D106" s="121" t="s">
        <v>1342</v>
      </c>
      <c r="E106" s="120" t="s">
        <v>1379</v>
      </c>
      <c r="F106" s="122" t="s">
        <v>1380</v>
      </c>
      <c r="G106" s="121" t="s">
        <v>1381</v>
      </c>
      <c r="H106" s="121" t="s">
        <v>337</v>
      </c>
      <c r="I106" s="123" t="s">
        <v>337</v>
      </c>
      <c r="J106" s="123" t="s">
        <v>743</v>
      </c>
      <c r="K106" s="121" t="s">
        <v>63</v>
      </c>
      <c r="L106" s="22" t="s">
        <v>64</v>
      </c>
      <c r="M106" s="121" t="s">
        <v>1382</v>
      </c>
      <c r="N106" s="124" t="s">
        <v>154</v>
      </c>
      <c r="O106" s="125" t="s">
        <v>1348</v>
      </c>
      <c r="P106" s="121" t="s">
        <v>527</v>
      </c>
      <c r="Q106" s="121" t="s">
        <v>1383</v>
      </c>
      <c r="R106" s="121" t="s">
        <v>1384</v>
      </c>
      <c r="S106" s="123" t="s">
        <v>1385</v>
      </c>
      <c r="T106" s="121" t="s">
        <v>1386</v>
      </c>
      <c r="U106" s="25" t="s">
        <v>1387</v>
      </c>
      <c r="V106" s="121" t="s">
        <v>282</v>
      </c>
      <c r="W106" s="122" t="s">
        <v>283</v>
      </c>
      <c r="X106" s="121" t="s">
        <v>284</v>
      </c>
      <c r="Y106" s="49" t="s">
        <v>285</v>
      </c>
      <c r="Z106" s="121" t="s">
        <v>286</v>
      </c>
      <c r="AA106" s="123" t="s">
        <v>286</v>
      </c>
      <c r="AB106" s="121" t="s">
        <v>287</v>
      </c>
      <c r="AC106" s="121" t="s">
        <v>288</v>
      </c>
      <c r="AD106" s="49" t="s">
        <v>289</v>
      </c>
      <c r="AE106" s="58" t="s">
        <v>290</v>
      </c>
      <c r="AF106" s="56" t="s">
        <v>291</v>
      </c>
      <c r="AG106" s="121" t="s">
        <v>292</v>
      </c>
      <c r="AH106" s="121" t="s">
        <v>293</v>
      </c>
      <c r="AI106" s="126" t="s">
        <v>215</v>
      </c>
      <c r="AJ106" s="121" t="s">
        <v>216</v>
      </c>
      <c r="AK106" s="127" t="s">
        <v>217</v>
      </c>
      <c r="AL106" s="128" t="s">
        <v>218</v>
      </c>
      <c r="AM106" s="129" t="s">
        <v>219</v>
      </c>
      <c r="AN106" s="130" t="s">
        <v>220</v>
      </c>
      <c r="AO106" s="131" t="s">
        <v>221</v>
      </c>
      <c r="AP106" s="51" t="s">
        <v>138</v>
      </c>
      <c r="AQ106" s="132" t="s">
        <v>139</v>
      </c>
      <c r="AR106" s="127" t="s">
        <v>140</v>
      </c>
      <c r="AS106" s="22" t="s">
        <v>141</v>
      </c>
      <c r="AT106" s="128" t="s">
        <v>142</v>
      </c>
      <c r="AU106" s="133" t="s">
        <v>143</v>
      </c>
      <c r="AV106" s="134" t="s">
        <v>144</v>
      </c>
      <c r="AW106" s="135" t="s">
        <v>145</v>
      </c>
      <c r="AX106" s="136" t="s">
        <v>146</v>
      </c>
      <c r="AY106" s="137" t="s">
        <v>147</v>
      </c>
      <c r="AZ106" s="134" t="s">
        <v>1388</v>
      </c>
      <c r="BA106" s="34" t="s">
        <v>320</v>
      </c>
      <c r="BB106" s="591" t="str">
        <f t="shared" si="5"/>
        <v>TEMPLATE</v>
      </c>
      <c r="BC106" s="591" t="str">
        <f t="shared" si="6"/>
        <v>4. ICT / Digital / Telecom-CST-CST-DPS</v>
      </c>
      <c r="BD106" s="591" t="str">
        <f t="shared" si="7"/>
        <v>CST-CST-DPS</v>
      </c>
      <c r="BE106" s="591" t="str">
        <f t="shared" si="8"/>
        <v>NONE</v>
      </c>
      <c r="BF106" s="594">
        <f t="shared" si="9"/>
        <v>9</v>
      </c>
    </row>
    <row r="107" spans="1:58" ht="42" customHeight="1" x14ac:dyDescent="0.45">
      <c r="A107" s="42">
        <v>98</v>
      </c>
      <c r="B107" s="138" t="s">
        <v>1340</v>
      </c>
      <c r="C107" s="44" t="s">
        <v>1341</v>
      </c>
      <c r="D107" s="44" t="s">
        <v>1342</v>
      </c>
      <c r="E107" s="138" t="s">
        <v>1389</v>
      </c>
      <c r="F107" s="45" t="s">
        <v>1390</v>
      </c>
      <c r="G107" s="44" t="s">
        <v>1391</v>
      </c>
      <c r="H107" s="44" t="s">
        <v>337</v>
      </c>
      <c r="I107" s="46" t="s">
        <v>337</v>
      </c>
      <c r="J107" s="46" t="s">
        <v>755</v>
      </c>
      <c r="K107" s="44" t="s">
        <v>63</v>
      </c>
      <c r="L107" s="22" t="s">
        <v>64</v>
      </c>
      <c r="M107" s="44" t="s">
        <v>1392</v>
      </c>
      <c r="N107" s="54" t="s">
        <v>154</v>
      </c>
      <c r="O107" s="48" t="s">
        <v>1348</v>
      </c>
      <c r="P107" s="44" t="s">
        <v>527</v>
      </c>
      <c r="Q107" s="121" t="s">
        <v>1393</v>
      </c>
      <c r="R107" s="121" t="s">
        <v>1394</v>
      </c>
      <c r="S107" s="123" t="s">
        <v>850</v>
      </c>
      <c r="T107" s="121" t="s">
        <v>1386</v>
      </c>
      <c r="U107" s="25" t="s">
        <v>1395</v>
      </c>
      <c r="V107" s="121" t="s">
        <v>282</v>
      </c>
      <c r="W107" s="122" t="s">
        <v>283</v>
      </c>
      <c r="X107" s="121" t="s">
        <v>284</v>
      </c>
      <c r="Y107" s="49" t="s">
        <v>285</v>
      </c>
      <c r="Z107" s="121" t="s">
        <v>286</v>
      </c>
      <c r="AA107" s="123" t="s">
        <v>286</v>
      </c>
      <c r="AB107" s="121" t="s">
        <v>287</v>
      </c>
      <c r="AC107" s="121" t="s">
        <v>288</v>
      </c>
      <c r="AD107" s="49" t="s">
        <v>289</v>
      </c>
      <c r="AE107" s="58" t="s">
        <v>290</v>
      </c>
      <c r="AF107" s="56" t="s">
        <v>291</v>
      </c>
      <c r="AG107" s="121" t="s">
        <v>292</v>
      </c>
      <c r="AH107" s="121" t="s">
        <v>293</v>
      </c>
      <c r="AI107" s="126" t="s">
        <v>215</v>
      </c>
      <c r="AJ107" s="121" t="s">
        <v>216</v>
      </c>
      <c r="AK107" s="127" t="s">
        <v>217</v>
      </c>
      <c r="AL107" s="128" t="s">
        <v>218</v>
      </c>
      <c r="AM107" s="129" t="s">
        <v>219</v>
      </c>
      <c r="AN107" s="130" t="s">
        <v>220</v>
      </c>
      <c r="AO107" s="131" t="s">
        <v>221</v>
      </c>
      <c r="AP107" s="51" t="s">
        <v>138</v>
      </c>
      <c r="AQ107" s="132" t="s">
        <v>139</v>
      </c>
      <c r="AR107" s="127" t="s">
        <v>140</v>
      </c>
      <c r="AS107" s="22" t="s">
        <v>141</v>
      </c>
      <c r="AT107" s="128" t="s">
        <v>142</v>
      </c>
      <c r="AU107" s="133" t="s">
        <v>143</v>
      </c>
      <c r="AV107" s="134" t="s">
        <v>144</v>
      </c>
      <c r="AW107" s="135" t="s">
        <v>145</v>
      </c>
      <c r="AX107" s="136" t="s">
        <v>146</v>
      </c>
      <c r="AY107" s="137" t="s">
        <v>147</v>
      </c>
      <c r="AZ107" s="134" t="s">
        <v>1396</v>
      </c>
      <c r="BA107" s="34" t="s">
        <v>320</v>
      </c>
      <c r="BB107" s="591" t="str">
        <f t="shared" si="5"/>
        <v>TEMPLATE</v>
      </c>
      <c r="BC107" s="591" t="str">
        <f t="shared" si="6"/>
        <v>4. ICT / Digital / Telecom-CST-CST-DCS</v>
      </c>
      <c r="BD107" s="591" t="str">
        <f t="shared" si="7"/>
        <v>CST-CST-DCS</v>
      </c>
      <c r="BE107" s="591" t="str">
        <f t="shared" si="8"/>
        <v>NONE</v>
      </c>
      <c r="BF107" s="594">
        <f t="shared" si="9"/>
        <v>9</v>
      </c>
    </row>
    <row r="108" spans="1:58" ht="42" customHeight="1" x14ac:dyDescent="0.45">
      <c r="A108" s="119">
        <v>99</v>
      </c>
      <c r="B108" s="120" t="s">
        <v>1340</v>
      </c>
      <c r="C108" s="121" t="s">
        <v>1341</v>
      </c>
      <c r="D108" s="121" t="s">
        <v>1342</v>
      </c>
      <c r="E108" s="120" t="s">
        <v>1397</v>
      </c>
      <c r="F108" s="122" t="s">
        <v>1398</v>
      </c>
      <c r="G108" s="121" t="s">
        <v>1399</v>
      </c>
      <c r="H108" s="121" t="s">
        <v>1075</v>
      </c>
      <c r="I108" s="123" t="s">
        <v>225</v>
      </c>
      <c r="J108" s="123" t="s">
        <v>310</v>
      </c>
      <c r="K108" s="121" t="s">
        <v>63</v>
      </c>
      <c r="L108" s="22" t="s">
        <v>64</v>
      </c>
      <c r="M108" s="121" t="s">
        <v>1400</v>
      </c>
      <c r="N108" s="139" t="s">
        <v>66</v>
      </c>
      <c r="O108" s="125" t="s">
        <v>1348</v>
      </c>
      <c r="P108" s="121" t="s">
        <v>1401</v>
      </c>
      <c r="Q108" s="121" t="s">
        <v>1402</v>
      </c>
      <c r="R108" s="121" t="s">
        <v>1403</v>
      </c>
      <c r="S108" s="123" t="s">
        <v>1404</v>
      </c>
      <c r="T108" s="121" t="s">
        <v>1405</v>
      </c>
      <c r="U108" s="25" t="s">
        <v>1406</v>
      </c>
      <c r="V108" s="121" t="s">
        <v>1407</v>
      </c>
      <c r="W108" s="122" t="s">
        <v>1408</v>
      </c>
      <c r="X108" s="121" t="s">
        <v>1409</v>
      </c>
      <c r="Y108" s="49" t="s">
        <v>1410</v>
      </c>
      <c r="Z108" s="121" t="s">
        <v>1411</v>
      </c>
      <c r="AA108" s="123" t="s">
        <v>1412</v>
      </c>
      <c r="AB108" s="121" t="s">
        <v>1413</v>
      </c>
      <c r="AC108" s="121" t="s">
        <v>1414</v>
      </c>
      <c r="AD108" s="49" t="s">
        <v>1105</v>
      </c>
      <c r="AE108" s="37" t="s">
        <v>211</v>
      </c>
      <c r="AF108" s="60" t="s">
        <v>1415</v>
      </c>
      <c r="AG108" s="121" t="s">
        <v>1416</v>
      </c>
      <c r="AH108" s="121" t="s">
        <v>1417</v>
      </c>
      <c r="AI108" s="126" t="s">
        <v>4856</v>
      </c>
      <c r="AJ108" s="121" t="s">
        <v>4857</v>
      </c>
      <c r="AK108" s="127" t="s">
        <v>4858</v>
      </c>
      <c r="AL108" s="128" t="s">
        <v>218</v>
      </c>
      <c r="AM108" s="129" t="s">
        <v>4859</v>
      </c>
      <c r="AN108" s="130" t="s">
        <v>220</v>
      </c>
      <c r="AO108" s="131" t="s">
        <v>4860</v>
      </c>
      <c r="AP108" s="51" t="s">
        <v>138</v>
      </c>
      <c r="AQ108" s="132" t="s">
        <v>139</v>
      </c>
      <c r="AR108" s="127" t="s">
        <v>140</v>
      </c>
      <c r="AS108" s="22" t="s">
        <v>141</v>
      </c>
      <c r="AT108" s="128" t="s">
        <v>142</v>
      </c>
      <c r="AU108" s="133" t="s">
        <v>143</v>
      </c>
      <c r="AV108" s="134" t="s">
        <v>144</v>
      </c>
      <c r="AW108" s="135" t="s">
        <v>145</v>
      </c>
      <c r="AX108" s="136" t="s">
        <v>146</v>
      </c>
      <c r="AY108" s="137" t="s">
        <v>147</v>
      </c>
      <c r="AZ108" s="134" t="s">
        <v>1418</v>
      </c>
      <c r="BA108" s="34" t="s">
        <v>320</v>
      </c>
      <c r="BB108" s="591" t="str">
        <f t="shared" si="5"/>
        <v>DEEP</v>
      </c>
      <c r="BC108" s="591" t="str">
        <f t="shared" si="6"/>
        <v>4. ICT / Digital / Telecom-CST-CST-IOT</v>
      </c>
      <c r="BD108" s="591" t="str">
        <f t="shared" si="7"/>
        <v>CST-CST-IOT</v>
      </c>
      <c r="BE108" s="591" t="str">
        <f t="shared" si="8"/>
        <v>NONE</v>
      </c>
      <c r="BF108" s="594">
        <f t="shared" si="9"/>
        <v>18</v>
      </c>
    </row>
    <row r="109" spans="1:58" ht="42" customHeight="1" x14ac:dyDescent="0.45">
      <c r="A109" s="42">
        <v>100</v>
      </c>
      <c r="B109" s="138" t="s">
        <v>1340</v>
      </c>
      <c r="C109" s="44" t="s">
        <v>1341</v>
      </c>
      <c r="D109" s="44" t="s">
        <v>1342</v>
      </c>
      <c r="E109" s="138" t="s">
        <v>1419</v>
      </c>
      <c r="F109" s="45" t="s">
        <v>1420</v>
      </c>
      <c r="G109" s="44" t="s">
        <v>1421</v>
      </c>
      <c r="H109" s="44" t="s">
        <v>430</v>
      </c>
      <c r="I109" s="46" t="s">
        <v>430</v>
      </c>
      <c r="J109" s="46" t="s">
        <v>310</v>
      </c>
      <c r="K109" s="44" t="s">
        <v>63</v>
      </c>
      <c r="L109" s="22" t="s">
        <v>64</v>
      </c>
      <c r="M109" s="44" t="s">
        <v>1422</v>
      </c>
      <c r="N109" s="59" t="s">
        <v>275</v>
      </c>
      <c r="O109" s="48" t="s">
        <v>1348</v>
      </c>
      <c r="P109" s="44" t="s">
        <v>1423</v>
      </c>
      <c r="Q109" s="121" t="s">
        <v>562</v>
      </c>
      <c r="R109" s="121" t="s">
        <v>563</v>
      </c>
      <c r="S109" s="123" t="s">
        <v>564</v>
      </c>
      <c r="T109" s="121" t="s">
        <v>565</v>
      </c>
      <c r="U109" s="25" t="s">
        <v>566</v>
      </c>
      <c r="V109" s="121" t="s">
        <v>282</v>
      </c>
      <c r="W109" s="122" t="s">
        <v>283</v>
      </c>
      <c r="X109" s="121" t="s">
        <v>284</v>
      </c>
      <c r="Y109" s="49" t="s">
        <v>285</v>
      </c>
      <c r="Z109" s="121" t="s">
        <v>286</v>
      </c>
      <c r="AA109" s="123" t="s">
        <v>286</v>
      </c>
      <c r="AB109" s="121" t="s">
        <v>287</v>
      </c>
      <c r="AC109" s="121" t="s">
        <v>288</v>
      </c>
      <c r="AD109" s="49" t="s">
        <v>289</v>
      </c>
      <c r="AE109" s="58" t="s">
        <v>290</v>
      </c>
      <c r="AF109" s="56" t="s">
        <v>291</v>
      </c>
      <c r="AG109" s="121" t="s">
        <v>292</v>
      </c>
      <c r="AH109" s="121" t="s">
        <v>293</v>
      </c>
      <c r="AI109" s="126" t="s">
        <v>215</v>
      </c>
      <c r="AJ109" s="121" t="s">
        <v>216</v>
      </c>
      <c r="AK109" s="127" t="s">
        <v>217</v>
      </c>
      <c r="AL109" s="128" t="s">
        <v>218</v>
      </c>
      <c r="AM109" s="129" t="s">
        <v>219</v>
      </c>
      <c r="AN109" s="130" t="s">
        <v>220</v>
      </c>
      <c r="AO109" s="131" t="s">
        <v>221</v>
      </c>
      <c r="AP109" s="51" t="s">
        <v>138</v>
      </c>
      <c r="AQ109" s="132" t="s">
        <v>139</v>
      </c>
      <c r="AR109" s="127" t="s">
        <v>140</v>
      </c>
      <c r="AS109" s="22" t="s">
        <v>141</v>
      </c>
      <c r="AT109" s="128" t="s">
        <v>142</v>
      </c>
      <c r="AU109" s="133" t="s">
        <v>143</v>
      </c>
      <c r="AV109" s="134" t="s">
        <v>144</v>
      </c>
      <c r="AW109" s="135" t="s">
        <v>145</v>
      </c>
      <c r="AX109" s="136" t="s">
        <v>146</v>
      </c>
      <c r="AY109" s="137" t="s">
        <v>147</v>
      </c>
      <c r="AZ109" s="134" t="s">
        <v>1355</v>
      </c>
      <c r="BA109" s="41" t="s">
        <v>105</v>
      </c>
      <c r="BB109" s="591" t="str">
        <f t="shared" si="5"/>
        <v>TEMPLATE</v>
      </c>
      <c r="BC109" s="591" t="str">
        <f t="shared" si="6"/>
        <v>4. ICT / Digital / Telecom-CST-CST-SPACE</v>
      </c>
      <c r="BD109" s="591" t="str">
        <f t="shared" si="7"/>
        <v>CST-CST-SPACE</v>
      </c>
      <c r="BE109" s="591" t="str">
        <f t="shared" si="8"/>
        <v>NONE</v>
      </c>
      <c r="BF109" s="594">
        <f t="shared" si="9"/>
        <v>6</v>
      </c>
    </row>
    <row r="110" spans="1:58" ht="42" customHeight="1" x14ac:dyDescent="0.45">
      <c r="A110" s="119">
        <v>101</v>
      </c>
      <c r="B110" s="120" t="s">
        <v>1340</v>
      </c>
      <c r="C110" s="121" t="s">
        <v>1341</v>
      </c>
      <c r="D110" s="121" t="s">
        <v>1342</v>
      </c>
      <c r="E110" s="120" t="s">
        <v>1424</v>
      </c>
      <c r="F110" s="122" t="s">
        <v>1425</v>
      </c>
      <c r="G110" s="121" t="s">
        <v>1426</v>
      </c>
      <c r="H110" s="121" t="s">
        <v>1023</v>
      </c>
      <c r="I110" s="123" t="s">
        <v>658</v>
      </c>
      <c r="J110" s="123" t="s">
        <v>310</v>
      </c>
      <c r="K110" s="121" t="s">
        <v>63</v>
      </c>
      <c r="L110" s="22" t="s">
        <v>64</v>
      </c>
      <c r="M110" s="121" t="s">
        <v>1427</v>
      </c>
      <c r="N110" s="140" t="s">
        <v>253</v>
      </c>
      <c r="O110" s="125" t="s">
        <v>1348</v>
      </c>
      <c r="P110" s="121" t="s">
        <v>1336</v>
      </c>
      <c r="Q110" s="121" t="s">
        <v>562</v>
      </c>
      <c r="R110" s="121" t="s">
        <v>563</v>
      </c>
      <c r="S110" s="123" t="s">
        <v>564</v>
      </c>
      <c r="T110" s="121" t="s">
        <v>565</v>
      </c>
      <c r="U110" s="25" t="s">
        <v>566</v>
      </c>
      <c r="V110" s="121" t="s">
        <v>282</v>
      </c>
      <c r="W110" s="122" t="s">
        <v>283</v>
      </c>
      <c r="X110" s="121" t="s">
        <v>284</v>
      </c>
      <c r="Y110" s="49" t="s">
        <v>285</v>
      </c>
      <c r="Z110" s="121" t="s">
        <v>286</v>
      </c>
      <c r="AA110" s="123" t="s">
        <v>286</v>
      </c>
      <c r="AB110" s="121" t="s">
        <v>287</v>
      </c>
      <c r="AC110" s="121" t="s">
        <v>288</v>
      </c>
      <c r="AD110" s="49" t="s">
        <v>289</v>
      </c>
      <c r="AE110" s="58" t="s">
        <v>290</v>
      </c>
      <c r="AF110" s="56" t="s">
        <v>291</v>
      </c>
      <c r="AG110" s="121" t="s">
        <v>292</v>
      </c>
      <c r="AH110" s="121" t="s">
        <v>293</v>
      </c>
      <c r="AI110" s="126" t="s">
        <v>215</v>
      </c>
      <c r="AJ110" s="121" t="s">
        <v>216</v>
      </c>
      <c r="AK110" s="127" t="s">
        <v>217</v>
      </c>
      <c r="AL110" s="128" t="s">
        <v>218</v>
      </c>
      <c r="AM110" s="129" t="s">
        <v>219</v>
      </c>
      <c r="AN110" s="130" t="s">
        <v>220</v>
      </c>
      <c r="AO110" s="131" t="s">
        <v>221</v>
      </c>
      <c r="AP110" s="51" t="s">
        <v>138</v>
      </c>
      <c r="AQ110" s="132" t="s">
        <v>139</v>
      </c>
      <c r="AR110" s="127" t="s">
        <v>140</v>
      </c>
      <c r="AS110" s="22" t="s">
        <v>141</v>
      </c>
      <c r="AT110" s="128" t="s">
        <v>142</v>
      </c>
      <c r="AU110" s="133" t="s">
        <v>143</v>
      </c>
      <c r="AV110" s="134" t="s">
        <v>144</v>
      </c>
      <c r="AW110" s="135" t="s">
        <v>145</v>
      </c>
      <c r="AX110" s="136" t="s">
        <v>146</v>
      </c>
      <c r="AY110" s="137" t="s">
        <v>147</v>
      </c>
      <c r="AZ110" s="134" t="s">
        <v>1355</v>
      </c>
      <c r="BA110" s="41" t="s">
        <v>105</v>
      </c>
      <c r="BB110" s="591" t="str">
        <f t="shared" si="5"/>
        <v>TEMPLATE</v>
      </c>
      <c r="BC110" s="591" t="str">
        <f t="shared" si="6"/>
        <v>4. ICT / Digital / Telecom-CST-CST-USERIGHTS</v>
      </c>
      <c r="BD110" s="591" t="str">
        <f t="shared" si="7"/>
        <v>CST-CST-USERIGHTS</v>
      </c>
      <c r="BE110" s="591" t="str">
        <f t="shared" si="8"/>
        <v>NONE</v>
      </c>
      <c r="BF110" s="594">
        <f t="shared" si="9"/>
        <v>7</v>
      </c>
    </row>
    <row r="111" spans="1:58" ht="42" customHeight="1" x14ac:dyDescent="0.45">
      <c r="A111" s="42">
        <v>102</v>
      </c>
      <c r="B111" s="138" t="s">
        <v>1340</v>
      </c>
      <c r="C111" s="44" t="s">
        <v>1341</v>
      </c>
      <c r="D111" s="44" t="s">
        <v>1342</v>
      </c>
      <c r="E111" s="138" t="s">
        <v>557</v>
      </c>
      <c r="F111" s="45" t="s">
        <v>58</v>
      </c>
      <c r="G111" s="44" t="s">
        <v>59</v>
      </c>
      <c r="H111" s="44" t="s">
        <v>57</v>
      </c>
      <c r="I111" s="46" t="s">
        <v>61</v>
      </c>
      <c r="J111" s="46" t="s">
        <v>62</v>
      </c>
      <c r="K111" s="44" t="s">
        <v>558</v>
      </c>
      <c r="L111" s="66" t="s">
        <v>559</v>
      </c>
      <c r="M111" s="44" t="s">
        <v>1428</v>
      </c>
      <c r="N111" s="54" t="s">
        <v>154</v>
      </c>
      <c r="O111" s="48" t="s">
        <v>196</v>
      </c>
      <c r="P111" s="44" t="s">
        <v>561</v>
      </c>
      <c r="Q111" s="121" t="s">
        <v>562</v>
      </c>
      <c r="R111" s="121" t="s">
        <v>563</v>
      </c>
      <c r="S111" s="123" t="s">
        <v>564</v>
      </c>
      <c r="T111" s="121" t="s">
        <v>565</v>
      </c>
      <c r="U111" s="25" t="s">
        <v>566</v>
      </c>
      <c r="V111" s="121" t="s">
        <v>282</v>
      </c>
      <c r="W111" s="122" t="s">
        <v>283</v>
      </c>
      <c r="X111" s="121" t="s">
        <v>284</v>
      </c>
      <c r="Y111" s="49" t="s">
        <v>285</v>
      </c>
      <c r="Z111" s="121" t="s">
        <v>286</v>
      </c>
      <c r="AA111" s="123" t="s">
        <v>286</v>
      </c>
      <c r="AB111" s="121" t="s">
        <v>287</v>
      </c>
      <c r="AC111" s="121" t="s">
        <v>288</v>
      </c>
      <c r="AD111" s="49" t="s">
        <v>289</v>
      </c>
      <c r="AE111" s="58" t="s">
        <v>290</v>
      </c>
      <c r="AF111" s="56" t="s">
        <v>291</v>
      </c>
      <c r="AG111" s="121" t="s">
        <v>292</v>
      </c>
      <c r="AH111" s="121" t="s">
        <v>293</v>
      </c>
      <c r="AI111" s="126" t="s">
        <v>215</v>
      </c>
      <c r="AJ111" s="121" t="s">
        <v>216</v>
      </c>
      <c r="AK111" s="127" t="s">
        <v>217</v>
      </c>
      <c r="AL111" s="128" t="s">
        <v>218</v>
      </c>
      <c r="AM111" s="129" t="s">
        <v>219</v>
      </c>
      <c r="AN111" s="130" t="s">
        <v>220</v>
      </c>
      <c r="AO111" s="131" t="s">
        <v>221</v>
      </c>
      <c r="AP111" s="51" t="s">
        <v>138</v>
      </c>
      <c r="AQ111" s="132" t="s">
        <v>139</v>
      </c>
      <c r="AR111" s="127" t="s">
        <v>140</v>
      </c>
      <c r="AS111" s="22" t="s">
        <v>141</v>
      </c>
      <c r="AT111" s="128" t="s">
        <v>142</v>
      </c>
      <c r="AU111" s="133" t="s">
        <v>143</v>
      </c>
      <c r="AV111" s="134" t="s">
        <v>144</v>
      </c>
      <c r="AW111" s="135" t="s">
        <v>145</v>
      </c>
      <c r="AX111" s="136" t="s">
        <v>146</v>
      </c>
      <c r="AY111" s="137" t="s">
        <v>147</v>
      </c>
      <c r="AZ111" s="134" t="s">
        <v>567</v>
      </c>
      <c r="BA111" s="34" t="s">
        <v>320</v>
      </c>
      <c r="BB111" s="591" t="str">
        <f t="shared" si="5"/>
        <v>TEMPLATE</v>
      </c>
      <c r="BC111" s="591" t="str">
        <f t="shared" si="6"/>
        <v>4. ICT / Digital / Telecom-CST-NCA-ECC-2:2024</v>
      </c>
      <c r="BD111" s="591" t="str">
        <f t="shared" si="7"/>
        <v>CST-NCA-ECC-2-2024</v>
      </c>
      <c r="BE111" s="591" t="str">
        <f t="shared" si="8"/>
        <v>NCA-ECC-2-2024</v>
      </c>
      <c r="BF111" s="594">
        <f t="shared" si="9"/>
        <v>9</v>
      </c>
    </row>
    <row r="112" spans="1:58" ht="42" customHeight="1" x14ac:dyDescent="0.45">
      <c r="A112" s="119">
        <v>103</v>
      </c>
      <c r="B112" s="120" t="s">
        <v>1429</v>
      </c>
      <c r="C112" s="121" t="s">
        <v>1430</v>
      </c>
      <c r="D112" s="121" t="s">
        <v>1342</v>
      </c>
      <c r="E112" s="120" t="s">
        <v>1431</v>
      </c>
      <c r="F112" s="122" t="s">
        <v>1432</v>
      </c>
      <c r="G112" s="121" t="s">
        <v>1433</v>
      </c>
      <c r="H112" s="121" t="s">
        <v>250</v>
      </c>
      <c r="I112" s="123" t="s">
        <v>250</v>
      </c>
      <c r="J112" s="123" t="s">
        <v>251</v>
      </c>
      <c r="K112" s="121" t="s">
        <v>63</v>
      </c>
      <c r="L112" s="22" t="s">
        <v>64</v>
      </c>
      <c r="M112" s="121" t="s">
        <v>1434</v>
      </c>
      <c r="N112" s="124" t="s">
        <v>154</v>
      </c>
      <c r="O112" s="125" t="s">
        <v>1435</v>
      </c>
      <c r="P112" s="121" t="s">
        <v>1436</v>
      </c>
      <c r="Q112" s="121" t="s">
        <v>1437</v>
      </c>
      <c r="R112" s="121" t="s">
        <v>1438</v>
      </c>
      <c r="S112" s="123" t="s">
        <v>1439</v>
      </c>
      <c r="T112" s="121" t="s">
        <v>1440</v>
      </c>
      <c r="U112" s="25" t="s">
        <v>1441</v>
      </c>
      <c r="V112" s="121" t="s">
        <v>282</v>
      </c>
      <c r="W112" s="122" t="s">
        <v>283</v>
      </c>
      <c r="X112" s="121" t="s">
        <v>284</v>
      </c>
      <c r="Y112" s="49" t="s">
        <v>285</v>
      </c>
      <c r="Z112" s="121" t="s">
        <v>286</v>
      </c>
      <c r="AA112" s="123" t="s">
        <v>286</v>
      </c>
      <c r="AB112" s="121" t="s">
        <v>287</v>
      </c>
      <c r="AC112" s="121" t="s">
        <v>288</v>
      </c>
      <c r="AD112" s="49" t="s">
        <v>289</v>
      </c>
      <c r="AE112" s="58" t="s">
        <v>290</v>
      </c>
      <c r="AF112" s="56" t="s">
        <v>291</v>
      </c>
      <c r="AG112" s="121" t="s">
        <v>292</v>
      </c>
      <c r="AH112" s="121" t="s">
        <v>293</v>
      </c>
      <c r="AI112" s="126" t="s">
        <v>215</v>
      </c>
      <c r="AJ112" s="121" t="s">
        <v>216</v>
      </c>
      <c r="AK112" s="127" t="s">
        <v>217</v>
      </c>
      <c r="AL112" s="128" t="s">
        <v>218</v>
      </c>
      <c r="AM112" s="129" t="s">
        <v>219</v>
      </c>
      <c r="AN112" s="130" t="s">
        <v>220</v>
      </c>
      <c r="AO112" s="131" t="s">
        <v>221</v>
      </c>
      <c r="AP112" s="51" t="s">
        <v>138</v>
      </c>
      <c r="AQ112" s="132" t="s">
        <v>139</v>
      </c>
      <c r="AR112" s="127" t="s">
        <v>140</v>
      </c>
      <c r="AS112" s="22" t="s">
        <v>141</v>
      </c>
      <c r="AT112" s="128" t="s">
        <v>142</v>
      </c>
      <c r="AU112" s="133" t="s">
        <v>143</v>
      </c>
      <c r="AV112" s="134" t="s">
        <v>144</v>
      </c>
      <c r="AW112" s="135" t="s">
        <v>145</v>
      </c>
      <c r="AX112" s="136" t="s">
        <v>146</v>
      </c>
      <c r="AY112" s="137" t="s">
        <v>147</v>
      </c>
      <c r="AZ112" s="134" t="s">
        <v>1442</v>
      </c>
      <c r="BA112" s="34" t="s">
        <v>320</v>
      </c>
      <c r="BB112" s="591" t="str">
        <f t="shared" si="5"/>
        <v>TEMPLATE</v>
      </c>
      <c r="BC112" s="591" t="str">
        <f t="shared" si="6"/>
        <v>4. ICT / Digital / Telecom-DGA-DGA-CFP</v>
      </c>
      <c r="BD112" s="591" t="str">
        <f t="shared" si="7"/>
        <v>DGA-DGA-CFP</v>
      </c>
      <c r="BE112" s="591" t="str">
        <f t="shared" si="8"/>
        <v>NONE</v>
      </c>
      <c r="BF112" s="594">
        <f t="shared" si="9"/>
        <v>9</v>
      </c>
    </row>
    <row r="113" spans="1:58" ht="42" customHeight="1" x14ac:dyDescent="0.45">
      <c r="A113" s="42">
        <v>104</v>
      </c>
      <c r="B113" s="138" t="s">
        <v>1429</v>
      </c>
      <c r="C113" s="44" t="s">
        <v>1430</v>
      </c>
      <c r="D113" s="44" t="s">
        <v>1342</v>
      </c>
      <c r="E113" s="138" t="s">
        <v>1443</v>
      </c>
      <c r="F113" s="45" t="s">
        <v>1444</v>
      </c>
      <c r="G113" s="44" t="s">
        <v>1445</v>
      </c>
      <c r="H113" s="44" t="s">
        <v>912</v>
      </c>
      <c r="I113" s="46" t="s">
        <v>151</v>
      </c>
      <c r="J113" s="46" t="s">
        <v>1446</v>
      </c>
      <c r="K113" s="44" t="s">
        <v>63</v>
      </c>
      <c r="L113" s="22" t="s">
        <v>64</v>
      </c>
      <c r="M113" s="44" t="s">
        <v>1447</v>
      </c>
      <c r="N113" s="55" t="s">
        <v>253</v>
      </c>
      <c r="O113" s="48" t="s">
        <v>1435</v>
      </c>
      <c r="P113" s="44" t="s">
        <v>1436</v>
      </c>
      <c r="Q113" s="121" t="s">
        <v>562</v>
      </c>
      <c r="R113" s="121" t="s">
        <v>563</v>
      </c>
      <c r="S113" s="123" t="s">
        <v>564</v>
      </c>
      <c r="T113" s="121" t="s">
        <v>565</v>
      </c>
      <c r="U113" s="25" t="s">
        <v>566</v>
      </c>
      <c r="V113" s="121" t="s">
        <v>282</v>
      </c>
      <c r="W113" s="122" t="s">
        <v>283</v>
      </c>
      <c r="X113" s="121" t="s">
        <v>284</v>
      </c>
      <c r="Y113" s="49" t="s">
        <v>285</v>
      </c>
      <c r="Z113" s="121" t="s">
        <v>286</v>
      </c>
      <c r="AA113" s="123" t="s">
        <v>286</v>
      </c>
      <c r="AB113" s="121" t="s">
        <v>287</v>
      </c>
      <c r="AC113" s="121" t="s">
        <v>288</v>
      </c>
      <c r="AD113" s="49" t="s">
        <v>289</v>
      </c>
      <c r="AE113" s="58" t="s">
        <v>290</v>
      </c>
      <c r="AF113" s="56" t="s">
        <v>291</v>
      </c>
      <c r="AG113" s="121" t="s">
        <v>292</v>
      </c>
      <c r="AH113" s="121" t="s">
        <v>293</v>
      </c>
      <c r="AI113" s="126" t="s">
        <v>215</v>
      </c>
      <c r="AJ113" s="121" t="s">
        <v>216</v>
      </c>
      <c r="AK113" s="127" t="s">
        <v>217</v>
      </c>
      <c r="AL113" s="128" t="s">
        <v>218</v>
      </c>
      <c r="AM113" s="129" t="s">
        <v>219</v>
      </c>
      <c r="AN113" s="130" t="s">
        <v>220</v>
      </c>
      <c r="AO113" s="131" t="s">
        <v>221</v>
      </c>
      <c r="AP113" s="51" t="s">
        <v>138</v>
      </c>
      <c r="AQ113" s="132" t="s">
        <v>139</v>
      </c>
      <c r="AR113" s="127" t="s">
        <v>140</v>
      </c>
      <c r="AS113" s="22" t="s">
        <v>141</v>
      </c>
      <c r="AT113" s="128" t="s">
        <v>142</v>
      </c>
      <c r="AU113" s="133" t="s">
        <v>143</v>
      </c>
      <c r="AV113" s="134" t="s">
        <v>144</v>
      </c>
      <c r="AW113" s="135" t="s">
        <v>145</v>
      </c>
      <c r="AX113" s="136" t="s">
        <v>146</v>
      </c>
      <c r="AY113" s="137" t="s">
        <v>147</v>
      </c>
      <c r="AZ113" s="134" t="s">
        <v>104</v>
      </c>
      <c r="BA113" s="41" t="s">
        <v>105</v>
      </c>
      <c r="BB113" s="591" t="str">
        <f t="shared" si="5"/>
        <v>TEMPLATE</v>
      </c>
      <c r="BC113" s="591" t="str">
        <f t="shared" si="6"/>
        <v>4. ICT / Digital / Telecom-DGA-DGA-DMI</v>
      </c>
      <c r="BD113" s="591" t="str">
        <f t="shared" si="7"/>
        <v>DGA-DGA-DMI</v>
      </c>
      <c r="BE113" s="591" t="str">
        <f t="shared" si="8"/>
        <v>NONE</v>
      </c>
      <c r="BF113" s="594">
        <f t="shared" si="9"/>
        <v>7</v>
      </c>
    </row>
    <row r="114" spans="1:58" ht="42" customHeight="1" x14ac:dyDescent="0.45">
      <c r="A114" s="119">
        <v>105</v>
      </c>
      <c r="B114" s="120" t="s">
        <v>1429</v>
      </c>
      <c r="C114" s="121" t="s">
        <v>1430</v>
      </c>
      <c r="D114" s="121" t="s">
        <v>1342</v>
      </c>
      <c r="E114" s="120" t="s">
        <v>1448</v>
      </c>
      <c r="F114" s="122" t="s">
        <v>1449</v>
      </c>
      <c r="G114" s="121" t="s">
        <v>1450</v>
      </c>
      <c r="H114" s="121" t="s">
        <v>250</v>
      </c>
      <c r="I114" s="123" t="s">
        <v>250</v>
      </c>
      <c r="J114" s="123" t="s">
        <v>1451</v>
      </c>
      <c r="K114" s="121" t="s">
        <v>63</v>
      </c>
      <c r="L114" s="22" t="s">
        <v>64</v>
      </c>
      <c r="M114" s="121" t="s">
        <v>1452</v>
      </c>
      <c r="N114" s="140" t="s">
        <v>253</v>
      </c>
      <c r="O114" s="125" t="s">
        <v>1435</v>
      </c>
      <c r="P114" s="121" t="s">
        <v>1436</v>
      </c>
      <c r="Q114" s="121" t="s">
        <v>562</v>
      </c>
      <c r="R114" s="121" t="s">
        <v>563</v>
      </c>
      <c r="S114" s="123" t="s">
        <v>564</v>
      </c>
      <c r="T114" s="121" t="s">
        <v>565</v>
      </c>
      <c r="U114" s="25" t="s">
        <v>566</v>
      </c>
      <c r="V114" s="121" t="s">
        <v>282</v>
      </c>
      <c r="W114" s="122" t="s">
        <v>283</v>
      </c>
      <c r="X114" s="121" t="s">
        <v>284</v>
      </c>
      <c r="Y114" s="49" t="s">
        <v>285</v>
      </c>
      <c r="Z114" s="121" t="s">
        <v>286</v>
      </c>
      <c r="AA114" s="123" t="s">
        <v>286</v>
      </c>
      <c r="AB114" s="121" t="s">
        <v>287</v>
      </c>
      <c r="AC114" s="121" t="s">
        <v>288</v>
      </c>
      <c r="AD114" s="49" t="s">
        <v>289</v>
      </c>
      <c r="AE114" s="58" t="s">
        <v>290</v>
      </c>
      <c r="AF114" s="56" t="s">
        <v>291</v>
      </c>
      <c r="AG114" s="121" t="s">
        <v>292</v>
      </c>
      <c r="AH114" s="121" t="s">
        <v>293</v>
      </c>
      <c r="AI114" s="126" t="s">
        <v>215</v>
      </c>
      <c r="AJ114" s="121" t="s">
        <v>216</v>
      </c>
      <c r="AK114" s="127" t="s">
        <v>217</v>
      </c>
      <c r="AL114" s="128" t="s">
        <v>218</v>
      </c>
      <c r="AM114" s="129" t="s">
        <v>219</v>
      </c>
      <c r="AN114" s="130" t="s">
        <v>220</v>
      </c>
      <c r="AO114" s="131" t="s">
        <v>221</v>
      </c>
      <c r="AP114" s="51" t="s">
        <v>138</v>
      </c>
      <c r="AQ114" s="132" t="s">
        <v>139</v>
      </c>
      <c r="AR114" s="127" t="s">
        <v>140</v>
      </c>
      <c r="AS114" s="22" t="s">
        <v>141</v>
      </c>
      <c r="AT114" s="128" t="s">
        <v>142</v>
      </c>
      <c r="AU114" s="133" t="s">
        <v>143</v>
      </c>
      <c r="AV114" s="134" t="s">
        <v>144</v>
      </c>
      <c r="AW114" s="135" t="s">
        <v>145</v>
      </c>
      <c r="AX114" s="136" t="s">
        <v>146</v>
      </c>
      <c r="AY114" s="137" t="s">
        <v>147</v>
      </c>
      <c r="AZ114" s="134" t="s">
        <v>1453</v>
      </c>
      <c r="BA114" s="34" t="s">
        <v>320</v>
      </c>
      <c r="BB114" s="591" t="str">
        <f t="shared" si="5"/>
        <v>TEMPLATE</v>
      </c>
      <c r="BC114" s="591" t="str">
        <f t="shared" si="6"/>
        <v>4. ICT / Digital / Telecom-DGA-DGA-ODP</v>
      </c>
      <c r="BD114" s="591" t="str">
        <f t="shared" si="7"/>
        <v>DGA-DGA-ODP</v>
      </c>
      <c r="BE114" s="591" t="str">
        <f t="shared" si="8"/>
        <v>NONE</v>
      </c>
      <c r="BF114" s="594">
        <f t="shared" si="9"/>
        <v>7</v>
      </c>
    </row>
    <row r="115" spans="1:58" ht="42" customHeight="1" x14ac:dyDescent="0.45">
      <c r="A115" s="42">
        <v>106</v>
      </c>
      <c r="B115" s="138" t="s">
        <v>1429</v>
      </c>
      <c r="C115" s="44" t="s">
        <v>1430</v>
      </c>
      <c r="D115" s="44" t="s">
        <v>1342</v>
      </c>
      <c r="E115" s="138" t="s">
        <v>1454</v>
      </c>
      <c r="F115" s="45" t="s">
        <v>1455</v>
      </c>
      <c r="G115" s="44" t="s">
        <v>1456</v>
      </c>
      <c r="H115" s="44" t="s">
        <v>1148</v>
      </c>
      <c r="I115" s="46" t="s">
        <v>250</v>
      </c>
      <c r="J115" s="46" t="s">
        <v>226</v>
      </c>
      <c r="K115" s="44" t="s">
        <v>63</v>
      </c>
      <c r="L115" s="22" t="s">
        <v>64</v>
      </c>
      <c r="M115" s="44" t="s">
        <v>1457</v>
      </c>
      <c r="N115" s="55" t="s">
        <v>253</v>
      </c>
      <c r="O115" s="48" t="s">
        <v>1435</v>
      </c>
      <c r="P115" s="44" t="s">
        <v>1436</v>
      </c>
      <c r="Q115" s="121" t="s">
        <v>562</v>
      </c>
      <c r="R115" s="121" t="s">
        <v>563</v>
      </c>
      <c r="S115" s="123" t="s">
        <v>564</v>
      </c>
      <c r="T115" s="121" t="s">
        <v>565</v>
      </c>
      <c r="U115" s="25" t="s">
        <v>566</v>
      </c>
      <c r="V115" s="121" t="s">
        <v>282</v>
      </c>
      <c r="W115" s="122" t="s">
        <v>283</v>
      </c>
      <c r="X115" s="121" t="s">
        <v>284</v>
      </c>
      <c r="Y115" s="49" t="s">
        <v>285</v>
      </c>
      <c r="Z115" s="121" t="s">
        <v>286</v>
      </c>
      <c r="AA115" s="123" t="s">
        <v>286</v>
      </c>
      <c r="AB115" s="121" t="s">
        <v>287</v>
      </c>
      <c r="AC115" s="121" t="s">
        <v>288</v>
      </c>
      <c r="AD115" s="49" t="s">
        <v>289</v>
      </c>
      <c r="AE115" s="58" t="s">
        <v>290</v>
      </c>
      <c r="AF115" s="56" t="s">
        <v>291</v>
      </c>
      <c r="AG115" s="121" t="s">
        <v>292</v>
      </c>
      <c r="AH115" s="121" t="s">
        <v>293</v>
      </c>
      <c r="AI115" s="126" t="s">
        <v>215</v>
      </c>
      <c r="AJ115" s="121" t="s">
        <v>216</v>
      </c>
      <c r="AK115" s="127" t="s">
        <v>217</v>
      </c>
      <c r="AL115" s="128" t="s">
        <v>218</v>
      </c>
      <c r="AM115" s="129" t="s">
        <v>219</v>
      </c>
      <c r="AN115" s="130" t="s">
        <v>220</v>
      </c>
      <c r="AO115" s="131" t="s">
        <v>221</v>
      </c>
      <c r="AP115" s="51" t="s">
        <v>138</v>
      </c>
      <c r="AQ115" s="132" t="s">
        <v>139</v>
      </c>
      <c r="AR115" s="127" t="s">
        <v>140</v>
      </c>
      <c r="AS115" s="22" t="s">
        <v>141</v>
      </c>
      <c r="AT115" s="128" t="s">
        <v>142</v>
      </c>
      <c r="AU115" s="133" t="s">
        <v>143</v>
      </c>
      <c r="AV115" s="134" t="s">
        <v>144</v>
      </c>
      <c r="AW115" s="135" t="s">
        <v>145</v>
      </c>
      <c r="AX115" s="136" t="s">
        <v>146</v>
      </c>
      <c r="AY115" s="137" t="s">
        <v>147</v>
      </c>
      <c r="AZ115" s="134" t="s">
        <v>1458</v>
      </c>
      <c r="BA115" s="34" t="s">
        <v>320</v>
      </c>
      <c r="BB115" s="591" t="str">
        <f t="shared" si="5"/>
        <v>TEMPLATE</v>
      </c>
      <c r="BC115" s="591" t="str">
        <f t="shared" si="6"/>
        <v>4. ICT / Digital / Telecom-DGA-DGA-GDS</v>
      </c>
      <c r="BD115" s="591" t="str">
        <f t="shared" si="7"/>
        <v>DGA-DGA-GDS</v>
      </c>
      <c r="BE115" s="591" t="str">
        <f t="shared" si="8"/>
        <v>NONE</v>
      </c>
      <c r="BF115" s="594">
        <f t="shared" si="9"/>
        <v>7</v>
      </c>
    </row>
    <row r="116" spans="1:58" ht="42" customHeight="1" x14ac:dyDescent="0.45">
      <c r="A116" s="119">
        <v>107</v>
      </c>
      <c r="B116" s="120" t="s">
        <v>1429</v>
      </c>
      <c r="C116" s="121" t="s">
        <v>1430</v>
      </c>
      <c r="D116" s="121" t="s">
        <v>1342</v>
      </c>
      <c r="E116" s="120" t="s">
        <v>1459</v>
      </c>
      <c r="F116" s="122" t="s">
        <v>1460</v>
      </c>
      <c r="G116" s="121" t="s">
        <v>1461</v>
      </c>
      <c r="H116" s="121" t="s">
        <v>109</v>
      </c>
      <c r="I116" s="123" t="s">
        <v>109</v>
      </c>
      <c r="J116" s="123" t="s">
        <v>310</v>
      </c>
      <c r="K116" s="121" t="s">
        <v>63</v>
      </c>
      <c r="L116" s="22" t="s">
        <v>64</v>
      </c>
      <c r="M116" s="121" t="s">
        <v>1462</v>
      </c>
      <c r="N116" s="140" t="s">
        <v>253</v>
      </c>
      <c r="O116" s="125" t="s">
        <v>1435</v>
      </c>
      <c r="P116" s="121" t="s">
        <v>1436</v>
      </c>
      <c r="Q116" s="121" t="s">
        <v>562</v>
      </c>
      <c r="R116" s="121" t="s">
        <v>563</v>
      </c>
      <c r="S116" s="123" t="s">
        <v>564</v>
      </c>
      <c r="T116" s="121" t="s">
        <v>565</v>
      </c>
      <c r="U116" s="25" t="s">
        <v>566</v>
      </c>
      <c r="V116" s="121" t="s">
        <v>282</v>
      </c>
      <c r="W116" s="122" t="s">
        <v>283</v>
      </c>
      <c r="X116" s="121" t="s">
        <v>284</v>
      </c>
      <c r="Y116" s="49" t="s">
        <v>285</v>
      </c>
      <c r="Z116" s="121" t="s">
        <v>286</v>
      </c>
      <c r="AA116" s="123" t="s">
        <v>286</v>
      </c>
      <c r="AB116" s="121" t="s">
        <v>287</v>
      </c>
      <c r="AC116" s="121" t="s">
        <v>288</v>
      </c>
      <c r="AD116" s="49" t="s">
        <v>289</v>
      </c>
      <c r="AE116" s="58" t="s">
        <v>290</v>
      </c>
      <c r="AF116" s="56" t="s">
        <v>291</v>
      </c>
      <c r="AG116" s="121" t="s">
        <v>292</v>
      </c>
      <c r="AH116" s="121" t="s">
        <v>293</v>
      </c>
      <c r="AI116" s="126" t="s">
        <v>215</v>
      </c>
      <c r="AJ116" s="121" t="s">
        <v>216</v>
      </c>
      <c r="AK116" s="127" t="s">
        <v>217</v>
      </c>
      <c r="AL116" s="128" t="s">
        <v>218</v>
      </c>
      <c r="AM116" s="129" t="s">
        <v>219</v>
      </c>
      <c r="AN116" s="130" t="s">
        <v>220</v>
      </c>
      <c r="AO116" s="131" t="s">
        <v>221</v>
      </c>
      <c r="AP116" s="51" t="s">
        <v>138</v>
      </c>
      <c r="AQ116" s="132" t="s">
        <v>139</v>
      </c>
      <c r="AR116" s="127" t="s">
        <v>140</v>
      </c>
      <c r="AS116" s="22" t="s">
        <v>141</v>
      </c>
      <c r="AT116" s="128" t="s">
        <v>142</v>
      </c>
      <c r="AU116" s="133" t="s">
        <v>143</v>
      </c>
      <c r="AV116" s="134" t="s">
        <v>144</v>
      </c>
      <c r="AW116" s="135" t="s">
        <v>145</v>
      </c>
      <c r="AX116" s="136" t="s">
        <v>146</v>
      </c>
      <c r="AY116" s="137" t="s">
        <v>147</v>
      </c>
      <c r="AZ116" s="134" t="s">
        <v>104</v>
      </c>
      <c r="BA116" s="41" t="s">
        <v>105</v>
      </c>
      <c r="BB116" s="591" t="str">
        <f t="shared" si="5"/>
        <v>TEMPLATE</v>
      </c>
      <c r="BC116" s="591" t="str">
        <f t="shared" si="6"/>
        <v>4. ICT / Digital / Telecom-DGA-DGA-GRFM</v>
      </c>
      <c r="BD116" s="591" t="str">
        <f t="shared" si="7"/>
        <v>DGA-DGA-GRFM</v>
      </c>
      <c r="BE116" s="591" t="str">
        <f t="shared" si="8"/>
        <v>NONE</v>
      </c>
      <c r="BF116" s="594">
        <f t="shared" si="9"/>
        <v>7</v>
      </c>
    </row>
    <row r="117" spans="1:58" ht="42" customHeight="1" x14ac:dyDescent="0.45">
      <c r="A117" s="42">
        <v>108</v>
      </c>
      <c r="B117" s="138" t="s">
        <v>1429</v>
      </c>
      <c r="C117" s="44" t="s">
        <v>1430</v>
      </c>
      <c r="D117" s="44" t="s">
        <v>1342</v>
      </c>
      <c r="E117" s="138" t="s">
        <v>557</v>
      </c>
      <c r="F117" s="45" t="s">
        <v>58</v>
      </c>
      <c r="G117" s="44" t="s">
        <v>59</v>
      </c>
      <c r="H117" s="44" t="s">
        <v>57</v>
      </c>
      <c r="I117" s="46" t="s">
        <v>61</v>
      </c>
      <c r="J117" s="46" t="s">
        <v>62</v>
      </c>
      <c r="K117" s="44" t="s">
        <v>558</v>
      </c>
      <c r="L117" s="66" t="s">
        <v>559</v>
      </c>
      <c r="M117" s="44" t="s">
        <v>1463</v>
      </c>
      <c r="N117" s="54" t="s">
        <v>154</v>
      </c>
      <c r="O117" s="48" t="s">
        <v>196</v>
      </c>
      <c r="P117" s="44" t="s">
        <v>561</v>
      </c>
      <c r="Q117" s="121" t="s">
        <v>562</v>
      </c>
      <c r="R117" s="121" t="s">
        <v>563</v>
      </c>
      <c r="S117" s="123" t="s">
        <v>564</v>
      </c>
      <c r="T117" s="121" t="s">
        <v>565</v>
      </c>
      <c r="U117" s="25" t="s">
        <v>566</v>
      </c>
      <c r="V117" s="121" t="s">
        <v>282</v>
      </c>
      <c r="W117" s="122" t="s">
        <v>283</v>
      </c>
      <c r="X117" s="121" t="s">
        <v>284</v>
      </c>
      <c r="Y117" s="49" t="s">
        <v>285</v>
      </c>
      <c r="Z117" s="121" t="s">
        <v>286</v>
      </c>
      <c r="AA117" s="123" t="s">
        <v>286</v>
      </c>
      <c r="AB117" s="121" t="s">
        <v>287</v>
      </c>
      <c r="AC117" s="121" t="s">
        <v>288</v>
      </c>
      <c r="AD117" s="49" t="s">
        <v>289</v>
      </c>
      <c r="AE117" s="58" t="s">
        <v>290</v>
      </c>
      <c r="AF117" s="56" t="s">
        <v>291</v>
      </c>
      <c r="AG117" s="121" t="s">
        <v>292</v>
      </c>
      <c r="AH117" s="121" t="s">
        <v>293</v>
      </c>
      <c r="AI117" s="126" t="s">
        <v>215</v>
      </c>
      <c r="AJ117" s="121" t="s">
        <v>216</v>
      </c>
      <c r="AK117" s="127" t="s">
        <v>217</v>
      </c>
      <c r="AL117" s="128" t="s">
        <v>218</v>
      </c>
      <c r="AM117" s="129" t="s">
        <v>219</v>
      </c>
      <c r="AN117" s="130" t="s">
        <v>220</v>
      </c>
      <c r="AO117" s="131" t="s">
        <v>221</v>
      </c>
      <c r="AP117" s="51" t="s">
        <v>138</v>
      </c>
      <c r="AQ117" s="132" t="s">
        <v>139</v>
      </c>
      <c r="AR117" s="127" t="s">
        <v>140</v>
      </c>
      <c r="AS117" s="22" t="s">
        <v>141</v>
      </c>
      <c r="AT117" s="128" t="s">
        <v>142</v>
      </c>
      <c r="AU117" s="133" t="s">
        <v>143</v>
      </c>
      <c r="AV117" s="134" t="s">
        <v>144</v>
      </c>
      <c r="AW117" s="135" t="s">
        <v>145</v>
      </c>
      <c r="AX117" s="136" t="s">
        <v>146</v>
      </c>
      <c r="AY117" s="137" t="s">
        <v>147</v>
      </c>
      <c r="AZ117" s="134" t="s">
        <v>567</v>
      </c>
      <c r="BA117" s="34" t="s">
        <v>320</v>
      </c>
      <c r="BB117" s="591" t="str">
        <f t="shared" si="5"/>
        <v>TEMPLATE</v>
      </c>
      <c r="BC117" s="591" t="str">
        <f t="shared" si="6"/>
        <v>4. ICT / Digital / Telecom-DGA-NCA-ECC-2:2024</v>
      </c>
      <c r="BD117" s="591" t="str">
        <f t="shared" si="7"/>
        <v>DGA-NCA-ECC-2-2024</v>
      </c>
      <c r="BE117" s="591" t="str">
        <f t="shared" si="8"/>
        <v>NCA-ECC-2-2024</v>
      </c>
      <c r="BF117" s="594">
        <f t="shared" si="9"/>
        <v>9</v>
      </c>
    </row>
    <row r="118" spans="1:58" x14ac:dyDescent="0.45">
      <c r="BB118" s="591" t="str">
        <f t="shared" si="5"/>
        <v/>
      </c>
      <c r="BC118" s="591" t="str">
        <f t="shared" si="6"/>
        <v/>
      </c>
      <c r="BD118" s="591" t="str">
        <f t="shared" si="7"/>
        <v/>
      </c>
      <c r="BE118" s="591" t="str">
        <f t="shared" si="8"/>
        <v/>
      </c>
      <c r="BF118" s="594" t="str">
        <f t="shared" si="9"/>
        <v/>
      </c>
    </row>
    <row r="119" spans="1:58" ht="19.5" customHeight="1" x14ac:dyDescent="0.45">
      <c r="A119" s="141"/>
      <c r="B119" s="142" t="s">
        <v>1464</v>
      </c>
      <c r="C119" s="141"/>
      <c r="D119" s="141"/>
      <c r="E119" s="141"/>
      <c r="F119" s="141"/>
      <c r="G119" s="141"/>
      <c r="H119" s="141"/>
      <c r="I119" s="141"/>
      <c r="J119" s="141"/>
      <c r="K119" s="141"/>
      <c r="L119" s="141"/>
      <c r="M119" s="141"/>
      <c r="N119" s="141"/>
      <c r="O119" s="141"/>
      <c r="P119" s="141"/>
      <c r="BB119" s="591" t="str">
        <f t="shared" si="5"/>
        <v/>
      </c>
      <c r="BC119" s="591" t="str">
        <f t="shared" si="6"/>
        <v/>
      </c>
      <c r="BD119" s="591" t="str">
        <f t="shared" si="7"/>
        <v/>
      </c>
      <c r="BE119" s="591" t="str">
        <f t="shared" si="8"/>
        <v/>
      </c>
      <c r="BF119" s="594" t="str">
        <f t="shared" si="9"/>
        <v/>
      </c>
    </row>
    <row r="120" spans="1:58" ht="42" customHeight="1" x14ac:dyDescent="0.45">
      <c r="A120" s="143">
        <v>109</v>
      </c>
      <c r="B120" s="144" t="s">
        <v>1465</v>
      </c>
      <c r="C120" s="145" t="s">
        <v>1466</v>
      </c>
      <c r="D120" s="145" t="s">
        <v>1467</v>
      </c>
      <c r="E120" s="144" t="s">
        <v>1468</v>
      </c>
      <c r="F120" s="146" t="s">
        <v>1469</v>
      </c>
      <c r="G120" s="145" t="s">
        <v>1470</v>
      </c>
      <c r="H120" s="145" t="s">
        <v>1471</v>
      </c>
      <c r="I120" s="147" t="s">
        <v>250</v>
      </c>
      <c r="J120" s="147" t="s">
        <v>465</v>
      </c>
      <c r="K120" s="145" t="s">
        <v>63</v>
      </c>
      <c r="L120" s="22" t="s">
        <v>64</v>
      </c>
      <c r="M120" s="145" t="s">
        <v>1472</v>
      </c>
      <c r="N120" s="148" t="s">
        <v>253</v>
      </c>
      <c r="O120" s="149" t="s">
        <v>1473</v>
      </c>
      <c r="P120" s="145" t="s">
        <v>1474</v>
      </c>
      <c r="Q120" s="145" t="s">
        <v>1475</v>
      </c>
      <c r="R120" s="145" t="s">
        <v>1476</v>
      </c>
      <c r="S120" s="147" t="s">
        <v>1477</v>
      </c>
      <c r="T120" s="145" t="s">
        <v>1478</v>
      </c>
      <c r="U120" s="25" t="s">
        <v>1479</v>
      </c>
      <c r="V120" s="145" t="s">
        <v>282</v>
      </c>
      <c r="W120" s="146" t="s">
        <v>283</v>
      </c>
      <c r="X120" s="145" t="s">
        <v>284</v>
      </c>
      <c r="Y120" s="49" t="s">
        <v>285</v>
      </c>
      <c r="Z120" s="145" t="s">
        <v>286</v>
      </c>
      <c r="AA120" s="147" t="s">
        <v>286</v>
      </c>
      <c r="AB120" s="145" t="s">
        <v>287</v>
      </c>
      <c r="AC120" s="145" t="s">
        <v>288</v>
      </c>
      <c r="AD120" s="49" t="s">
        <v>289</v>
      </c>
      <c r="AE120" s="58" t="s">
        <v>290</v>
      </c>
      <c r="AF120" s="56" t="s">
        <v>291</v>
      </c>
      <c r="AG120" s="145" t="s">
        <v>292</v>
      </c>
      <c r="AH120" s="145" t="s">
        <v>293</v>
      </c>
      <c r="AI120" s="150" t="s">
        <v>215</v>
      </c>
      <c r="AJ120" s="145" t="s">
        <v>216</v>
      </c>
      <c r="AK120" s="151" t="s">
        <v>217</v>
      </c>
      <c r="AL120" s="152" t="s">
        <v>218</v>
      </c>
      <c r="AM120" s="153" t="s">
        <v>219</v>
      </c>
      <c r="AN120" s="154" t="s">
        <v>220</v>
      </c>
      <c r="AO120" s="155" t="s">
        <v>221</v>
      </c>
      <c r="AP120" s="51" t="s">
        <v>138</v>
      </c>
      <c r="AQ120" s="156" t="s">
        <v>139</v>
      </c>
      <c r="AR120" s="151" t="s">
        <v>140</v>
      </c>
      <c r="AS120" s="22" t="s">
        <v>141</v>
      </c>
      <c r="AT120" s="152" t="s">
        <v>142</v>
      </c>
      <c r="AU120" s="157" t="s">
        <v>143</v>
      </c>
      <c r="AV120" s="158" t="s">
        <v>144</v>
      </c>
      <c r="AW120" s="159" t="s">
        <v>145</v>
      </c>
      <c r="AX120" s="160" t="s">
        <v>146</v>
      </c>
      <c r="AY120" s="161" t="s">
        <v>147</v>
      </c>
      <c r="AZ120" s="158" t="s">
        <v>1480</v>
      </c>
      <c r="BA120" s="34" t="s">
        <v>320</v>
      </c>
      <c r="BB120" s="591" t="str">
        <f t="shared" si="5"/>
        <v>TEMPLATE</v>
      </c>
      <c r="BC120" s="591" t="str">
        <f t="shared" si="6"/>
        <v>6. Tax / Customs / Trade-ZATCA-ZATCA-EINV-P1</v>
      </c>
      <c r="BD120" s="591" t="str">
        <f t="shared" si="7"/>
        <v>ZATCA-ZATCA-EINV-P1</v>
      </c>
      <c r="BE120" s="591" t="str">
        <f t="shared" si="8"/>
        <v>NONE</v>
      </c>
      <c r="BF120" s="594">
        <f t="shared" si="9"/>
        <v>7</v>
      </c>
    </row>
    <row r="121" spans="1:58" ht="42" customHeight="1" x14ac:dyDescent="0.45">
      <c r="A121" s="42">
        <v>110</v>
      </c>
      <c r="B121" s="162" t="s">
        <v>1465</v>
      </c>
      <c r="C121" s="44" t="s">
        <v>1466</v>
      </c>
      <c r="D121" s="44" t="s">
        <v>1467</v>
      </c>
      <c r="E121" s="162" t="s">
        <v>1481</v>
      </c>
      <c r="F121" s="45" t="s">
        <v>1482</v>
      </c>
      <c r="G121" s="44" t="s">
        <v>1483</v>
      </c>
      <c r="H121" s="44" t="s">
        <v>1484</v>
      </c>
      <c r="I121" s="46" t="s">
        <v>109</v>
      </c>
      <c r="J121" s="46" t="s">
        <v>1451</v>
      </c>
      <c r="K121" s="44" t="s">
        <v>63</v>
      </c>
      <c r="L121" s="22" t="s">
        <v>64</v>
      </c>
      <c r="M121" s="44" t="s">
        <v>1485</v>
      </c>
      <c r="N121" s="55" t="s">
        <v>253</v>
      </c>
      <c r="O121" s="48" t="s">
        <v>1473</v>
      </c>
      <c r="P121" s="44" t="s">
        <v>1474</v>
      </c>
      <c r="Q121" s="145" t="s">
        <v>1486</v>
      </c>
      <c r="R121" s="145" t="s">
        <v>1487</v>
      </c>
      <c r="S121" s="147" t="s">
        <v>1488</v>
      </c>
      <c r="T121" s="145" t="s">
        <v>1489</v>
      </c>
      <c r="U121" s="25" t="s">
        <v>1490</v>
      </c>
      <c r="V121" s="145" t="s">
        <v>282</v>
      </c>
      <c r="W121" s="146" t="s">
        <v>283</v>
      </c>
      <c r="X121" s="145" t="s">
        <v>284</v>
      </c>
      <c r="Y121" s="49" t="s">
        <v>285</v>
      </c>
      <c r="Z121" s="145" t="s">
        <v>286</v>
      </c>
      <c r="AA121" s="147" t="s">
        <v>286</v>
      </c>
      <c r="AB121" s="145" t="s">
        <v>287</v>
      </c>
      <c r="AC121" s="145" t="s">
        <v>288</v>
      </c>
      <c r="AD121" s="49" t="s">
        <v>289</v>
      </c>
      <c r="AE121" s="58" t="s">
        <v>290</v>
      </c>
      <c r="AF121" s="56" t="s">
        <v>291</v>
      </c>
      <c r="AG121" s="145" t="s">
        <v>292</v>
      </c>
      <c r="AH121" s="145" t="s">
        <v>293</v>
      </c>
      <c r="AI121" s="150" t="s">
        <v>215</v>
      </c>
      <c r="AJ121" s="145" t="s">
        <v>216</v>
      </c>
      <c r="AK121" s="151" t="s">
        <v>217</v>
      </c>
      <c r="AL121" s="152" t="s">
        <v>218</v>
      </c>
      <c r="AM121" s="153" t="s">
        <v>219</v>
      </c>
      <c r="AN121" s="154" t="s">
        <v>220</v>
      </c>
      <c r="AO121" s="155" t="s">
        <v>221</v>
      </c>
      <c r="AP121" s="51" t="s">
        <v>138</v>
      </c>
      <c r="AQ121" s="156" t="s">
        <v>139</v>
      </c>
      <c r="AR121" s="151" t="s">
        <v>140</v>
      </c>
      <c r="AS121" s="22" t="s">
        <v>141</v>
      </c>
      <c r="AT121" s="152" t="s">
        <v>142</v>
      </c>
      <c r="AU121" s="157" t="s">
        <v>143</v>
      </c>
      <c r="AV121" s="158" t="s">
        <v>144</v>
      </c>
      <c r="AW121" s="159" t="s">
        <v>145</v>
      </c>
      <c r="AX121" s="160" t="s">
        <v>146</v>
      </c>
      <c r="AY121" s="161" t="s">
        <v>147</v>
      </c>
      <c r="AZ121" s="158" t="s">
        <v>1480</v>
      </c>
      <c r="BA121" s="34" t="s">
        <v>320</v>
      </c>
      <c r="BB121" s="591" t="str">
        <f t="shared" si="5"/>
        <v>TEMPLATE</v>
      </c>
      <c r="BC121" s="591" t="str">
        <f t="shared" si="6"/>
        <v>6. Tax / Customs / Trade-ZATCA-ZATCA-EINV-P2</v>
      </c>
      <c r="BD121" s="591" t="str">
        <f t="shared" si="7"/>
        <v>ZATCA-ZATCA-EINV-P2</v>
      </c>
      <c r="BE121" s="591" t="str">
        <f t="shared" si="8"/>
        <v>NONE</v>
      </c>
      <c r="BF121" s="594">
        <f t="shared" si="9"/>
        <v>7</v>
      </c>
    </row>
    <row r="122" spans="1:58" ht="42" customHeight="1" x14ac:dyDescent="0.45">
      <c r="A122" s="143">
        <v>111</v>
      </c>
      <c r="B122" s="144" t="s">
        <v>1465</v>
      </c>
      <c r="C122" s="145" t="s">
        <v>1466</v>
      </c>
      <c r="D122" s="145" t="s">
        <v>1467</v>
      </c>
      <c r="E122" s="144" t="s">
        <v>1491</v>
      </c>
      <c r="F122" s="146" t="s">
        <v>1492</v>
      </c>
      <c r="G122" s="145" t="s">
        <v>1493</v>
      </c>
      <c r="H122" s="145" t="s">
        <v>906</v>
      </c>
      <c r="I122" s="147" t="s">
        <v>61</v>
      </c>
      <c r="J122" s="147" t="s">
        <v>1494</v>
      </c>
      <c r="K122" s="145" t="s">
        <v>63</v>
      </c>
      <c r="L122" s="22" t="s">
        <v>64</v>
      </c>
      <c r="M122" s="145" t="s">
        <v>1495</v>
      </c>
      <c r="N122" s="163" t="s">
        <v>275</v>
      </c>
      <c r="O122" s="149" t="s">
        <v>1473</v>
      </c>
      <c r="P122" s="145" t="s">
        <v>1474</v>
      </c>
      <c r="Q122" s="145" t="s">
        <v>562</v>
      </c>
      <c r="R122" s="145" t="s">
        <v>563</v>
      </c>
      <c r="S122" s="147" t="s">
        <v>564</v>
      </c>
      <c r="T122" s="145" t="s">
        <v>565</v>
      </c>
      <c r="U122" s="25" t="s">
        <v>566</v>
      </c>
      <c r="V122" s="145" t="s">
        <v>282</v>
      </c>
      <c r="W122" s="146" t="s">
        <v>283</v>
      </c>
      <c r="X122" s="145" t="s">
        <v>284</v>
      </c>
      <c r="Y122" s="49" t="s">
        <v>285</v>
      </c>
      <c r="Z122" s="145" t="s">
        <v>286</v>
      </c>
      <c r="AA122" s="147" t="s">
        <v>286</v>
      </c>
      <c r="AB122" s="145" t="s">
        <v>287</v>
      </c>
      <c r="AC122" s="145" t="s">
        <v>288</v>
      </c>
      <c r="AD122" s="49" t="s">
        <v>289</v>
      </c>
      <c r="AE122" s="58" t="s">
        <v>290</v>
      </c>
      <c r="AF122" s="56" t="s">
        <v>291</v>
      </c>
      <c r="AG122" s="145" t="s">
        <v>292</v>
      </c>
      <c r="AH122" s="145" t="s">
        <v>293</v>
      </c>
      <c r="AI122" s="150" t="s">
        <v>215</v>
      </c>
      <c r="AJ122" s="145" t="s">
        <v>216</v>
      </c>
      <c r="AK122" s="151" t="s">
        <v>217</v>
      </c>
      <c r="AL122" s="152" t="s">
        <v>218</v>
      </c>
      <c r="AM122" s="153" t="s">
        <v>219</v>
      </c>
      <c r="AN122" s="154" t="s">
        <v>220</v>
      </c>
      <c r="AO122" s="155" t="s">
        <v>221</v>
      </c>
      <c r="AP122" s="51" t="s">
        <v>138</v>
      </c>
      <c r="AQ122" s="156" t="s">
        <v>139</v>
      </c>
      <c r="AR122" s="151" t="s">
        <v>140</v>
      </c>
      <c r="AS122" s="22" t="s">
        <v>141</v>
      </c>
      <c r="AT122" s="152" t="s">
        <v>142</v>
      </c>
      <c r="AU122" s="157" t="s">
        <v>143</v>
      </c>
      <c r="AV122" s="158" t="s">
        <v>144</v>
      </c>
      <c r="AW122" s="159" t="s">
        <v>145</v>
      </c>
      <c r="AX122" s="160" t="s">
        <v>146</v>
      </c>
      <c r="AY122" s="161" t="s">
        <v>147</v>
      </c>
      <c r="AZ122" s="158" t="s">
        <v>1480</v>
      </c>
      <c r="BA122" s="34" t="s">
        <v>320</v>
      </c>
      <c r="BB122" s="591" t="str">
        <f t="shared" si="5"/>
        <v>TEMPLATE</v>
      </c>
      <c r="BC122" s="591" t="str">
        <f t="shared" si="6"/>
        <v>6. Tax / Customs / Trade-ZATCA-ZATCA-VAT</v>
      </c>
      <c r="BD122" s="591" t="str">
        <f t="shared" si="7"/>
        <v>ZATCA-ZATCA-VAT</v>
      </c>
      <c r="BE122" s="591" t="str">
        <f t="shared" si="8"/>
        <v>NONE</v>
      </c>
      <c r="BF122" s="594">
        <f t="shared" si="9"/>
        <v>6</v>
      </c>
    </row>
    <row r="123" spans="1:58" ht="42" customHeight="1" x14ac:dyDescent="0.45">
      <c r="A123" s="42">
        <v>112</v>
      </c>
      <c r="B123" s="162" t="s">
        <v>1465</v>
      </c>
      <c r="C123" s="44" t="s">
        <v>1466</v>
      </c>
      <c r="D123" s="44" t="s">
        <v>1467</v>
      </c>
      <c r="E123" s="162" t="s">
        <v>1496</v>
      </c>
      <c r="F123" s="45" t="s">
        <v>1497</v>
      </c>
      <c r="G123" s="44" t="s">
        <v>1498</v>
      </c>
      <c r="H123" s="44" t="s">
        <v>1499</v>
      </c>
      <c r="I123" s="46" t="s">
        <v>1500</v>
      </c>
      <c r="J123" s="46" t="s">
        <v>310</v>
      </c>
      <c r="K123" s="44" t="s">
        <v>63</v>
      </c>
      <c r="L123" s="22" t="s">
        <v>64</v>
      </c>
      <c r="M123" s="44" t="s">
        <v>1501</v>
      </c>
      <c r="N123" s="59" t="s">
        <v>275</v>
      </c>
      <c r="O123" s="48" t="s">
        <v>1473</v>
      </c>
      <c r="P123" s="44" t="s">
        <v>1474</v>
      </c>
      <c r="Q123" s="145" t="s">
        <v>562</v>
      </c>
      <c r="R123" s="145" t="s">
        <v>563</v>
      </c>
      <c r="S123" s="147" t="s">
        <v>564</v>
      </c>
      <c r="T123" s="145" t="s">
        <v>565</v>
      </c>
      <c r="U123" s="25" t="s">
        <v>566</v>
      </c>
      <c r="V123" s="145" t="s">
        <v>282</v>
      </c>
      <c r="W123" s="146" t="s">
        <v>283</v>
      </c>
      <c r="X123" s="145" t="s">
        <v>284</v>
      </c>
      <c r="Y123" s="49" t="s">
        <v>285</v>
      </c>
      <c r="Z123" s="145" t="s">
        <v>286</v>
      </c>
      <c r="AA123" s="147" t="s">
        <v>286</v>
      </c>
      <c r="AB123" s="145" t="s">
        <v>287</v>
      </c>
      <c r="AC123" s="145" t="s">
        <v>288</v>
      </c>
      <c r="AD123" s="49" t="s">
        <v>289</v>
      </c>
      <c r="AE123" s="58" t="s">
        <v>290</v>
      </c>
      <c r="AF123" s="56" t="s">
        <v>291</v>
      </c>
      <c r="AG123" s="145" t="s">
        <v>292</v>
      </c>
      <c r="AH123" s="145" t="s">
        <v>293</v>
      </c>
      <c r="AI123" s="150" t="s">
        <v>215</v>
      </c>
      <c r="AJ123" s="145" t="s">
        <v>216</v>
      </c>
      <c r="AK123" s="151" t="s">
        <v>217</v>
      </c>
      <c r="AL123" s="152" t="s">
        <v>218</v>
      </c>
      <c r="AM123" s="153" t="s">
        <v>219</v>
      </c>
      <c r="AN123" s="154" t="s">
        <v>220</v>
      </c>
      <c r="AO123" s="155" t="s">
        <v>221</v>
      </c>
      <c r="AP123" s="51" t="s">
        <v>138</v>
      </c>
      <c r="AQ123" s="156" t="s">
        <v>139</v>
      </c>
      <c r="AR123" s="151" t="s">
        <v>140</v>
      </c>
      <c r="AS123" s="22" t="s">
        <v>141</v>
      </c>
      <c r="AT123" s="152" t="s">
        <v>142</v>
      </c>
      <c r="AU123" s="157" t="s">
        <v>143</v>
      </c>
      <c r="AV123" s="158" t="s">
        <v>144</v>
      </c>
      <c r="AW123" s="159" t="s">
        <v>145</v>
      </c>
      <c r="AX123" s="160" t="s">
        <v>146</v>
      </c>
      <c r="AY123" s="161" t="s">
        <v>147</v>
      </c>
      <c r="AZ123" s="158" t="s">
        <v>1502</v>
      </c>
      <c r="BA123" s="34" t="s">
        <v>320</v>
      </c>
      <c r="BB123" s="591" t="str">
        <f t="shared" si="5"/>
        <v>TEMPLATE</v>
      </c>
      <c r="BC123" s="591" t="str">
        <f t="shared" si="6"/>
        <v>6. Tax / Customs / Trade-ZATCA-ZATCA-ZAK</v>
      </c>
      <c r="BD123" s="591" t="str">
        <f t="shared" si="7"/>
        <v>ZATCA-ZATCA-ZAK</v>
      </c>
      <c r="BE123" s="591" t="str">
        <f t="shared" si="8"/>
        <v>NONE</v>
      </c>
      <c r="BF123" s="594">
        <f t="shared" si="9"/>
        <v>6</v>
      </c>
    </row>
    <row r="124" spans="1:58" ht="42" customHeight="1" x14ac:dyDescent="0.45">
      <c r="A124" s="143">
        <v>113</v>
      </c>
      <c r="B124" s="144" t="s">
        <v>1465</v>
      </c>
      <c r="C124" s="145" t="s">
        <v>1466</v>
      </c>
      <c r="D124" s="145" t="s">
        <v>1467</v>
      </c>
      <c r="E124" s="144" t="s">
        <v>1503</v>
      </c>
      <c r="F124" s="146" t="s">
        <v>1504</v>
      </c>
      <c r="G124" s="145" t="s">
        <v>1505</v>
      </c>
      <c r="H124" s="145" t="s">
        <v>912</v>
      </c>
      <c r="I124" s="147" t="s">
        <v>1506</v>
      </c>
      <c r="J124" s="147" t="s">
        <v>310</v>
      </c>
      <c r="K124" s="145" t="s">
        <v>63</v>
      </c>
      <c r="L124" s="22" t="s">
        <v>64</v>
      </c>
      <c r="M124" s="145" t="s">
        <v>1507</v>
      </c>
      <c r="N124" s="148" t="s">
        <v>253</v>
      </c>
      <c r="O124" s="149" t="s">
        <v>1473</v>
      </c>
      <c r="P124" s="145" t="s">
        <v>1474</v>
      </c>
      <c r="Q124" s="145" t="s">
        <v>562</v>
      </c>
      <c r="R124" s="145" t="s">
        <v>563</v>
      </c>
      <c r="S124" s="147" t="s">
        <v>564</v>
      </c>
      <c r="T124" s="145" t="s">
        <v>565</v>
      </c>
      <c r="U124" s="25" t="s">
        <v>566</v>
      </c>
      <c r="V124" s="145" t="s">
        <v>282</v>
      </c>
      <c r="W124" s="146" t="s">
        <v>283</v>
      </c>
      <c r="X124" s="145" t="s">
        <v>284</v>
      </c>
      <c r="Y124" s="49" t="s">
        <v>285</v>
      </c>
      <c r="Z124" s="145" t="s">
        <v>286</v>
      </c>
      <c r="AA124" s="147" t="s">
        <v>286</v>
      </c>
      <c r="AB124" s="145" t="s">
        <v>287</v>
      </c>
      <c r="AC124" s="145" t="s">
        <v>288</v>
      </c>
      <c r="AD124" s="49" t="s">
        <v>289</v>
      </c>
      <c r="AE124" s="58" t="s">
        <v>290</v>
      </c>
      <c r="AF124" s="56" t="s">
        <v>291</v>
      </c>
      <c r="AG124" s="145" t="s">
        <v>292</v>
      </c>
      <c r="AH124" s="145" t="s">
        <v>293</v>
      </c>
      <c r="AI124" s="150" t="s">
        <v>215</v>
      </c>
      <c r="AJ124" s="145" t="s">
        <v>216</v>
      </c>
      <c r="AK124" s="151" t="s">
        <v>217</v>
      </c>
      <c r="AL124" s="152" t="s">
        <v>218</v>
      </c>
      <c r="AM124" s="153" t="s">
        <v>219</v>
      </c>
      <c r="AN124" s="154" t="s">
        <v>220</v>
      </c>
      <c r="AO124" s="155" t="s">
        <v>221</v>
      </c>
      <c r="AP124" s="51" t="s">
        <v>138</v>
      </c>
      <c r="AQ124" s="156" t="s">
        <v>139</v>
      </c>
      <c r="AR124" s="151" t="s">
        <v>140</v>
      </c>
      <c r="AS124" s="22" t="s">
        <v>141</v>
      </c>
      <c r="AT124" s="152" t="s">
        <v>142</v>
      </c>
      <c r="AU124" s="157" t="s">
        <v>143</v>
      </c>
      <c r="AV124" s="158" t="s">
        <v>144</v>
      </c>
      <c r="AW124" s="159" t="s">
        <v>145</v>
      </c>
      <c r="AX124" s="160" t="s">
        <v>146</v>
      </c>
      <c r="AY124" s="161" t="s">
        <v>147</v>
      </c>
      <c r="AZ124" s="158" t="s">
        <v>104</v>
      </c>
      <c r="BA124" s="41" t="s">
        <v>105</v>
      </c>
      <c r="BB124" s="591" t="str">
        <f t="shared" si="5"/>
        <v>TEMPLATE</v>
      </c>
      <c r="BC124" s="591" t="str">
        <f t="shared" si="6"/>
        <v>6. Tax / Customs / Trade-ZATCA-ZATCA-CUST</v>
      </c>
      <c r="BD124" s="591" t="str">
        <f t="shared" si="7"/>
        <v>ZATCA-ZATCA-CUST</v>
      </c>
      <c r="BE124" s="591" t="str">
        <f t="shared" si="8"/>
        <v>NONE</v>
      </c>
      <c r="BF124" s="594">
        <f t="shared" si="9"/>
        <v>7</v>
      </c>
    </row>
    <row r="125" spans="1:58" ht="42" customHeight="1" x14ac:dyDescent="0.45">
      <c r="A125" s="42">
        <v>114</v>
      </c>
      <c r="B125" s="162" t="s">
        <v>1465</v>
      </c>
      <c r="C125" s="44" t="s">
        <v>1466</v>
      </c>
      <c r="D125" s="44" t="s">
        <v>1467</v>
      </c>
      <c r="E125" s="162" t="s">
        <v>557</v>
      </c>
      <c r="F125" s="45" t="s">
        <v>58</v>
      </c>
      <c r="G125" s="44" t="s">
        <v>59</v>
      </c>
      <c r="H125" s="44" t="s">
        <v>57</v>
      </c>
      <c r="I125" s="46" t="s">
        <v>61</v>
      </c>
      <c r="J125" s="46" t="s">
        <v>62</v>
      </c>
      <c r="K125" s="44" t="s">
        <v>558</v>
      </c>
      <c r="L125" s="66" t="s">
        <v>559</v>
      </c>
      <c r="M125" s="44" t="s">
        <v>1508</v>
      </c>
      <c r="N125" s="55" t="s">
        <v>253</v>
      </c>
      <c r="O125" s="48" t="s">
        <v>196</v>
      </c>
      <c r="P125" s="44" t="s">
        <v>561</v>
      </c>
      <c r="Q125" s="145" t="s">
        <v>562</v>
      </c>
      <c r="R125" s="145" t="s">
        <v>563</v>
      </c>
      <c r="S125" s="147" t="s">
        <v>564</v>
      </c>
      <c r="T125" s="145" t="s">
        <v>565</v>
      </c>
      <c r="U125" s="25" t="s">
        <v>566</v>
      </c>
      <c r="V125" s="145" t="s">
        <v>282</v>
      </c>
      <c r="W125" s="146" t="s">
        <v>283</v>
      </c>
      <c r="X125" s="145" t="s">
        <v>284</v>
      </c>
      <c r="Y125" s="49" t="s">
        <v>285</v>
      </c>
      <c r="Z125" s="145" t="s">
        <v>286</v>
      </c>
      <c r="AA125" s="147" t="s">
        <v>286</v>
      </c>
      <c r="AB125" s="145" t="s">
        <v>287</v>
      </c>
      <c r="AC125" s="145" t="s">
        <v>288</v>
      </c>
      <c r="AD125" s="49" t="s">
        <v>289</v>
      </c>
      <c r="AE125" s="58" t="s">
        <v>290</v>
      </c>
      <c r="AF125" s="56" t="s">
        <v>291</v>
      </c>
      <c r="AG125" s="145" t="s">
        <v>292</v>
      </c>
      <c r="AH125" s="145" t="s">
        <v>293</v>
      </c>
      <c r="AI125" s="150" t="s">
        <v>215</v>
      </c>
      <c r="AJ125" s="145" t="s">
        <v>216</v>
      </c>
      <c r="AK125" s="151" t="s">
        <v>217</v>
      </c>
      <c r="AL125" s="152" t="s">
        <v>218</v>
      </c>
      <c r="AM125" s="153" t="s">
        <v>219</v>
      </c>
      <c r="AN125" s="154" t="s">
        <v>220</v>
      </c>
      <c r="AO125" s="155" t="s">
        <v>221</v>
      </c>
      <c r="AP125" s="51" t="s">
        <v>138</v>
      </c>
      <c r="AQ125" s="156" t="s">
        <v>139</v>
      </c>
      <c r="AR125" s="151" t="s">
        <v>140</v>
      </c>
      <c r="AS125" s="22" t="s">
        <v>141</v>
      </c>
      <c r="AT125" s="152" t="s">
        <v>142</v>
      </c>
      <c r="AU125" s="157" t="s">
        <v>143</v>
      </c>
      <c r="AV125" s="158" t="s">
        <v>144</v>
      </c>
      <c r="AW125" s="159" t="s">
        <v>145</v>
      </c>
      <c r="AX125" s="160" t="s">
        <v>146</v>
      </c>
      <c r="AY125" s="161" t="s">
        <v>147</v>
      </c>
      <c r="AZ125" s="158" t="s">
        <v>567</v>
      </c>
      <c r="BA125" s="34" t="s">
        <v>320</v>
      </c>
      <c r="BB125" s="591" t="str">
        <f t="shared" si="5"/>
        <v>TEMPLATE</v>
      </c>
      <c r="BC125" s="591" t="str">
        <f t="shared" si="6"/>
        <v>6. Tax / Customs / Trade-ZATCA-NCA-ECC-2:2024</v>
      </c>
      <c r="BD125" s="591" t="str">
        <f t="shared" si="7"/>
        <v>ZATCA-NCA-ECC-2-2024</v>
      </c>
      <c r="BE125" s="591" t="str">
        <f t="shared" si="8"/>
        <v>NCA-ECC-2-2024</v>
      </c>
      <c r="BF125" s="594">
        <f t="shared" si="9"/>
        <v>7</v>
      </c>
    </row>
    <row r="126" spans="1:58" x14ac:dyDescent="0.45">
      <c r="BB126" s="591" t="str">
        <f t="shared" si="5"/>
        <v/>
      </c>
      <c r="BC126" s="591" t="str">
        <f t="shared" si="6"/>
        <v/>
      </c>
      <c r="BD126" s="591" t="str">
        <f t="shared" si="7"/>
        <v/>
      </c>
      <c r="BE126" s="591" t="str">
        <f t="shared" si="8"/>
        <v/>
      </c>
      <c r="BF126" s="594" t="str">
        <f t="shared" si="9"/>
        <v/>
      </c>
    </row>
    <row r="127" spans="1:58" ht="19.5" customHeight="1" x14ac:dyDescent="0.45">
      <c r="A127" s="164"/>
      <c r="B127" s="165" t="s">
        <v>1509</v>
      </c>
      <c r="C127" s="164"/>
      <c r="D127" s="164"/>
      <c r="E127" s="164"/>
      <c r="F127" s="164"/>
      <c r="G127" s="164"/>
      <c r="H127" s="164"/>
      <c r="I127" s="164"/>
      <c r="J127" s="164"/>
      <c r="K127" s="164"/>
      <c r="L127" s="164"/>
      <c r="M127" s="164"/>
      <c r="N127" s="164"/>
      <c r="O127" s="164"/>
      <c r="P127" s="164"/>
      <c r="BB127" s="591" t="str">
        <f t="shared" si="5"/>
        <v/>
      </c>
      <c r="BC127" s="591" t="str">
        <f t="shared" si="6"/>
        <v/>
      </c>
      <c r="BD127" s="591" t="str">
        <f t="shared" si="7"/>
        <v/>
      </c>
      <c r="BE127" s="591" t="str">
        <f t="shared" si="8"/>
        <v/>
      </c>
      <c r="BF127" s="594" t="str">
        <f t="shared" si="9"/>
        <v/>
      </c>
    </row>
    <row r="128" spans="1:58" ht="42" customHeight="1" x14ac:dyDescent="0.45">
      <c r="A128" s="166">
        <v>115</v>
      </c>
      <c r="B128" s="167" t="s">
        <v>1510</v>
      </c>
      <c r="C128" s="168" t="s">
        <v>1511</v>
      </c>
      <c r="D128" s="168" t="s">
        <v>1512</v>
      </c>
      <c r="E128" s="167" t="s">
        <v>1513</v>
      </c>
      <c r="F128" s="169" t="s">
        <v>1514</v>
      </c>
      <c r="G128" s="168" t="s">
        <v>1515</v>
      </c>
      <c r="H128" s="168" t="s">
        <v>1516</v>
      </c>
      <c r="I128" s="170" t="s">
        <v>1517</v>
      </c>
      <c r="J128" s="170" t="s">
        <v>1518</v>
      </c>
      <c r="K128" s="168" t="s">
        <v>63</v>
      </c>
      <c r="L128" s="22" t="s">
        <v>64</v>
      </c>
      <c r="M128" s="168" t="s">
        <v>1519</v>
      </c>
      <c r="N128" s="171" t="s">
        <v>154</v>
      </c>
      <c r="O128" s="172" t="s">
        <v>1520</v>
      </c>
      <c r="P128" s="168" t="s">
        <v>1521</v>
      </c>
      <c r="Q128" s="168" t="s">
        <v>1522</v>
      </c>
      <c r="R128" s="168" t="s">
        <v>1523</v>
      </c>
      <c r="S128" s="170" t="s">
        <v>1524</v>
      </c>
      <c r="T128" s="168" t="s">
        <v>1525</v>
      </c>
      <c r="U128" s="25" t="s">
        <v>1526</v>
      </c>
      <c r="V128" s="168" t="s">
        <v>1527</v>
      </c>
      <c r="W128" s="169" t="s">
        <v>1528</v>
      </c>
      <c r="X128" s="168" t="s">
        <v>1529</v>
      </c>
      <c r="Y128" s="22" t="s">
        <v>205</v>
      </c>
      <c r="Z128" s="168" t="s">
        <v>1530</v>
      </c>
      <c r="AA128" s="170" t="s">
        <v>1531</v>
      </c>
      <c r="AB128" s="168" t="s">
        <v>1532</v>
      </c>
      <c r="AC128" s="168" t="s">
        <v>1533</v>
      </c>
      <c r="AD128" s="49" t="s">
        <v>1534</v>
      </c>
      <c r="AE128" s="37" t="s">
        <v>211</v>
      </c>
      <c r="AF128" s="60" t="s">
        <v>1535</v>
      </c>
      <c r="AG128" s="168" t="s">
        <v>1536</v>
      </c>
      <c r="AH128" s="168" t="s">
        <v>1537</v>
      </c>
      <c r="AI128" s="173" t="s">
        <v>215</v>
      </c>
      <c r="AJ128" s="168" t="s">
        <v>216</v>
      </c>
      <c r="AK128" s="174" t="s">
        <v>217</v>
      </c>
      <c r="AL128" s="175" t="s">
        <v>218</v>
      </c>
      <c r="AM128" s="176" t="s">
        <v>219</v>
      </c>
      <c r="AN128" s="177" t="s">
        <v>220</v>
      </c>
      <c r="AO128" s="178" t="s">
        <v>221</v>
      </c>
      <c r="AP128" s="51" t="s">
        <v>138</v>
      </c>
      <c r="AQ128" s="179" t="s">
        <v>139</v>
      </c>
      <c r="AR128" s="174" t="s">
        <v>140</v>
      </c>
      <c r="AS128" s="22" t="s">
        <v>141</v>
      </c>
      <c r="AT128" s="175" t="s">
        <v>142</v>
      </c>
      <c r="AU128" s="180" t="s">
        <v>143</v>
      </c>
      <c r="AV128" s="181" t="s">
        <v>144</v>
      </c>
      <c r="AW128" s="182" t="s">
        <v>145</v>
      </c>
      <c r="AX128" s="183" t="s">
        <v>146</v>
      </c>
      <c r="AY128" s="184" t="s">
        <v>147</v>
      </c>
      <c r="AZ128" s="181" t="s">
        <v>1538</v>
      </c>
      <c r="BA128" s="34" t="s">
        <v>320</v>
      </c>
      <c r="BB128" s="591" t="str">
        <f t="shared" si="5"/>
        <v>TEMPLATE</v>
      </c>
      <c r="BC128" s="591" t="str">
        <f t="shared" si="6"/>
        <v>7. Standards &amp; Quality-SASO-SASO-PS</v>
      </c>
      <c r="BD128" s="591" t="str">
        <f t="shared" si="7"/>
        <v>SASO-SASO-PS</v>
      </c>
      <c r="BE128" s="591" t="str">
        <f t="shared" si="8"/>
        <v>NONE</v>
      </c>
      <c r="BF128" s="594">
        <f t="shared" si="9"/>
        <v>9</v>
      </c>
    </row>
    <row r="129" spans="1:58" ht="42" customHeight="1" x14ac:dyDescent="0.45">
      <c r="A129" s="42">
        <v>116</v>
      </c>
      <c r="B129" s="185" t="s">
        <v>1510</v>
      </c>
      <c r="C129" s="44" t="s">
        <v>1511</v>
      </c>
      <c r="D129" s="44" t="s">
        <v>1512</v>
      </c>
      <c r="E129" s="185" t="s">
        <v>1539</v>
      </c>
      <c r="F129" s="45" t="s">
        <v>1540</v>
      </c>
      <c r="G129" s="44" t="s">
        <v>1541</v>
      </c>
      <c r="H129" s="44" t="s">
        <v>1542</v>
      </c>
      <c r="I129" s="46" t="s">
        <v>225</v>
      </c>
      <c r="J129" s="46" t="s">
        <v>310</v>
      </c>
      <c r="K129" s="44" t="s">
        <v>63</v>
      </c>
      <c r="L129" s="22" t="s">
        <v>64</v>
      </c>
      <c r="M129" s="44" t="s">
        <v>1543</v>
      </c>
      <c r="N129" s="54" t="s">
        <v>154</v>
      </c>
      <c r="O129" s="48" t="s">
        <v>1544</v>
      </c>
      <c r="P129" s="44" t="s">
        <v>1545</v>
      </c>
      <c r="Q129" s="168" t="s">
        <v>562</v>
      </c>
      <c r="R129" s="168" t="s">
        <v>563</v>
      </c>
      <c r="S129" s="170" t="s">
        <v>564</v>
      </c>
      <c r="T129" s="168" t="s">
        <v>565</v>
      </c>
      <c r="U129" s="25" t="s">
        <v>566</v>
      </c>
      <c r="V129" s="168" t="s">
        <v>282</v>
      </c>
      <c r="W129" s="169" t="s">
        <v>283</v>
      </c>
      <c r="X129" s="168" t="s">
        <v>284</v>
      </c>
      <c r="Y129" s="49" t="s">
        <v>285</v>
      </c>
      <c r="Z129" s="168" t="s">
        <v>286</v>
      </c>
      <c r="AA129" s="170" t="s">
        <v>286</v>
      </c>
      <c r="AB129" s="168" t="s">
        <v>287</v>
      </c>
      <c r="AC129" s="168" t="s">
        <v>288</v>
      </c>
      <c r="AD129" s="49" t="s">
        <v>289</v>
      </c>
      <c r="AE129" s="58" t="s">
        <v>290</v>
      </c>
      <c r="AF129" s="56" t="s">
        <v>291</v>
      </c>
      <c r="AG129" s="168" t="s">
        <v>292</v>
      </c>
      <c r="AH129" s="168" t="s">
        <v>293</v>
      </c>
      <c r="AI129" s="173" t="s">
        <v>215</v>
      </c>
      <c r="AJ129" s="168" t="s">
        <v>216</v>
      </c>
      <c r="AK129" s="174" t="s">
        <v>217</v>
      </c>
      <c r="AL129" s="175" t="s">
        <v>218</v>
      </c>
      <c r="AM129" s="176" t="s">
        <v>219</v>
      </c>
      <c r="AN129" s="177" t="s">
        <v>220</v>
      </c>
      <c r="AO129" s="178" t="s">
        <v>221</v>
      </c>
      <c r="AP129" s="51" t="s">
        <v>138</v>
      </c>
      <c r="AQ129" s="179" t="s">
        <v>139</v>
      </c>
      <c r="AR129" s="174" t="s">
        <v>140</v>
      </c>
      <c r="AS129" s="22" t="s">
        <v>141</v>
      </c>
      <c r="AT129" s="175" t="s">
        <v>142</v>
      </c>
      <c r="AU129" s="180" t="s">
        <v>143</v>
      </c>
      <c r="AV129" s="181" t="s">
        <v>144</v>
      </c>
      <c r="AW129" s="182" t="s">
        <v>145</v>
      </c>
      <c r="AX129" s="183" t="s">
        <v>146</v>
      </c>
      <c r="AY129" s="184" t="s">
        <v>147</v>
      </c>
      <c r="AZ129" s="181" t="s">
        <v>1546</v>
      </c>
      <c r="BA129" s="34" t="s">
        <v>320</v>
      </c>
      <c r="BB129" s="591" t="str">
        <f t="shared" si="5"/>
        <v>TEMPLATE</v>
      </c>
      <c r="BC129" s="591" t="str">
        <f t="shared" si="6"/>
        <v>7. Standards &amp; Quality-SASO-SASO-SABER</v>
      </c>
      <c r="BD129" s="591" t="str">
        <f t="shared" si="7"/>
        <v>SASO-SASO-SABER</v>
      </c>
      <c r="BE129" s="591" t="str">
        <f t="shared" si="8"/>
        <v>NONE</v>
      </c>
      <c r="BF129" s="594">
        <f t="shared" si="9"/>
        <v>9</v>
      </c>
    </row>
    <row r="130" spans="1:58" ht="42" customHeight="1" x14ac:dyDescent="0.45">
      <c r="A130" s="166">
        <v>117</v>
      </c>
      <c r="B130" s="167" t="s">
        <v>1510</v>
      </c>
      <c r="C130" s="168" t="s">
        <v>1511</v>
      </c>
      <c r="D130" s="168" t="s">
        <v>1512</v>
      </c>
      <c r="E130" s="167" t="s">
        <v>1547</v>
      </c>
      <c r="F130" s="169" t="s">
        <v>1548</v>
      </c>
      <c r="G130" s="168" t="s">
        <v>1549</v>
      </c>
      <c r="H130" s="168" t="s">
        <v>1075</v>
      </c>
      <c r="I130" s="170" t="s">
        <v>1517</v>
      </c>
      <c r="J130" s="170" t="s">
        <v>310</v>
      </c>
      <c r="K130" s="168" t="s">
        <v>63</v>
      </c>
      <c r="L130" s="22" t="s">
        <v>64</v>
      </c>
      <c r="M130" s="168" t="s">
        <v>1550</v>
      </c>
      <c r="N130" s="186" t="s">
        <v>253</v>
      </c>
      <c r="O130" s="172" t="s">
        <v>1520</v>
      </c>
      <c r="P130" s="168" t="s">
        <v>1551</v>
      </c>
      <c r="Q130" s="168" t="s">
        <v>562</v>
      </c>
      <c r="R130" s="168" t="s">
        <v>563</v>
      </c>
      <c r="S130" s="170" t="s">
        <v>564</v>
      </c>
      <c r="T130" s="168" t="s">
        <v>565</v>
      </c>
      <c r="U130" s="25" t="s">
        <v>566</v>
      </c>
      <c r="V130" s="168" t="s">
        <v>282</v>
      </c>
      <c r="W130" s="169" t="s">
        <v>283</v>
      </c>
      <c r="X130" s="168" t="s">
        <v>284</v>
      </c>
      <c r="Y130" s="49" t="s">
        <v>285</v>
      </c>
      <c r="Z130" s="168" t="s">
        <v>286</v>
      </c>
      <c r="AA130" s="170" t="s">
        <v>286</v>
      </c>
      <c r="AB130" s="168" t="s">
        <v>287</v>
      </c>
      <c r="AC130" s="168" t="s">
        <v>288</v>
      </c>
      <c r="AD130" s="49" t="s">
        <v>289</v>
      </c>
      <c r="AE130" s="58" t="s">
        <v>290</v>
      </c>
      <c r="AF130" s="56" t="s">
        <v>291</v>
      </c>
      <c r="AG130" s="168" t="s">
        <v>292</v>
      </c>
      <c r="AH130" s="168" t="s">
        <v>293</v>
      </c>
      <c r="AI130" s="173" t="s">
        <v>215</v>
      </c>
      <c r="AJ130" s="168" t="s">
        <v>216</v>
      </c>
      <c r="AK130" s="174" t="s">
        <v>217</v>
      </c>
      <c r="AL130" s="175" t="s">
        <v>218</v>
      </c>
      <c r="AM130" s="176" t="s">
        <v>219</v>
      </c>
      <c r="AN130" s="177" t="s">
        <v>220</v>
      </c>
      <c r="AO130" s="178" t="s">
        <v>221</v>
      </c>
      <c r="AP130" s="51" t="s">
        <v>138</v>
      </c>
      <c r="AQ130" s="179" t="s">
        <v>139</v>
      </c>
      <c r="AR130" s="174" t="s">
        <v>140</v>
      </c>
      <c r="AS130" s="22" t="s">
        <v>141</v>
      </c>
      <c r="AT130" s="175" t="s">
        <v>142</v>
      </c>
      <c r="AU130" s="180" t="s">
        <v>143</v>
      </c>
      <c r="AV130" s="181" t="s">
        <v>144</v>
      </c>
      <c r="AW130" s="182" t="s">
        <v>145</v>
      </c>
      <c r="AX130" s="183" t="s">
        <v>146</v>
      </c>
      <c r="AY130" s="184" t="s">
        <v>147</v>
      </c>
      <c r="AZ130" s="181" t="s">
        <v>1552</v>
      </c>
      <c r="BA130" s="34" t="s">
        <v>320</v>
      </c>
      <c r="BB130" s="591" t="str">
        <f t="shared" si="5"/>
        <v>TEMPLATE</v>
      </c>
      <c r="BC130" s="591" t="str">
        <f t="shared" si="6"/>
        <v>7. Standards &amp; Quality-SASO-SASO-METRO</v>
      </c>
      <c r="BD130" s="591" t="str">
        <f t="shared" si="7"/>
        <v>SASO-SASO-METRO</v>
      </c>
      <c r="BE130" s="591" t="str">
        <f t="shared" si="8"/>
        <v>NONE</v>
      </c>
      <c r="BF130" s="594">
        <f t="shared" si="9"/>
        <v>7</v>
      </c>
    </row>
    <row r="131" spans="1:58" ht="42" customHeight="1" x14ac:dyDescent="0.45">
      <c r="A131" s="42">
        <v>118</v>
      </c>
      <c r="B131" s="185" t="s">
        <v>1510</v>
      </c>
      <c r="C131" s="44" t="s">
        <v>1511</v>
      </c>
      <c r="D131" s="44" t="s">
        <v>1512</v>
      </c>
      <c r="E131" s="185" t="s">
        <v>1553</v>
      </c>
      <c r="F131" s="45" t="s">
        <v>1554</v>
      </c>
      <c r="G131" s="44" t="s">
        <v>1555</v>
      </c>
      <c r="H131" s="44" t="s">
        <v>906</v>
      </c>
      <c r="I131" s="46" t="s">
        <v>887</v>
      </c>
      <c r="J131" s="46" t="s">
        <v>310</v>
      </c>
      <c r="K131" s="44" t="s">
        <v>63</v>
      </c>
      <c r="L131" s="22" t="s">
        <v>64</v>
      </c>
      <c r="M131" s="44" t="s">
        <v>1556</v>
      </c>
      <c r="N131" s="59" t="s">
        <v>275</v>
      </c>
      <c r="O131" s="48" t="s">
        <v>1520</v>
      </c>
      <c r="P131" s="44" t="s">
        <v>1557</v>
      </c>
      <c r="Q131" s="168" t="s">
        <v>562</v>
      </c>
      <c r="R131" s="168" t="s">
        <v>563</v>
      </c>
      <c r="S131" s="170" t="s">
        <v>564</v>
      </c>
      <c r="T131" s="168" t="s">
        <v>565</v>
      </c>
      <c r="U131" s="25" t="s">
        <v>566</v>
      </c>
      <c r="V131" s="168" t="s">
        <v>282</v>
      </c>
      <c r="W131" s="169" t="s">
        <v>283</v>
      </c>
      <c r="X131" s="168" t="s">
        <v>284</v>
      </c>
      <c r="Y131" s="49" t="s">
        <v>285</v>
      </c>
      <c r="Z131" s="168" t="s">
        <v>286</v>
      </c>
      <c r="AA131" s="170" t="s">
        <v>286</v>
      </c>
      <c r="AB131" s="168" t="s">
        <v>287</v>
      </c>
      <c r="AC131" s="168" t="s">
        <v>288</v>
      </c>
      <c r="AD131" s="49" t="s">
        <v>289</v>
      </c>
      <c r="AE131" s="58" t="s">
        <v>290</v>
      </c>
      <c r="AF131" s="56" t="s">
        <v>291</v>
      </c>
      <c r="AG131" s="168" t="s">
        <v>292</v>
      </c>
      <c r="AH131" s="168" t="s">
        <v>293</v>
      </c>
      <c r="AI131" s="173" t="s">
        <v>215</v>
      </c>
      <c r="AJ131" s="168" t="s">
        <v>216</v>
      </c>
      <c r="AK131" s="174" t="s">
        <v>217</v>
      </c>
      <c r="AL131" s="175" t="s">
        <v>218</v>
      </c>
      <c r="AM131" s="176" t="s">
        <v>219</v>
      </c>
      <c r="AN131" s="177" t="s">
        <v>220</v>
      </c>
      <c r="AO131" s="178" t="s">
        <v>221</v>
      </c>
      <c r="AP131" s="51" t="s">
        <v>138</v>
      </c>
      <c r="AQ131" s="179" t="s">
        <v>139</v>
      </c>
      <c r="AR131" s="174" t="s">
        <v>140</v>
      </c>
      <c r="AS131" s="22" t="s">
        <v>141</v>
      </c>
      <c r="AT131" s="175" t="s">
        <v>142</v>
      </c>
      <c r="AU131" s="180" t="s">
        <v>143</v>
      </c>
      <c r="AV131" s="181" t="s">
        <v>144</v>
      </c>
      <c r="AW131" s="182" t="s">
        <v>145</v>
      </c>
      <c r="AX131" s="183" t="s">
        <v>146</v>
      </c>
      <c r="AY131" s="184" t="s">
        <v>147</v>
      </c>
      <c r="AZ131" s="181" t="s">
        <v>104</v>
      </c>
      <c r="BA131" s="41" t="s">
        <v>105</v>
      </c>
      <c r="BB131" s="591" t="str">
        <f t="shared" si="5"/>
        <v>TEMPLATE</v>
      </c>
      <c r="BC131" s="591" t="str">
        <f t="shared" si="6"/>
        <v>7. Standards &amp; Quality-SASO-SASO-HALAL</v>
      </c>
      <c r="BD131" s="591" t="str">
        <f t="shared" si="7"/>
        <v>SASO-SASO-HALAL</v>
      </c>
      <c r="BE131" s="591" t="str">
        <f t="shared" si="8"/>
        <v>NONE</v>
      </c>
      <c r="BF131" s="594">
        <f t="shared" si="9"/>
        <v>6</v>
      </c>
    </row>
    <row r="132" spans="1:58" ht="42" customHeight="1" x14ac:dyDescent="0.45">
      <c r="A132" s="166">
        <v>119</v>
      </c>
      <c r="B132" s="167" t="s">
        <v>1510</v>
      </c>
      <c r="C132" s="168" t="s">
        <v>1511</v>
      </c>
      <c r="D132" s="168" t="s">
        <v>1512</v>
      </c>
      <c r="E132" s="167" t="s">
        <v>557</v>
      </c>
      <c r="F132" s="169" t="s">
        <v>58</v>
      </c>
      <c r="G132" s="168" t="s">
        <v>59</v>
      </c>
      <c r="H132" s="168" t="s">
        <v>57</v>
      </c>
      <c r="I132" s="170" t="s">
        <v>61</v>
      </c>
      <c r="J132" s="170" t="s">
        <v>62</v>
      </c>
      <c r="K132" s="168" t="s">
        <v>558</v>
      </c>
      <c r="L132" s="66" t="s">
        <v>559</v>
      </c>
      <c r="M132" s="168" t="s">
        <v>1558</v>
      </c>
      <c r="N132" s="171" t="s">
        <v>154</v>
      </c>
      <c r="O132" s="172" t="s">
        <v>196</v>
      </c>
      <c r="P132" s="168" t="s">
        <v>561</v>
      </c>
      <c r="Q132" s="168" t="s">
        <v>562</v>
      </c>
      <c r="R132" s="168" t="s">
        <v>563</v>
      </c>
      <c r="S132" s="170" t="s">
        <v>564</v>
      </c>
      <c r="T132" s="168" t="s">
        <v>565</v>
      </c>
      <c r="U132" s="25" t="s">
        <v>566</v>
      </c>
      <c r="V132" s="168" t="s">
        <v>282</v>
      </c>
      <c r="W132" s="169" t="s">
        <v>283</v>
      </c>
      <c r="X132" s="168" t="s">
        <v>284</v>
      </c>
      <c r="Y132" s="49" t="s">
        <v>285</v>
      </c>
      <c r="Z132" s="168" t="s">
        <v>286</v>
      </c>
      <c r="AA132" s="170" t="s">
        <v>286</v>
      </c>
      <c r="AB132" s="168" t="s">
        <v>287</v>
      </c>
      <c r="AC132" s="168" t="s">
        <v>288</v>
      </c>
      <c r="AD132" s="49" t="s">
        <v>289</v>
      </c>
      <c r="AE132" s="58" t="s">
        <v>290</v>
      </c>
      <c r="AF132" s="56" t="s">
        <v>291</v>
      </c>
      <c r="AG132" s="168" t="s">
        <v>292</v>
      </c>
      <c r="AH132" s="168" t="s">
        <v>293</v>
      </c>
      <c r="AI132" s="173" t="s">
        <v>215</v>
      </c>
      <c r="AJ132" s="168" t="s">
        <v>216</v>
      </c>
      <c r="AK132" s="174" t="s">
        <v>217</v>
      </c>
      <c r="AL132" s="175" t="s">
        <v>218</v>
      </c>
      <c r="AM132" s="176" t="s">
        <v>219</v>
      </c>
      <c r="AN132" s="177" t="s">
        <v>220</v>
      </c>
      <c r="AO132" s="178" t="s">
        <v>221</v>
      </c>
      <c r="AP132" s="51" t="s">
        <v>138</v>
      </c>
      <c r="AQ132" s="179" t="s">
        <v>139</v>
      </c>
      <c r="AR132" s="174" t="s">
        <v>140</v>
      </c>
      <c r="AS132" s="22" t="s">
        <v>141</v>
      </c>
      <c r="AT132" s="175" t="s">
        <v>142</v>
      </c>
      <c r="AU132" s="180" t="s">
        <v>143</v>
      </c>
      <c r="AV132" s="181" t="s">
        <v>144</v>
      </c>
      <c r="AW132" s="182" t="s">
        <v>145</v>
      </c>
      <c r="AX132" s="183" t="s">
        <v>146</v>
      </c>
      <c r="AY132" s="184" t="s">
        <v>147</v>
      </c>
      <c r="AZ132" s="181" t="s">
        <v>567</v>
      </c>
      <c r="BA132" s="34" t="s">
        <v>320</v>
      </c>
      <c r="BB132" s="591" t="str">
        <f t="shared" si="5"/>
        <v>TEMPLATE</v>
      </c>
      <c r="BC132" s="591" t="str">
        <f t="shared" si="6"/>
        <v>7. Standards &amp; Quality-SASO-NCA-ECC-2:2024</v>
      </c>
      <c r="BD132" s="591" t="str">
        <f t="shared" si="7"/>
        <v>SASO-NCA-ECC-2-2024</v>
      </c>
      <c r="BE132" s="591" t="str">
        <f t="shared" si="8"/>
        <v>NCA-ECC-2-2024</v>
      </c>
      <c r="BF132" s="594">
        <f t="shared" si="9"/>
        <v>9</v>
      </c>
    </row>
    <row r="133" spans="1:58" x14ac:dyDescent="0.45">
      <c r="BB133" s="591" t="str">
        <f t="shared" ref="BB133:BB196" si="10">IF(E133="","",IF(ISNUMBER(SEARCH("Institutional theory and regulatory governance theory underpin",AI133)),"TEMPLATE",IF(LEN(AI133)&gt;100,"DEEP",IF(AI133="","SPARSE","SHALLOW"))))</f>
        <v/>
      </c>
      <c r="BC133" s="591" t="str">
        <f t="shared" ref="BC133:BC196" si="11">IF(E133="","",D133&amp;"-"&amp;B133&amp;"-"&amp;E133)</f>
        <v/>
      </c>
      <c r="BD133" s="591" t="str">
        <f t="shared" ref="BD133:BD196" si="12">IF(E133="","",SUBSTITUTE(SUBSTITUTE(B133&amp;"-"&amp;E133," ",""),":","-"))</f>
        <v/>
      </c>
      <c r="BE133" s="591" t="str">
        <f t="shared" ref="BE133:BE196" si="13">IF(E133="","",IF(ISNUMBER(SEARCH("ECC",E133)),"NCA-ECC-2-2024",IF(ISNUMBER(SEARCH("OTCC",E133)),"NCA-ECC-2-2024",IF(ISNUMBER(SEARCH("CCC",E133)),"NCA-ECC-2-2024",IF(ISNUMBER(SEARCH("DCC",E133)),"NCA-ECC-2-2024",IF(ISNUMBER(SEARCH("CSCC",E133)),"NCA-ECC-2-2024",IF(ISNUMBER(SEARCH("PDPL-IR",E133)),"PDPL-2021",IF(ISNUMBER(SEARCH("PDPL-DTR",E133)),"PDPL-2021","NONE"))))))))</f>
        <v/>
      </c>
      <c r="BF133" s="594" t="str">
        <f t="shared" ref="BF133:BF196" si="14">IF(E133="","",IF(BB133="DEEP",10,IF(BB133="SHALLOW",5,IF(BB133="TEMPLATE",3,1)))+IF(N133="HIGHEST",5,IF(N133="HIGH",3,IF(N133="MODERATE",1,0)))+IF(ISNUMBER(SEARCH("Mandatory",L133)),3,0))</f>
        <v/>
      </c>
    </row>
    <row r="134" spans="1:58" ht="19.5" customHeight="1" x14ac:dyDescent="0.45">
      <c r="A134" s="187"/>
      <c r="B134" s="188" t="s">
        <v>1559</v>
      </c>
      <c r="C134" s="187"/>
      <c r="D134" s="187"/>
      <c r="E134" s="187"/>
      <c r="F134" s="187"/>
      <c r="G134" s="187"/>
      <c r="H134" s="187"/>
      <c r="I134" s="187"/>
      <c r="J134" s="187"/>
      <c r="K134" s="187"/>
      <c r="L134" s="187"/>
      <c r="M134" s="187"/>
      <c r="N134" s="187"/>
      <c r="O134" s="187"/>
      <c r="P134" s="187"/>
      <c r="BB134" s="591" t="str">
        <f t="shared" si="10"/>
        <v/>
      </c>
      <c r="BC134" s="591" t="str">
        <f t="shared" si="11"/>
        <v/>
      </c>
      <c r="BD134" s="591" t="str">
        <f t="shared" si="12"/>
        <v/>
      </c>
      <c r="BE134" s="591" t="str">
        <f t="shared" si="13"/>
        <v/>
      </c>
      <c r="BF134" s="594" t="str">
        <f t="shared" si="14"/>
        <v/>
      </c>
    </row>
    <row r="135" spans="1:58" ht="42" customHeight="1" x14ac:dyDescent="0.45">
      <c r="A135" s="42">
        <v>120</v>
      </c>
      <c r="B135" s="189" t="s">
        <v>1560</v>
      </c>
      <c r="C135" s="44" t="s">
        <v>1561</v>
      </c>
      <c r="D135" s="44" t="s">
        <v>1562</v>
      </c>
      <c r="E135" s="189" t="s">
        <v>1563</v>
      </c>
      <c r="F135" s="45" t="s">
        <v>1564</v>
      </c>
      <c r="G135" s="44" t="s">
        <v>1565</v>
      </c>
      <c r="H135" s="44" t="s">
        <v>1023</v>
      </c>
      <c r="I135" s="46" t="s">
        <v>887</v>
      </c>
      <c r="J135" s="46" t="s">
        <v>1566</v>
      </c>
      <c r="K135" s="44" t="s">
        <v>63</v>
      </c>
      <c r="L135" s="22" t="s">
        <v>64</v>
      </c>
      <c r="M135" s="44" t="s">
        <v>1567</v>
      </c>
      <c r="N135" s="55" t="s">
        <v>253</v>
      </c>
      <c r="O135" s="48" t="s">
        <v>1568</v>
      </c>
      <c r="P135" s="44" t="s">
        <v>1569</v>
      </c>
      <c r="Q135" s="190" t="s">
        <v>1570</v>
      </c>
      <c r="R135" s="190" t="s">
        <v>1571</v>
      </c>
      <c r="S135" s="191" t="s">
        <v>1572</v>
      </c>
      <c r="T135" s="190" t="s">
        <v>1573</v>
      </c>
      <c r="U135" s="25" t="s">
        <v>666</v>
      </c>
      <c r="V135" s="190" t="s">
        <v>282</v>
      </c>
      <c r="W135" s="192" t="s">
        <v>283</v>
      </c>
      <c r="X135" s="190" t="s">
        <v>284</v>
      </c>
      <c r="Y135" s="49" t="s">
        <v>285</v>
      </c>
      <c r="Z135" s="190" t="s">
        <v>286</v>
      </c>
      <c r="AA135" s="191" t="s">
        <v>286</v>
      </c>
      <c r="AB135" s="190" t="s">
        <v>287</v>
      </c>
      <c r="AC135" s="190" t="s">
        <v>288</v>
      </c>
      <c r="AD135" s="49" t="s">
        <v>289</v>
      </c>
      <c r="AE135" s="58" t="s">
        <v>290</v>
      </c>
      <c r="AF135" s="56" t="s">
        <v>291</v>
      </c>
      <c r="AG135" s="190" t="s">
        <v>292</v>
      </c>
      <c r="AH135" s="190" t="s">
        <v>293</v>
      </c>
      <c r="AI135" s="193" t="s">
        <v>215</v>
      </c>
      <c r="AJ135" s="190" t="s">
        <v>216</v>
      </c>
      <c r="AK135" s="194" t="s">
        <v>217</v>
      </c>
      <c r="AL135" s="195" t="s">
        <v>218</v>
      </c>
      <c r="AM135" s="196" t="s">
        <v>219</v>
      </c>
      <c r="AN135" s="197" t="s">
        <v>220</v>
      </c>
      <c r="AO135" s="198" t="s">
        <v>221</v>
      </c>
      <c r="AP135" s="51" t="s">
        <v>138</v>
      </c>
      <c r="AQ135" s="26" t="s">
        <v>139</v>
      </c>
      <c r="AR135" s="194" t="s">
        <v>140</v>
      </c>
      <c r="AS135" s="22" t="s">
        <v>141</v>
      </c>
      <c r="AT135" s="195" t="s">
        <v>142</v>
      </c>
      <c r="AU135" s="199" t="s">
        <v>143</v>
      </c>
      <c r="AV135" s="200" t="s">
        <v>144</v>
      </c>
      <c r="AW135" s="201" t="s">
        <v>145</v>
      </c>
      <c r="AX135" s="202" t="s">
        <v>146</v>
      </c>
      <c r="AY135" s="203" t="s">
        <v>147</v>
      </c>
      <c r="AZ135" s="200" t="s">
        <v>1574</v>
      </c>
      <c r="BA135" s="34" t="s">
        <v>320</v>
      </c>
      <c r="BB135" s="591" t="str">
        <f t="shared" si="10"/>
        <v>TEMPLATE</v>
      </c>
      <c r="BC135" s="591" t="str">
        <f t="shared" si="11"/>
        <v>1. Ministries-MHRSD-MHRSD-LL</v>
      </c>
      <c r="BD135" s="591" t="str">
        <f t="shared" si="12"/>
        <v>MHRSD-MHRSD-LL</v>
      </c>
      <c r="BE135" s="591" t="str">
        <f t="shared" si="13"/>
        <v>NONE</v>
      </c>
      <c r="BF135" s="594">
        <f t="shared" si="14"/>
        <v>7</v>
      </c>
    </row>
    <row r="136" spans="1:58" ht="42" customHeight="1" x14ac:dyDescent="0.45">
      <c r="A136" s="204">
        <v>121</v>
      </c>
      <c r="B136" s="205" t="s">
        <v>1560</v>
      </c>
      <c r="C136" s="190" t="s">
        <v>1561</v>
      </c>
      <c r="D136" s="190" t="s">
        <v>1562</v>
      </c>
      <c r="E136" s="205" t="s">
        <v>1575</v>
      </c>
      <c r="F136" s="192" t="s">
        <v>1576</v>
      </c>
      <c r="G136" s="190" t="s">
        <v>1577</v>
      </c>
      <c r="H136" s="190" t="s">
        <v>1138</v>
      </c>
      <c r="I136" s="191" t="s">
        <v>1578</v>
      </c>
      <c r="J136" s="191" t="s">
        <v>310</v>
      </c>
      <c r="K136" s="190" t="s">
        <v>63</v>
      </c>
      <c r="L136" s="22" t="s">
        <v>64</v>
      </c>
      <c r="M136" s="190" t="s">
        <v>1579</v>
      </c>
      <c r="N136" s="206" t="s">
        <v>154</v>
      </c>
      <c r="O136" s="207" t="s">
        <v>1568</v>
      </c>
      <c r="P136" s="190" t="s">
        <v>1580</v>
      </c>
      <c r="Q136" s="190" t="s">
        <v>1581</v>
      </c>
      <c r="R136" s="190" t="s">
        <v>1582</v>
      </c>
      <c r="S136" s="191" t="s">
        <v>1583</v>
      </c>
      <c r="T136" s="190" t="s">
        <v>1584</v>
      </c>
      <c r="U136" s="25" t="s">
        <v>1585</v>
      </c>
      <c r="V136" s="190" t="s">
        <v>1586</v>
      </c>
      <c r="W136" s="192" t="s">
        <v>1587</v>
      </c>
      <c r="X136" s="190" t="s">
        <v>1588</v>
      </c>
      <c r="Y136" s="49" t="s">
        <v>1589</v>
      </c>
      <c r="Z136" s="190" t="s">
        <v>1590</v>
      </c>
      <c r="AA136" s="191" t="s">
        <v>1591</v>
      </c>
      <c r="AB136" s="190" t="s">
        <v>1592</v>
      </c>
      <c r="AC136" s="190" t="s">
        <v>1593</v>
      </c>
      <c r="AD136" s="49" t="s">
        <v>1594</v>
      </c>
      <c r="AE136" s="26" t="s">
        <v>1042</v>
      </c>
      <c r="AF136" s="56" t="s">
        <v>1595</v>
      </c>
      <c r="AG136" s="190" t="s">
        <v>1596</v>
      </c>
      <c r="AH136" s="190" t="s">
        <v>1597</v>
      </c>
      <c r="AI136" s="193" t="s">
        <v>215</v>
      </c>
      <c r="AJ136" s="190" t="s">
        <v>216</v>
      </c>
      <c r="AK136" s="194" t="s">
        <v>217</v>
      </c>
      <c r="AL136" s="195" t="s">
        <v>218</v>
      </c>
      <c r="AM136" s="196" t="s">
        <v>219</v>
      </c>
      <c r="AN136" s="197" t="s">
        <v>220</v>
      </c>
      <c r="AO136" s="198" t="s">
        <v>221</v>
      </c>
      <c r="AP136" s="51" t="s">
        <v>1598</v>
      </c>
      <c r="AQ136" s="26" t="s">
        <v>1599</v>
      </c>
      <c r="AR136" s="194" t="s">
        <v>1600</v>
      </c>
      <c r="AS136" s="22" t="s">
        <v>1601</v>
      </c>
      <c r="AT136" s="195" t="s">
        <v>1602</v>
      </c>
      <c r="AU136" s="199" t="s">
        <v>1603</v>
      </c>
      <c r="AV136" s="200" t="s">
        <v>1604</v>
      </c>
      <c r="AW136" s="201" t="s">
        <v>1605</v>
      </c>
      <c r="AX136" s="202" t="s">
        <v>1606</v>
      </c>
      <c r="AY136" s="203" t="s">
        <v>1607</v>
      </c>
      <c r="AZ136" s="200" t="s">
        <v>1608</v>
      </c>
      <c r="BA136" s="34" t="s">
        <v>320</v>
      </c>
      <c r="BB136" s="591" t="str">
        <f t="shared" si="10"/>
        <v>TEMPLATE</v>
      </c>
      <c r="BC136" s="591" t="str">
        <f t="shared" si="11"/>
        <v>1. Ministries-MHRSD-MHRSD-NITAQAT</v>
      </c>
      <c r="BD136" s="591" t="str">
        <f t="shared" si="12"/>
        <v>MHRSD-MHRSD-NITAQAT</v>
      </c>
      <c r="BE136" s="591" t="str">
        <f t="shared" si="13"/>
        <v>NONE</v>
      </c>
      <c r="BF136" s="594">
        <f t="shared" si="14"/>
        <v>9</v>
      </c>
    </row>
    <row r="137" spans="1:58" ht="42" customHeight="1" x14ac:dyDescent="0.45">
      <c r="A137" s="42">
        <v>122</v>
      </c>
      <c r="B137" s="189" t="s">
        <v>1560</v>
      </c>
      <c r="C137" s="44" t="s">
        <v>1561</v>
      </c>
      <c r="D137" s="44" t="s">
        <v>1562</v>
      </c>
      <c r="E137" s="189" t="s">
        <v>1609</v>
      </c>
      <c r="F137" s="45" t="s">
        <v>1610</v>
      </c>
      <c r="G137" s="44" t="s">
        <v>1611</v>
      </c>
      <c r="H137" s="44" t="s">
        <v>906</v>
      </c>
      <c r="I137" s="46" t="s">
        <v>887</v>
      </c>
      <c r="J137" s="46" t="s">
        <v>989</v>
      </c>
      <c r="K137" s="44" t="s">
        <v>63</v>
      </c>
      <c r="L137" s="22" t="s">
        <v>64</v>
      </c>
      <c r="M137" s="44" t="s">
        <v>1612</v>
      </c>
      <c r="N137" s="54" t="s">
        <v>154</v>
      </c>
      <c r="O137" s="48" t="s">
        <v>1568</v>
      </c>
      <c r="P137" s="44" t="s">
        <v>1569</v>
      </c>
      <c r="Q137" s="190" t="s">
        <v>1613</v>
      </c>
      <c r="R137" s="190" t="s">
        <v>1614</v>
      </c>
      <c r="S137" s="191" t="s">
        <v>1615</v>
      </c>
      <c r="T137" s="190" t="s">
        <v>1616</v>
      </c>
      <c r="U137" s="25" t="s">
        <v>1617</v>
      </c>
      <c r="V137" s="190" t="s">
        <v>282</v>
      </c>
      <c r="W137" s="192" t="s">
        <v>283</v>
      </c>
      <c r="X137" s="190" t="s">
        <v>284</v>
      </c>
      <c r="Y137" s="49" t="s">
        <v>285</v>
      </c>
      <c r="Z137" s="190" t="s">
        <v>286</v>
      </c>
      <c r="AA137" s="191" t="s">
        <v>286</v>
      </c>
      <c r="AB137" s="190" t="s">
        <v>287</v>
      </c>
      <c r="AC137" s="190" t="s">
        <v>288</v>
      </c>
      <c r="AD137" s="49" t="s">
        <v>289</v>
      </c>
      <c r="AE137" s="58" t="s">
        <v>290</v>
      </c>
      <c r="AF137" s="56" t="s">
        <v>291</v>
      </c>
      <c r="AG137" s="190" t="s">
        <v>292</v>
      </c>
      <c r="AH137" s="190" t="s">
        <v>293</v>
      </c>
      <c r="AI137" s="193" t="s">
        <v>215</v>
      </c>
      <c r="AJ137" s="190" t="s">
        <v>216</v>
      </c>
      <c r="AK137" s="194" t="s">
        <v>217</v>
      </c>
      <c r="AL137" s="195" t="s">
        <v>218</v>
      </c>
      <c r="AM137" s="196" t="s">
        <v>219</v>
      </c>
      <c r="AN137" s="197" t="s">
        <v>220</v>
      </c>
      <c r="AO137" s="198" t="s">
        <v>221</v>
      </c>
      <c r="AP137" s="51" t="s">
        <v>138</v>
      </c>
      <c r="AQ137" s="26" t="s">
        <v>139</v>
      </c>
      <c r="AR137" s="194" t="s">
        <v>140</v>
      </c>
      <c r="AS137" s="22" t="s">
        <v>141</v>
      </c>
      <c r="AT137" s="195" t="s">
        <v>142</v>
      </c>
      <c r="AU137" s="199" t="s">
        <v>143</v>
      </c>
      <c r="AV137" s="200" t="s">
        <v>144</v>
      </c>
      <c r="AW137" s="201" t="s">
        <v>145</v>
      </c>
      <c r="AX137" s="202" t="s">
        <v>146</v>
      </c>
      <c r="AY137" s="203" t="s">
        <v>147</v>
      </c>
      <c r="AZ137" s="200" t="s">
        <v>1618</v>
      </c>
      <c r="BA137" s="34" t="s">
        <v>320</v>
      </c>
      <c r="BB137" s="591" t="str">
        <f t="shared" si="10"/>
        <v>TEMPLATE</v>
      </c>
      <c r="BC137" s="591" t="str">
        <f t="shared" si="11"/>
        <v>1. Ministries-MHRSD-OSH-REGS</v>
      </c>
      <c r="BD137" s="591" t="str">
        <f t="shared" si="12"/>
        <v>MHRSD-OSH-REGS</v>
      </c>
      <c r="BE137" s="591" t="str">
        <f t="shared" si="13"/>
        <v>NONE</v>
      </c>
      <c r="BF137" s="594">
        <f t="shared" si="14"/>
        <v>9</v>
      </c>
    </row>
    <row r="138" spans="1:58" ht="42" customHeight="1" x14ac:dyDescent="0.45">
      <c r="A138" s="204">
        <v>123</v>
      </c>
      <c r="B138" s="205" t="s">
        <v>1560</v>
      </c>
      <c r="C138" s="190" t="s">
        <v>1561</v>
      </c>
      <c r="D138" s="190" t="s">
        <v>1562</v>
      </c>
      <c r="E138" s="205" t="s">
        <v>1619</v>
      </c>
      <c r="F138" s="192" t="s">
        <v>1620</v>
      </c>
      <c r="G138" s="190" t="s">
        <v>1621</v>
      </c>
      <c r="H138" s="190" t="s">
        <v>1499</v>
      </c>
      <c r="I138" s="191" t="s">
        <v>658</v>
      </c>
      <c r="J138" s="191" t="s">
        <v>310</v>
      </c>
      <c r="K138" s="190" t="s">
        <v>63</v>
      </c>
      <c r="L138" s="22" t="s">
        <v>64</v>
      </c>
      <c r="M138" s="190" t="s">
        <v>1622</v>
      </c>
      <c r="N138" s="208" t="s">
        <v>253</v>
      </c>
      <c r="O138" s="207" t="s">
        <v>1568</v>
      </c>
      <c r="P138" s="190" t="s">
        <v>1569</v>
      </c>
      <c r="Q138" s="190" t="s">
        <v>562</v>
      </c>
      <c r="R138" s="190" t="s">
        <v>563</v>
      </c>
      <c r="S138" s="191" t="s">
        <v>564</v>
      </c>
      <c r="T138" s="190" t="s">
        <v>565</v>
      </c>
      <c r="U138" s="25" t="s">
        <v>566</v>
      </c>
      <c r="V138" s="190" t="s">
        <v>282</v>
      </c>
      <c r="W138" s="192" t="s">
        <v>283</v>
      </c>
      <c r="X138" s="190" t="s">
        <v>284</v>
      </c>
      <c r="Y138" s="49" t="s">
        <v>285</v>
      </c>
      <c r="Z138" s="190" t="s">
        <v>286</v>
      </c>
      <c r="AA138" s="191" t="s">
        <v>286</v>
      </c>
      <c r="AB138" s="190" t="s">
        <v>287</v>
      </c>
      <c r="AC138" s="190" t="s">
        <v>288</v>
      </c>
      <c r="AD138" s="49" t="s">
        <v>289</v>
      </c>
      <c r="AE138" s="58" t="s">
        <v>290</v>
      </c>
      <c r="AF138" s="56" t="s">
        <v>291</v>
      </c>
      <c r="AG138" s="190" t="s">
        <v>292</v>
      </c>
      <c r="AH138" s="190" t="s">
        <v>293</v>
      </c>
      <c r="AI138" s="193" t="s">
        <v>215</v>
      </c>
      <c r="AJ138" s="190" t="s">
        <v>216</v>
      </c>
      <c r="AK138" s="194" t="s">
        <v>217</v>
      </c>
      <c r="AL138" s="195" t="s">
        <v>218</v>
      </c>
      <c r="AM138" s="196" t="s">
        <v>219</v>
      </c>
      <c r="AN138" s="197" t="s">
        <v>220</v>
      </c>
      <c r="AO138" s="198" t="s">
        <v>221</v>
      </c>
      <c r="AP138" s="51" t="s">
        <v>138</v>
      </c>
      <c r="AQ138" s="26" t="s">
        <v>139</v>
      </c>
      <c r="AR138" s="194" t="s">
        <v>140</v>
      </c>
      <c r="AS138" s="22" t="s">
        <v>141</v>
      </c>
      <c r="AT138" s="195" t="s">
        <v>142</v>
      </c>
      <c r="AU138" s="199" t="s">
        <v>143</v>
      </c>
      <c r="AV138" s="200" t="s">
        <v>144</v>
      </c>
      <c r="AW138" s="201" t="s">
        <v>145</v>
      </c>
      <c r="AX138" s="202" t="s">
        <v>146</v>
      </c>
      <c r="AY138" s="203" t="s">
        <v>147</v>
      </c>
      <c r="AZ138" s="200" t="s">
        <v>104</v>
      </c>
      <c r="BA138" s="41" t="s">
        <v>105</v>
      </c>
      <c r="BB138" s="591" t="str">
        <f t="shared" si="10"/>
        <v>TEMPLATE</v>
      </c>
      <c r="BC138" s="591" t="str">
        <f t="shared" si="11"/>
        <v>1. Ministries-MHRSD-MHRSD-WEL</v>
      </c>
      <c r="BD138" s="591" t="str">
        <f t="shared" si="12"/>
        <v>MHRSD-MHRSD-WEL</v>
      </c>
      <c r="BE138" s="591" t="str">
        <f t="shared" si="13"/>
        <v>NONE</v>
      </c>
      <c r="BF138" s="594">
        <f t="shared" si="14"/>
        <v>7</v>
      </c>
    </row>
    <row r="139" spans="1:58" ht="42" customHeight="1" x14ac:dyDescent="0.45">
      <c r="A139" s="42">
        <v>124</v>
      </c>
      <c r="B139" s="189" t="s">
        <v>1560</v>
      </c>
      <c r="C139" s="44" t="s">
        <v>1561</v>
      </c>
      <c r="D139" s="44" t="s">
        <v>1562</v>
      </c>
      <c r="E139" s="189" t="s">
        <v>557</v>
      </c>
      <c r="F139" s="45" t="s">
        <v>58</v>
      </c>
      <c r="G139" s="44" t="s">
        <v>59</v>
      </c>
      <c r="H139" s="44" t="s">
        <v>57</v>
      </c>
      <c r="I139" s="46" t="s">
        <v>61</v>
      </c>
      <c r="J139" s="46" t="s">
        <v>62</v>
      </c>
      <c r="K139" s="44" t="s">
        <v>558</v>
      </c>
      <c r="L139" s="66" t="s">
        <v>559</v>
      </c>
      <c r="M139" s="44" t="s">
        <v>1623</v>
      </c>
      <c r="N139" s="59" t="s">
        <v>275</v>
      </c>
      <c r="O139" s="48" t="s">
        <v>196</v>
      </c>
      <c r="P139" s="44" t="s">
        <v>561</v>
      </c>
      <c r="Q139" s="190" t="s">
        <v>562</v>
      </c>
      <c r="R139" s="190" t="s">
        <v>563</v>
      </c>
      <c r="S139" s="191" t="s">
        <v>564</v>
      </c>
      <c r="T139" s="190" t="s">
        <v>565</v>
      </c>
      <c r="U139" s="25" t="s">
        <v>566</v>
      </c>
      <c r="V139" s="190" t="s">
        <v>282</v>
      </c>
      <c r="W139" s="192" t="s">
        <v>283</v>
      </c>
      <c r="X139" s="190" t="s">
        <v>284</v>
      </c>
      <c r="Y139" s="49" t="s">
        <v>285</v>
      </c>
      <c r="Z139" s="190" t="s">
        <v>286</v>
      </c>
      <c r="AA139" s="191" t="s">
        <v>286</v>
      </c>
      <c r="AB139" s="190" t="s">
        <v>287</v>
      </c>
      <c r="AC139" s="190" t="s">
        <v>288</v>
      </c>
      <c r="AD139" s="49" t="s">
        <v>289</v>
      </c>
      <c r="AE139" s="58" t="s">
        <v>290</v>
      </c>
      <c r="AF139" s="56" t="s">
        <v>291</v>
      </c>
      <c r="AG139" s="190" t="s">
        <v>292</v>
      </c>
      <c r="AH139" s="190" t="s">
        <v>293</v>
      </c>
      <c r="AI139" s="193" t="s">
        <v>215</v>
      </c>
      <c r="AJ139" s="190" t="s">
        <v>216</v>
      </c>
      <c r="AK139" s="194" t="s">
        <v>217</v>
      </c>
      <c r="AL139" s="195" t="s">
        <v>218</v>
      </c>
      <c r="AM139" s="196" t="s">
        <v>219</v>
      </c>
      <c r="AN139" s="197" t="s">
        <v>220</v>
      </c>
      <c r="AO139" s="198" t="s">
        <v>221</v>
      </c>
      <c r="AP139" s="51" t="s">
        <v>138</v>
      </c>
      <c r="AQ139" s="26" t="s">
        <v>139</v>
      </c>
      <c r="AR139" s="194" t="s">
        <v>140</v>
      </c>
      <c r="AS139" s="22" t="s">
        <v>141</v>
      </c>
      <c r="AT139" s="195" t="s">
        <v>142</v>
      </c>
      <c r="AU139" s="199" t="s">
        <v>143</v>
      </c>
      <c r="AV139" s="200" t="s">
        <v>144</v>
      </c>
      <c r="AW139" s="201" t="s">
        <v>145</v>
      </c>
      <c r="AX139" s="202" t="s">
        <v>146</v>
      </c>
      <c r="AY139" s="203" t="s">
        <v>147</v>
      </c>
      <c r="AZ139" s="200" t="s">
        <v>567</v>
      </c>
      <c r="BA139" s="34" t="s">
        <v>320</v>
      </c>
      <c r="BB139" s="591" t="str">
        <f t="shared" si="10"/>
        <v>TEMPLATE</v>
      </c>
      <c r="BC139" s="591" t="str">
        <f t="shared" si="11"/>
        <v>1. Ministries-MHRSD-NCA-ECC-2:2024</v>
      </c>
      <c r="BD139" s="591" t="str">
        <f t="shared" si="12"/>
        <v>MHRSD-NCA-ECC-2-2024</v>
      </c>
      <c r="BE139" s="591" t="str">
        <f t="shared" si="13"/>
        <v>NCA-ECC-2-2024</v>
      </c>
      <c r="BF139" s="594">
        <f t="shared" si="14"/>
        <v>6</v>
      </c>
    </row>
    <row r="140" spans="1:58" ht="42" customHeight="1" x14ac:dyDescent="0.45">
      <c r="A140" s="204">
        <v>125</v>
      </c>
      <c r="B140" s="205" t="s">
        <v>1624</v>
      </c>
      <c r="C140" s="190" t="s">
        <v>1625</v>
      </c>
      <c r="D140" s="190" t="s">
        <v>1562</v>
      </c>
      <c r="E140" s="205" t="s">
        <v>1626</v>
      </c>
      <c r="F140" s="192" t="s">
        <v>1627</v>
      </c>
      <c r="G140" s="190" t="s">
        <v>1628</v>
      </c>
      <c r="H140" s="190" t="s">
        <v>1629</v>
      </c>
      <c r="I140" s="191" t="s">
        <v>1630</v>
      </c>
      <c r="J140" s="191" t="s">
        <v>310</v>
      </c>
      <c r="K140" s="190" t="s">
        <v>1631</v>
      </c>
      <c r="L140" s="22" t="s">
        <v>64</v>
      </c>
      <c r="M140" s="190" t="s">
        <v>1632</v>
      </c>
      <c r="N140" s="208" t="s">
        <v>253</v>
      </c>
      <c r="O140" s="207" t="s">
        <v>1633</v>
      </c>
      <c r="P140" s="190" t="s">
        <v>1634</v>
      </c>
      <c r="Q140" s="190" t="s">
        <v>562</v>
      </c>
      <c r="R140" s="190" t="s">
        <v>563</v>
      </c>
      <c r="S140" s="191" t="s">
        <v>564</v>
      </c>
      <c r="T140" s="190" t="s">
        <v>565</v>
      </c>
      <c r="U140" s="25" t="s">
        <v>566</v>
      </c>
      <c r="V140" s="190" t="s">
        <v>282</v>
      </c>
      <c r="W140" s="192" t="s">
        <v>283</v>
      </c>
      <c r="X140" s="190" t="s">
        <v>284</v>
      </c>
      <c r="Y140" s="49" t="s">
        <v>285</v>
      </c>
      <c r="Z140" s="190" t="s">
        <v>286</v>
      </c>
      <c r="AA140" s="191" t="s">
        <v>286</v>
      </c>
      <c r="AB140" s="190" t="s">
        <v>287</v>
      </c>
      <c r="AC140" s="190" t="s">
        <v>288</v>
      </c>
      <c r="AD140" s="49" t="s">
        <v>289</v>
      </c>
      <c r="AE140" s="58" t="s">
        <v>290</v>
      </c>
      <c r="AF140" s="56" t="s">
        <v>291</v>
      </c>
      <c r="AG140" s="190" t="s">
        <v>292</v>
      </c>
      <c r="AH140" s="190" t="s">
        <v>293</v>
      </c>
      <c r="AI140" s="193" t="s">
        <v>215</v>
      </c>
      <c r="AJ140" s="190" t="s">
        <v>216</v>
      </c>
      <c r="AK140" s="194" t="s">
        <v>217</v>
      </c>
      <c r="AL140" s="195" t="s">
        <v>218</v>
      </c>
      <c r="AM140" s="196" t="s">
        <v>219</v>
      </c>
      <c r="AN140" s="197" t="s">
        <v>220</v>
      </c>
      <c r="AO140" s="198" t="s">
        <v>221</v>
      </c>
      <c r="AP140" s="51" t="s">
        <v>138</v>
      </c>
      <c r="AQ140" s="26" t="s">
        <v>139</v>
      </c>
      <c r="AR140" s="194" t="s">
        <v>140</v>
      </c>
      <c r="AS140" s="22" t="s">
        <v>141</v>
      </c>
      <c r="AT140" s="195" t="s">
        <v>142</v>
      </c>
      <c r="AU140" s="199" t="s">
        <v>143</v>
      </c>
      <c r="AV140" s="200" t="s">
        <v>144</v>
      </c>
      <c r="AW140" s="201" t="s">
        <v>145</v>
      </c>
      <c r="AX140" s="202" t="s">
        <v>146</v>
      </c>
      <c r="AY140" s="203" t="s">
        <v>147</v>
      </c>
      <c r="AZ140" s="200" t="s">
        <v>1635</v>
      </c>
      <c r="BA140" s="34" t="s">
        <v>320</v>
      </c>
      <c r="BB140" s="591" t="str">
        <f t="shared" si="10"/>
        <v>TEMPLATE</v>
      </c>
      <c r="BC140" s="591" t="str">
        <f t="shared" si="11"/>
        <v>1. Ministries-MOI-MOI-ACTL</v>
      </c>
      <c r="BD140" s="591" t="str">
        <f t="shared" si="12"/>
        <v>MOI-MOI-ACTL</v>
      </c>
      <c r="BE140" s="591" t="str">
        <f t="shared" si="13"/>
        <v>NONE</v>
      </c>
      <c r="BF140" s="594">
        <f t="shared" si="14"/>
        <v>7</v>
      </c>
    </row>
    <row r="141" spans="1:58" ht="42" customHeight="1" x14ac:dyDescent="0.45">
      <c r="A141" s="42">
        <v>126</v>
      </c>
      <c r="B141" s="189" t="s">
        <v>1624</v>
      </c>
      <c r="C141" s="44" t="s">
        <v>1625</v>
      </c>
      <c r="D141" s="44" t="s">
        <v>1562</v>
      </c>
      <c r="E141" s="189" t="s">
        <v>1636</v>
      </c>
      <c r="F141" s="45" t="s">
        <v>1637</v>
      </c>
      <c r="G141" s="44" t="s">
        <v>1638</v>
      </c>
      <c r="H141" s="44" t="s">
        <v>1639</v>
      </c>
      <c r="I141" s="46" t="s">
        <v>1640</v>
      </c>
      <c r="J141" s="46" t="s">
        <v>310</v>
      </c>
      <c r="K141" s="44" t="s">
        <v>63</v>
      </c>
      <c r="L141" s="22" t="s">
        <v>64</v>
      </c>
      <c r="M141" s="44" t="s">
        <v>1641</v>
      </c>
      <c r="N141" s="55" t="s">
        <v>253</v>
      </c>
      <c r="O141" s="48" t="s">
        <v>1633</v>
      </c>
      <c r="P141" s="44" t="s">
        <v>1642</v>
      </c>
      <c r="Q141" s="190" t="s">
        <v>562</v>
      </c>
      <c r="R141" s="190" t="s">
        <v>563</v>
      </c>
      <c r="S141" s="191" t="s">
        <v>564</v>
      </c>
      <c r="T141" s="190" t="s">
        <v>565</v>
      </c>
      <c r="U141" s="25" t="s">
        <v>566</v>
      </c>
      <c r="V141" s="190" t="s">
        <v>282</v>
      </c>
      <c r="W141" s="192" t="s">
        <v>283</v>
      </c>
      <c r="X141" s="190" t="s">
        <v>284</v>
      </c>
      <c r="Y141" s="49" t="s">
        <v>285</v>
      </c>
      <c r="Z141" s="190" t="s">
        <v>286</v>
      </c>
      <c r="AA141" s="191" t="s">
        <v>286</v>
      </c>
      <c r="AB141" s="190" t="s">
        <v>287</v>
      </c>
      <c r="AC141" s="190" t="s">
        <v>288</v>
      </c>
      <c r="AD141" s="49" t="s">
        <v>289</v>
      </c>
      <c r="AE141" s="58" t="s">
        <v>290</v>
      </c>
      <c r="AF141" s="56" t="s">
        <v>291</v>
      </c>
      <c r="AG141" s="190" t="s">
        <v>292</v>
      </c>
      <c r="AH141" s="190" t="s">
        <v>293</v>
      </c>
      <c r="AI141" s="193" t="s">
        <v>215</v>
      </c>
      <c r="AJ141" s="190" t="s">
        <v>216</v>
      </c>
      <c r="AK141" s="194" t="s">
        <v>217</v>
      </c>
      <c r="AL141" s="195" t="s">
        <v>218</v>
      </c>
      <c r="AM141" s="196" t="s">
        <v>219</v>
      </c>
      <c r="AN141" s="197" t="s">
        <v>220</v>
      </c>
      <c r="AO141" s="198" t="s">
        <v>221</v>
      </c>
      <c r="AP141" s="51" t="s">
        <v>138</v>
      </c>
      <c r="AQ141" s="26" t="s">
        <v>139</v>
      </c>
      <c r="AR141" s="194" t="s">
        <v>140</v>
      </c>
      <c r="AS141" s="22" t="s">
        <v>141</v>
      </c>
      <c r="AT141" s="195" t="s">
        <v>142</v>
      </c>
      <c r="AU141" s="199" t="s">
        <v>143</v>
      </c>
      <c r="AV141" s="200" t="s">
        <v>144</v>
      </c>
      <c r="AW141" s="201" t="s">
        <v>145</v>
      </c>
      <c r="AX141" s="202" t="s">
        <v>146</v>
      </c>
      <c r="AY141" s="203" t="s">
        <v>147</v>
      </c>
      <c r="AZ141" s="200" t="s">
        <v>1643</v>
      </c>
      <c r="BA141" s="34" t="s">
        <v>320</v>
      </c>
      <c r="BB141" s="591" t="str">
        <f t="shared" si="10"/>
        <v>TEMPLATE</v>
      </c>
      <c r="BC141" s="591" t="str">
        <f t="shared" si="11"/>
        <v>1. Ministries-MOI-MOI-NID</v>
      </c>
      <c r="BD141" s="591" t="str">
        <f t="shared" si="12"/>
        <v>MOI-MOI-NID</v>
      </c>
      <c r="BE141" s="591" t="str">
        <f t="shared" si="13"/>
        <v>NONE</v>
      </c>
      <c r="BF141" s="594">
        <f t="shared" si="14"/>
        <v>7</v>
      </c>
    </row>
    <row r="142" spans="1:58" ht="42" customHeight="1" x14ac:dyDescent="0.45">
      <c r="A142" s="204">
        <v>127</v>
      </c>
      <c r="B142" s="205" t="s">
        <v>1624</v>
      </c>
      <c r="C142" s="190" t="s">
        <v>1625</v>
      </c>
      <c r="D142" s="190" t="s">
        <v>1562</v>
      </c>
      <c r="E142" s="205" t="s">
        <v>1644</v>
      </c>
      <c r="F142" s="192" t="s">
        <v>1645</v>
      </c>
      <c r="G142" s="190" t="s">
        <v>1646</v>
      </c>
      <c r="H142" s="190" t="s">
        <v>1647</v>
      </c>
      <c r="I142" s="191" t="s">
        <v>1640</v>
      </c>
      <c r="J142" s="191" t="s">
        <v>310</v>
      </c>
      <c r="K142" s="190" t="s">
        <v>1631</v>
      </c>
      <c r="L142" s="22" t="s">
        <v>64</v>
      </c>
      <c r="M142" s="190" t="s">
        <v>1648</v>
      </c>
      <c r="N142" s="209" t="s">
        <v>275</v>
      </c>
      <c r="O142" s="207" t="s">
        <v>1633</v>
      </c>
      <c r="P142" s="190" t="s">
        <v>1649</v>
      </c>
      <c r="Q142" s="190" t="s">
        <v>562</v>
      </c>
      <c r="R142" s="190" t="s">
        <v>563</v>
      </c>
      <c r="S142" s="191" t="s">
        <v>564</v>
      </c>
      <c r="T142" s="190" t="s">
        <v>565</v>
      </c>
      <c r="U142" s="25" t="s">
        <v>566</v>
      </c>
      <c r="V142" s="190" t="s">
        <v>282</v>
      </c>
      <c r="W142" s="192" t="s">
        <v>283</v>
      </c>
      <c r="X142" s="190" t="s">
        <v>284</v>
      </c>
      <c r="Y142" s="49" t="s">
        <v>285</v>
      </c>
      <c r="Z142" s="190" t="s">
        <v>286</v>
      </c>
      <c r="AA142" s="191" t="s">
        <v>286</v>
      </c>
      <c r="AB142" s="190" t="s">
        <v>287</v>
      </c>
      <c r="AC142" s="190" t="s">
        <v>288</v>
      </c>
      <c r="AD142" s="49" t="s">
        <v>289</v>
      </c>
      <c r="AE142" s="58" t="s">
        <v>290</v>
      </c>
      <c r="AF142" s="56" t="s">
        <v>291</v>
      </c>
      <c r="AG142" s="190" t="s">
        <v>292</v>
      </c>
      <c r="AH142" s="190" t="s">
        <v>293</v>
      </c>
      <c r="AI142" s="193" t="s">
        <v>215</v>
      </c>
      <c r="AJ142" s="190" t="s">
        <v>216</v>
      </c>
      <c r="AK142" s="194" t="s">
        <v>217</v>
      </c>
      <c r="AL142" s="195" t="s">
        <v>218</v>
      </c>
      <c r="AM142" s="196" t="s">
        <v>219</v>
      </c>
      <c r="AN142" s="197" t="s">
        <v>220</v>
      </c>
      <c r="AO142" s="198" t="s">
        <v>221</v>
      </c>
      <c r="AP142" s="51" t="s">
        <v>138</v>
      </c>
      <c r="AQ142" s="26" t="s">
        <v>139</v>
      </c>
      <c r="AR142" s="194" t="s">
        <v>140</v>
      </c>
      <c r="AS142" s="22" t="s">
        <v>141</v>
      </c>
      <c r="AT142" s="195" t="s">
        <v>142</v>
      </c>
      <c r="AU142" s="199" t="s">
        <v>143</v>
      </c>
      <c r="AV142" s="200" t="s">
        <v>144</v>
      </c>
      <c r="AW142" s="201" t="s">
        <v>145</v>
      </c>
      <c r="AX142" s="202" t="s">
        <v>146</v>
      </c>
      <c r="AY142" s="203" t="s">
        <v>147</v>
      </c>
      <c r="AZ142" s="200" t="s">
        <v>104</v>
      </c>
      <c r="BA142" s="41" t="s">
        <v>105</v>
      </c>
      <c r="BB142" s="591" t="str">
        <f t="shared" si="10"/>
        <v>TEMPLATE</v>
      </c>
      <c r="BC142" s="591" t="str">
        <f t="shared" si="11"/>
        <v>1. Ministries-MOI-MOI-ATL</v>
      </c>
      <c r="BD142" s="591" t="str">
        <f t="shared" si="12"/>
        <v>MOI-MOI-ATL</v>
      </c>
      <c r="BE142" s="591" t="str">
        <f t="shared" si="13"/>
        <v>NONE</v>
      </c>
      <c r="BF142" s="594">
        <f t="shared" si="14"/>
        <v>6</v>
      </c>
    </row>
    <row r="143" spans="1:58" ht="42" customHeight="1" x14ac:dyDescent="0.45">
      <c r="A143" s="42">
        <v>128</v>
      </c>
      <c r="B143" s="189" t="s">
        <v>1624</v>
      </c>
      <c r="C143" s="44" t="s">
        <v>1625</v>
      </c>
      <c r="D143" s="44" t="s">
        <v>1562</v>
      </c>
      <c r="E143" s="189" t="s">
        <v>557</v>
      </c>
      <c r="F143" s="45" t="s">
        <v>58</v>
      </c>
      <c r="G143" s="44" t="s">
        <v>59</v>
      </c>
      <c r="H143" s="44" t="s">
        <v>57</v>
      </c>
      <c r="I143" s="46" t="s">
        <v>61</v>
      </c>
      <c r="J143" s="46" t="s">
        <v>62</v>
      </c>
      <c r="K143" s="44" t="s">
        <v>558</v>
      </c>
      <c r="L143" s="66" t="s">
        <v>559</v>
      </c>
      <c r="M143" s="44" t="s">
        <v>1650</v>
      </c>
      <c r="N143" s="55" t="s">
        <v>253</v>
      </c>
      <c r="O143" s="48" t="s">
        <v>196</v>
      </c>
      <c r="P143" s="44" t="s">
        <v>561</v>
      </c>
      <c r="Q143" s="190" t="s">
        <v>562</v>
      </c>
      <c r="R143" s="190" t="s">
        <v>563</v>
      </c>
      <c r="S143" s="191" t="s">
        <v>564</v>
      </c>
      <c r="T143" s="190" t="s">
        <v>565</v>
      </c>
      <c r="U143" s="25" t="s">
        <v>566</v>
      </c>
      <c r="V143" s="190" t="s">
        <v>282</v>
      </c>
      <c r="W143" s="192" t="s">
        <v>283</v>
      </c>
      <c r="X143" s="190" t="s">
        <v>284</v>
      </c>
      <c r="Y143" s="49" t="s">
        <v>285</v>
      </c>
      <c r="Z143" s="190" t="s">
        <v>286</v>
      </c>
      <c r="AA143" s="191" t="s">
        <v>286</v>
      </c>
      <c r="AB143" s="190" t="s">
        <v>287</v>
      </c>
      <c r="AC143" s="190" t="s">
        <v>288</v>
      </c>
      <c r="AD143" s="49" t="s">
        <v>289</v>
      </c>
      <c r="AE143" s="58" t="s">
        <v>290</v>
      </c>
      <c r="AF143" s="56" t="s">
        <v>291</v>
      </c>
      <c r="AG143" s="190" t="s">
        <v>292</v>
      </c>
      <c r="AH143" s="190" t="s">
        <v>293</v>
      </c>
      <c r="AI143" s="193" t="s">
        <v>215</v>
      </c>
      <c r="AJ143" s="190" t="s">
        <v>216</v>
      </c>
      <c r="AK143" s="194" t="s">
        <v>217</v>
      </c>
      <c r="AL143" s="195" t="s">
        <v>218</v>
      </c>
      <c r="AM143" s="196" t="s">
        <v>219</v>
      </c>
      <c r="AN143" s="197" t="s">
        <v>220</v>
      </c>
      <c r="AO143" s="198" t="s">
        <v>221</v>
      </c>
      <c r="AP143" s="51" t="s">
        <v>138</v>
      </c>
      <c r="AQ143" s="26" t="s">
        <v>139</v>
      </c>
      <c r="AR143" s="194" t="s">
        <v>140</v>
      </c>
      <c r="AS143" s="22" t="s">
        <v>141</v>
      </c>
      <c r="AT143" s="195" t="s">
        <v>142</v>
      </c>
      <c r="AU143" s="199" t="s">
        <v>143</v>
      </c>
      <c r="AV143" s="200" t="s">
        <v>144</v>
      </c>
      <c r="AW143" s="201" t="s">
        <v>145</v>
      </c>
      <c r="AX143" s="202" t="s">
        <v>146</v>
      </c>
      <c r="AY143" s="203" t="s">
        <v>147</v>
      </c>
      <c r="AZ143" s="200" t="s">
        <v>567</v>
      </c>
      <c r="BA143" s="34" t="s">
        <v>320</v>
      </c>
      <c r="BB143" s="591" t="str">
        <f t="shared" si="10"/>
        <v>TEMPLATE</v>
      </c>
      <c r="BC143" s="591" t="str">
        <f t="shared" si="11"/>
        <v>1. Ministries-MOI-NCA-ECC-2:2024</v>
      </c>
      <c r="BD143" s="591" t="str">
        <f t="shared" si="12"/>
        <v>MOI-NCA-ECC-2-2024</v>
      </c>
      <c r="BE143" s="591" t="str">
        <f t="shared" si="13"/>
        <v>NCA-ECC-2-2024</v>
      </c>
      <c r="BF143" s="594">
        <f t="shared" si="14"/>
        <v>7</v>
      </c>
    </row>
    <row r="144" spans="1:58" ht="42" customHeight="1" x14ac:dyDescent="0.45">
      <c r="A144" s="204">
        <v>129</v>
      </c>
      <c r="B144" s="205" t="s">
        <v>1651</v>
      </c>
      <c r="C144" s="190" t="s">
        <v>1652</v>
      </c>
      <c r="D144" s="190" t="s">
        <v>1562</v>
      </c>
      <c r="E144" s="205" t="s">
        <v>1653</v>
      </c>
      <c r="F144" s="192" t="s">
        <v>1654</v>
      </c>
      <c r="G144" s="190" t="s">
        <v>1655</v>
      </c>
      <c r="H144" s="190" t="s">
        <v>1656</v>
      </c>
      <c r="I144" s="191" t="s">
        <v>250</v>
      </c>
      <c r="J144" s="191" t="s">
        <v>310</v>
      </c>
      <c r="K144" s="190" t="s">
        <v>63</v>
      </c>
      <c r="L144" s="64" t="s">
        <v>538</v>
      </c>
      <c r="M144" s="190" t="s">
        <v>1657</v>
      </c>
      <c r="N144" s="208" t="s">
        <v>253</v>
      </c>
      <c r="O144" s="207" t="s">
        <v>1658</v>
      </c>
      <c r="P144" s="190" t="s">
        <v>1659</v>
      </c>
      <c r="Q144" s="190" t="s">
        <v>562</v>
      </c>
      <c r="R144" s="190" t="s">
        <v>563</v>
      </c>
      <c r="S144" s="191" t="s">
        <v>564</v>
      </c>
      <c r="T144" s="190" t="s">
        <v>565</v>
      </c>
      <c r="U144" s="25" t="s">
        <v>566</v>
      </c>
      <c r="V144" s="190" t="s">
        <v>282</v>
      </c>
      <c r="W144" s="192" t="s">
        <v>283</v>
      </c>
      <c r="X144" s="190" t="s">
        <v>284</v>
      </c>
      <c r="Y144" s="49" t="s">
        <v>285</v>
      </c>
      <c r="Z144" s="190" t="s">
        <v>286</v>
      </c>
      <c r="AA144" s="191" t="s">
        <v>286</v>
      </c>
      <c r="AB144" s="190" t="s">
        <v>287</v>
      </c>
      <c r="AC144" s="190" t="s">
        <v>288</v>
      </c>
      <c r="AD144" s="49" t="s">
        <v>289</v>
      </c>
      <c r="AE144" s="58" t="s">
        <v>290</v>
      </c>
      <c r="AF144" s="56" t="s">
        <v>291</v>
      </c>
      <c r="AG144" s="190" t="s">
        <v>292</v>
      </c>
      <c r="AH144" s="190" t="s">
        <v>293</v>
      </c>
      <c r="AI144" s="193" t="s">
        <v>215</v>
      </c>
      <c r="AJ144" s="190" t="s">
        <v>216</v>
      </c>
      <c r="AK144" s="194" t="s">
        <v>217</v>
      </c>
      <c r="AL144" s="195" t="s">
        <v>218</v>
      </c>
      <c r="AM144" s="196" t="s">
        <v>219</v>
      </c>
      <c r="AN144" s="197" t="s">
        <v>220</v>
      </c>
      <c r="AO144" s="198" t="s">
        <v>221</v>
      </c>
      <c r="AP144" s="51" t="s">
        <v>138</v>
      </c>
      <c r="AQ144" s="26" t="s">
        <v>139</v>
      </c>
      <c r="AR144" s="194" t="s">
        <v>140</v>
      </c>
      <c r="AS144" s="22" t="s">
        <v>141</v>
      </c>
      <c r="AT144" s="195" t="s">
        <v>142</v>
      </c>
      <c r="AU144" s="199" t="s">
        <v>143</v>
      </c>
      <c r="AV144" s="200" t="s">
        <v>144</v>
      </c>
      <c r="AW144" s="201" t="s">
        <v>145</v>
      </c>
      <c r="AX144" s="202" t="s">
        <v>146</v>
      </c>
      <c r="AY144" s="203" t="s">
        <v>147</v>
      </c>
      <c r="AZ144" s="200" t="s">
        <v>1660</v>
      </c>
      <c r="BA144" s="34" t="s">
        <v>320</v>
      </c>
      <c r="BB144" s="591" t="str">
        <f t="shared" si="10"/>
        <v>TEMPLATE</v>
      </c>
      <c r="BC144" s="591" t="str">
        <f t="shared" si="11"/>
        <v>1. Ministries-MCIT-MCIT-DEP</v>
      </c>
      <c r="BD144" s="591" t="str">
        <f t="shared" si="12"/>
        <v>MCIT-MCIT-DEP</v>
      </c>
      <c r="BE144" s="591" t="str">
        <f t="shared" si="13"/>
        <v>NONE</v>
      </c>
      <c r="BF144" s="594">
        <f t="shared" si="14"/>
        <v>4</v>
      </c>
    </row>
    <row r="145" spans="1:58" ht="42" customHeight="1" x14ac:dyDescent="0.45">
      <c r="A145" s="42">
        <v>130</v>
      </c>
      <c r="B145" s="189" t="s">
        <v>1651</v>
      </c>
      <c r="C145" s="44" t="s">
        <v>1652</v>
      </c>
      <c r="D145" s="44" t="s">
        <v>1562</v>
      </c>
      <c r="E145" s="189" t="s">
        <v>1661</v>
      </c>
      <c r="F145" s="45" t="s">
        <v>1662</v>
      </c>
      <c r="G145" s="44" t="s">
        <v>1663</v>
      </c>
      <c r="H145" s="44" t="s">
        <v>1664</v>
      </c>
      <c r="I145" s="46" t="s">
        <v>225</v>
      </c>
      <c r="J145" s="46" t="s">
        <v>310</v>
      </c>
      <c r="K145" s="44" t="s">
        <v>63</v>
      </c>
      <c r="L145" s="64" t="s">
        <v>538</v>
      </c>
      <c r="M145" s="44" t="s">
        <v>1665</v>
      </c>
      <c r="N145" s="55" t="s">
        <v>253</v>
      </c>
      <c r="O145" s="48" t="s">
        <v>1666</v>
      </c>
      <c r="P145" s="44" t="s">
        <v>1667</v>
      </c>
      <c r="Q145" s="190" t="s">
        <v>562</v>
      </c>
      <c r="R145" s="190" t="s">
        <v>563</v>
      </c>
      <c r="S145" s="191" t="s">
        <v>564</v>
      </c>
      <c r="T145" s="190" t="s">
        <v>565</v>
      </c>
      <c r="U145" s="25" t="s">
        <v>566</v>
      </c>
      <c r="V145" s="190" t="s">
        <v>282</v>
      </c>
      <c r="W145" s="192" t="s">
        <v>283</v>
      </c>
      <c r="X145" s="190" t="s">
        <v>284</v>
      </c>
      <c r="Y145" s="49" t="s">
        <v>285</v>
      </c>
      <c r="Z145" s="190" t="s">
        <v>286</v>
      </c>
      <c r="AA145" s="191" t="s">
        <v>286</v>
      </c>
      <c r="AB145" s="190" t="s">
        <v>287</v>
      </c>
      <c r="AC145" s="190" t="s">
        <v>288</v>
      </c>
      <c r="AD145" s="49" t="s">
        <v>289</v>
      </c>
      <c r="AE145" s="58" t="s">
        <v>290</v>
      </c>
      <c r="AF145" s="56" t="s">
        <v>291</v>
      </c>
      <c r="AG145" s="190" t="s">
        <v>292</v>
      </c>
      <c r="AH145" s="190" t="s">
        <v>293</v>
      </c>
      <c r="AI145" s="193" t="s">
        <v>215</v>
      </c>
      <c r="AJ145" s="190" t="s">
        <v>216</v>
      </c>
      <c r="AK145" s="194" t="s">
        <v>217</v>
      </c>
      <c r="AL145" s="195" t="s">
        <v>218</v>
      </c>
      <c r="AM145" s="196" t="s">
        <v>219</v>
      </c>
      <c r="AN145" s="197" t="s">
        <v>220</v>
      </c>
      <c r="AO145" s="198" t="s">
        <v>221</v>
      </c>
      <c r="AP145" s="51" t="s">
        <v>138</v>
      </c>
      <c r="AQ145" s="26" t="s">
        <v>139</v>
      </c>
      <c r="AR145" s="194" t="s">
        <v>140</v>
      </c>
      <c r="AS145" s="22" t="s">
        <v>141</v>
      </c>
      <c r="AT145" s="195" t="s">
        <v>142</v>
      </c>
      <c r="AU145" s="199" t="s">
        <v>143</v>
      </c>
      <c r="AV145" s="200" t="s">
        <v>144</v>
      </c>
      <c r="AW145" s="201" t="s">
        <v>145</v>
      </c>
      <c r="AX145" s="202" t="s">
        <v>146</v>
      </c>
      <c r="AY145" s="203" t="s">
        <v>147</v>
      </c>
      <c r="AZ145" s="200" t="s">
        <v>104</v>
      </c>
      <c r="BA145" s="41" t="s">
        <v>105</v>
      </c>
      <c r="BB145" s="591" t="str">
        <f t="shared" si="10"/>
        <v>TEMPLATE</v>
      </c>
      <c r="BC145" s="591" t="str">
        <f t="shared" si="11"/>
        <v>1. Ministries-MCIT-MCIT-ICT23</v>
      </c>
      <c r="BD145" s="591" t="str">
        <f t="shared" si="12"/>
        <v>MCIT-MCIT-ICT23</v>
      </c>
      <c r="BE145" s="591" t="str">
        <f t="shared" si="13"/>
        <v>NONE</v>
      </c>
      <c r="BF145" s="594">
        <f t="shared" si="14"/>
        <v>4</v>
      </c>
    </row>
    <row r="146" spans="1:58" ht="42" customHeight="1" x14ac:dyDescent="0.45">
      <c r="A146" s="204">
        <v>131</v>
      </c>
      <c r="B146" s="205" t="s">
        <v>1651</v>
      </c>
      <c r="C146" s="190" t="s">
        <v>1652</v>
      </c>
      <c r="D146" s="190" t="s">
        <v>1562</v>
      </c>
      <c r="E146" s="205" t="s">
        <v>1668</v>
      </c>
      <c r="F146" s="192" t="s">
        <v>1669</v>
      </c>
      <c r="G146" s="190" t="s">
        <v>1670</v>
      </c>
      <c r="H146" s="190" t="s">
        <v>886</v>
      </c>
      <c r="I146" s="191" t="s">
        <v>1630</v>
      </c>
      <c r="J146" s="191" t="s">
        <v>310</v>
      </c>
      <c r="K146" s="190" t="s">
        <v>63</v>
      </c>
      <c r="L146" s="22" t="s">
        <v>64</v>
      </c>
      <c r="M146" s="190" t="s">
        <v>1671</v>
      </c>
      <c r="N146" s="208" t="s">
        <v>253</v>
      </c>
      <c r="O146" s="207" t="s">
        <v>1658</v>
      </c>
      <c r="P146" s="190" t="s">
        <v>1336</v>
      </c>
      <c r="Q146" s="190" t="s">
        <v>562</v>
      </c>
      <c r="R146" s="190" t="s">
        <v>563</v>
      </c>
      <c r="S146" s="191" t="s">
        <v>564</v>
      </c>
      <c r="T146" s="190" t="s">
        <v>565</v>
      </c>
      <c r="U146" s="25" t="s">
        <v>566</v>
      </c>
      <c r="V146" s="190" t="s">
        <v>282</v>
      </c>
      <c r="W146" s="192" t="s">
        <v>283</v>
      </c>
      <c r="X146" s="190" t="s">
        <v>284</v>
      </c>
      <c r="Y146" s="49" t="s">
        <v>285</v>
      </c>
      <c r="Z146" s="190" t="s">
        <v>286</v>
      </c>
      <c r="AA146" s="191" t="s">
        <v>286</v>
      </c>
      <c r="AB146" s="190" t="s">
        <v>287</v>
      </c>
      <c r="AC146" s="190" t="s">
        <v>288</v>
      </c>
      <c r="AD146" s="49" t="s">
        <v>289</v>
      </c>
      <c r="AE146" s="58" t="s">
        <v>290</v>
      </c>
      <c r="AF146" s="56" t="s">
        <v>291</v>
      </c>
      <c r="AG146" s="190" t="s">
        <v>292</v>
      </c>
      <c r="AH146" s="190" t="s">
        <v>293</v>
      </c>
      <c r="AI146" s="193" t="s">
        <v>215</v>
      </c>
      <c r="AJ146" s="190" t="s">
        <v>216</v>
      </c>
      <c r="AK146" s="194" t="s">
        <v>217</v>
      </c>
      <c r="AL146" s="195" t="s">
        <v>218</v>
      </c>
      <c r="AM146" s="196" t="s">
        <v>219</v>
      </c>
      <c r="AN146" s="197" t="s">
        <v>220</v>
      </c>
      <c r="AO146" s="198" t="s">
        <v>221</v>
      </c>
      <c r="AP146" s="51" t="s">
        <v>138</v>
      </c>
      <c r="AQ146" s="26" t="s">
        <v>139</v>
      </c>
      <c r="AR146" s="194" t="s">
        <v>140</v>
      </c>
      <c r="AS146" s="22" t="s">
        <v>141</v>
      </c>
      <c r="AT146" s="195" t="s">
        <v>142</v>
      </c>
      <c r="AU146" s="199" t="s">
        <v>143</v>
      </c>
      <c r="AV146" s="200" t="s">
        <v>144</v>
      </c>
      <c r="AW146" s="201" t="s">
        <v>145</v>
      </c>
      <c r="AX146" s="202" t="s">
        <v>146</v>
      </c>
      <c r="AY146" s="203" t="s">
        <v>147</v>
      </c>
      <c r="AZ146" s="200" t="s">
        <v>1672</v>
      </c>
      <c r="BA146" s="34" t="s">
        <v>320</v>
      </c>
      <c r="BB146" s="591" t="str">
        <f t="shared" si="10"/>
        <v>TEMPLATE</v>
      </c>
      <c r="BC146" s="591" t="str">
        <f t="shared" si="11"/>
        <v>1. Ministries-MCIT-MCIT-ETL</v>
      </c>
      <c r="BD146" s="591" t="str">
        <f t="shared" si="12"/>
        <v>MCIT-MCIT-ETL</v>
      </c>
      <c r="BE146" s="591" t="str">
        <f t="shared" si="13"/>
        <v>NONE</v>
      </c>
      <c r="BF146" s="594">
        <f t="shared" si="14"/>
        <v>7</v>
      </c>
    </row>
    <row r="147" spans="1:58" ht="42" customHeight="1" x14ac:dyDescent="0.45">
      <c r="A147" s="42">
        <v>132</v>
      </c>
      <c r="B147" s="189" t="s">
        <v>1651</v>
      </c>
      <c r="C147" s="44" t="s">
        <v>1652</v>
      </c>
      <c r="D147" s="44" t="s">
        <v>1562</v>
      </c>
      <c r="E147" s="189" t="s">
        <v>557</v>
      </c>
      <c r="F147" s="45" t="s">
        <v>58</v>
      </c>
      <c r="G147" s="44" t="s">
        <v>59</v>
      </c>
      <c r="H147" s="44" t="s">
        <v>57</v>
      </c>
      <c r="I147" s="46" t="s">
        <v>61</v>
      </c>
      <c r="J147" s="46" t="s">
        <v>62</v>
      </c>
      <c r="K147" s="44" t="s">
        <v>558</v>
      </c>
      <c r="L147" s="66" t="s">
        <v>559</v>
      </c>
      <c r="M147" s="44" t="s">
        <v>1673</v>
      </c>
      <c r="N147" s="55" t="s">
        <v>253</v>
      </c>
      <c r="O147" s="48" t="s">
        <v>196</v>
      </c>
      <c r="P147" s="44" t="s">
        <v>561</v>
      </c>
      <c r="Q147" s="190" t="s">
        <v>562</v>
      </c>
      <c r="R147" s="190" t="s">
        <v>563</v>
      </c>
      <c r="S147" s="191" t="s">
        <v>564</v>
      </c>
      <c r="T147" s="190" t="s">
        <v>565</v>
      </c>
      <c r="U147" s="25" t="s">
        <v>566</v>
      </c>
      <c r="V147" s="190" t="s">
        <v>282</v>
      </c>
      <c r="W147" s="192" t="s">
        <v>283</v>
      </c>
      <c r="X147" s="190" t="s">
        <v>284</v>
      </c>
      <c r="Y147" s="49" t="s">
        <v>285</v>
      </c>
      <c r="Z147" s="190" t="s">
        <v>286</v>
      </c>
      <c r="AA147" s="191" t="s">
        <v>286</v>
      </c>
      <c r="AB147" s="190" t="s">
        <v>287</v>
      </c>
      <c r="AC147" s="190" t="s">
        <v>288</v>
      </c>
      <c r="AD147" s="49" t="s">
        <v>289</v>
      </c>
      <c r="AE147" s="58" t="s">
        <v>290</v>
      </c>
      <c r="AF147" s="56" t="s">
        <v>291</v>
      </c>
      <c r="AG147" s="190" t="s">
        <v>292</v>
      </c>
      <c r="AH147" s="190" t="s">
        <v>293</v>
      </c>
      <c r="AI147" s="193" t="s">
        <v>215</v>
      </c>
      <c r="AJ147" s="190" t="s">
        <v>216</v>
      </c>
      <c r="AK147" s="194" t="s">
        <v>217</v>
      </c>
      <c r="AL147" s="195" t="s">
        <v>218</v>
      </c>
      <c r="AM147" s="196" t="s">
        <v>219</v>
      </c>
      <c r="AN147" s="197" t="s">
        <v>220</v>
      </c>
      <c r="AO147" s="198" t="s">
        <v>221</v>
      </c>
      <c r="AP147" s="51" t="s">
        <v>138</v>
      </c>
      <c r="AQ147" s="26" t="s">
        <v>139</v>
      </c>
      <c r="AR147" s="194" t="s">
        <v>140</v>
      </c>
      <c r="AS147" s="22" t="s">
        <v>141</v>
      </c>
      <c r="AT147" s="195" t="s">
        <v>142</v>
      </c>
      <c r="AU147" s="199" t="s">
        <v>143</v>
      </c>
      <c r="AV147" s="200" t="s">
        <v>144</v>
      </c>
      <c r="AW147" s="201" t="s">
        <v>145</v>
      </c>
      <c r="AX147" s="202" t="s">
        <v>146</v>
      </c>
      <c r="AY147" s="203" t="s">
        <v>147</v>
      </c>
      <c r="AZ147" s="200" t="s">
        <v>567</v>
      </c>
      <c r="BA147" s="34" t="s">
        <v>320</v>
      </c>
      <c r="BB147" s="591" t="str">
        <f t="shared" si="10"/>
        <v>TEMPLATE</v>
      </c>
      <c r="BC147" s="591" t="str">
        <f t="shared" si="11"/>
        <v>1. Ministries-MCIT-NCA-ECC-2:2024</v>
      </c>
      <c r="BD147" s="591" t="str">
        <f t="shared" si="12"/>
        <v>MCIT-NCA-ECC-2-2024</v>
      </c>
      <c r="BE147" s="591" t="str">
        <f t="shared" si="13"/>
        <v>NCA-ECC-2-2024</v>
      </c>
      <c r="BF147" s="594">
        <f t="shared" si="14"/>
        <v>7</v>
      </c>
    </row>
    <row r="148" spans="1:58" x14ac:dyDescent="0.45">
      <c r="BB148" s="591" t="str">
        <f t="shared" si="10"/>
        <v/>
      </c>
      <c r="BC148" s="591" t="str">
        <f t="shared" si="11"/>
        <v/>
      </c>
      <c r="BD148" s="591" t="str">
        <f t="shared" si="12"/>
        <v/>
      </c>
      <c r="BE148" s="591" t="str">
        <f t="shared" si="13"/>
        <v/>
      </c>
      <c r="BF148" s="594" t="str">
        <f t="shared" si="14"/>
        <v/>
      </c>
    </row>
    <row r="149" spans="1:58" ht="19.5" customHeight="1" x14ac:dyDescent="0.45">
      <c r="A149" s="94"/>
      <c r="B149" s="95" t="s">
        <v>1285</v>
      </c>
      <c r="C149" s="94"/>
      <c r="D149" s="94"/>
      <c r="E149" s="94"/>
      <c r="F149" s="94"/>
      <c r="G149" s="94"/>
      <c r="H149" s="94"/>
      <c r="I149" s="94"/>
      <c r="J149" s="94"/>
      <c r="K149" s="94"/>
      <c r="L149" s="94"/>
      <c r="M149" s="94"/>
      <c r="N149" s="94"/>
      <c r="O149" s="94"/>
      <c r="P149" s="94"/>
      <c r="BB149" s="591" t="str">
        <f t="shared" si="10"/>
        <v/>
      </c>
      <c r="BC149" s="591" t="str">
        <f t="shared" si="11"/>
        <v/>
      </c>
      <c r="BD149" s="591" t="str">
        <f t="shared" si="12"/>
        <v/>
      </c>
      <c r="BE149" s="591" t="str">
        <f t="shared" si="13"/>
        <v/>
      </c>
      <c r="BF149" s="594" t="str">
        <f t="shared" si="14"/>
        <v/>
      </c>
    </row>
    <row r="150" spans="1:58" ht="42" customHeight="1" x14ac:dyDescent="0.45">
      <c r="A150" s="96">
        <v>133</v>
      </c>
      <c r="B150" s="97" t="s">
        <v>1674</v>
      </c>
      <c r="C150" s="98" t="s">
        <v>1675</v>
      </c>
      <c r="D150" s="98" t="s">
        <v>1288</v>
      </c>
      <c r="E150" s="97" t="s">
        <v>1676</v>
      </c>
      <c r="F150" s="99" t="s">
        <v>1677</v>
      </c>
      <c r="G150" s="98" t="s">
        <v>1678</v>
      </c>
      <c r="H150" s="98" t="s">
        <v>1148</v>
      </c>
      <c r="I150" s="100" t="s">
        <v>1506</v>
      </c>
      <c r="J150" s="100" t="s">
        <v>659</v>
      </c>
      <c r="K150" s="98" t="s">
        <v>63</v>
      </c>
      <c r="L150" s="22" t="s">
        <v>64</v>
      </c>
      <c r="M150" s="98" t="s">
        <v>1679</v>
      </c>
      <c r="N150" s="116" t="s">
        <v>275</v>
      </c>
      <c r="O150" s="102" t="s">
        <v>1680</v>
      </c>
      <c r="P150" s="98" t="s">
        <v>1681</v>
      </c>
      <c r="Q150" s="98" t="s">
        <v>562</v>
      </c>
      <c r="R150" s="98" t="s">
        <v>563</v>
      </c>
      <c r="S150" s="100" t="s">
        <v>564</v>
      </c>
      <c r="T150" s="98" t="s">
        <v>565</v>
      </c>
      <c r="U150" s="25" t="s">
        <v>566</v>
      </c>
      <c r="V150" s="98" t="s">
        <v>282</v>
      </c>
      <c r="W150" s="99" t="s">
        <v>283</v>
      </c>
      <c r="X150" s="98" t="s">
        <v>284</v>
      </c>
      <c r="Y150" s="49" t="s">
        <v>285</v>
      </c>
      <c r="Z150" s="98" t="s">
        <v>286</v>
      </c>
      <c r="AA150" s="100" t="s">
        <v>286</v>
      </c>
      <c r="AB150" s="98" t="s">
        <v>287</v>
      </c>
      <c r="AC150" s="98" t="s">
        <v>288</v>
      </c>
      <c r="AD150" s="49" t="s">
        <v>289</v>
      </c>
      <c r="AE150" s="58" t="s">
        <v>290</v>
      </c>
      <c r="AF150" s="56" t="s">
        <v>291</v>
      </c>
      <c r="AG150" s="98" t="s">
        <v>292</v>
      </c>
      <c r="AH150" s="98" t="s">
        <v>293</v>
      </c>
      <c r="AI150" s="103" t="s">
        <v>215</v>
      </c>
      <c r="AJ150" s="98" t="s">
        <v>216</v>
      </c>
      <c r="AK150" s="104" t="s">
        <v>217</v>
      </c>
      <c r="AL150" s="105" t="s">
        <v>218</v>
      </c>
      <c r="AM150" s="106" t="s">
        <v>219</v>
      </c>
      <c r="AN150" s="107" t="s">
        <v>220</v>
      </c>
      <c r="AO150" s="108" t="s">
        <v>221</v>
      </c>
      <c r="AP150" s="51" t="s">
        <v>138</v>
      </c>
      <c r="AQ150" s="109" t="s">
        <v>139</v>
      </c>
      <c r="AR150" s="104" t="s">
        <v>140</v>
      </c>
      <c r="AS150" s="22" t="s">
        <v>141</v>
      </c>
      <c r="AT150" s="105" t="s">
        <v>142</v>
      </c>
      <c r="AU150" s="110" t="s">
        <v>143</v>
      </c>
      <c r="AV150" s="111" t="s">
        <v>144</v>
      </c>
      <c r="AW150" s="112" t="s">
        <v>145</v>
      </c>
      <c r="AX150" s="113" t="s">
        <v>146</v>
      </c>
      <c r="AY150" s="114" t="s">
        <v>147</v>
      </c>
      <c r="AZ150" s="111" t="s">
        <v>1682</v>
      </c>
      <c r="BA150" s="34" t="s">
        <v>320</v>
      </c>
      <c r="BB150" s="591" t="str">
        <f t="shared" si="10"/>
        <v>TEMPLATE</v>
      </c>
      <c r="BC150" s="591" t="str">
        <f t="shared" si="11"/>
        <v>5. Financial Regulators-CMA-CMA-CML</v>
      </c>
      <c r="BD150" s="591" t="str">
        <f t="shared" si="12"/>
        <v>CMA-CMA-CML</v>
      </c>
      <c r="BE150" s="591" t="str">
        <f t="shared" si="13"/>
        <v>NONE</v>
      </c>
      <c r="BF150" s="594">
        <f t="shared" si="14"/>
        <v>6</v>
      </c>
    </row>
    <row r="151" spans="1:58" ht="42" customHeight="1" x14ac:dyDescent="0.45">
      <c r="A151" s="42">
        <v>134</v>
      </c>
      <c r="B151" s="115" t="s">
        <v>1674</v>
      </c>
      <c r="C151" s="44" t="s">
        <v>1675</v>
      </c>
      <c r="D151" s="44" t="s">
        <v>1288</v>
      </c>
      <c r="E151" s="115" t="s">
        <v>1683</v>
      </c>
      <c r="F151" s="45" t="s">
        <v>1684</v>
      </c>
      <c r="G151" s="44" t="s">
        <v>1685</v>
      </c>
      <c r="H151" s="44" t="s">
        <v>1148</v>
      </c>
      <c r="I151" s="46" t="s">
        <v>1686</v>
      </c>
      <c r="J151" s="46" t="s">
        <v>1687</v>
      </c>
      <c r="K151" s="44" t="s">
        <v>63</v>
      </c>
      <c r="L151" s="22" t="s">
        <v>64</v>
      </c>
      <c r="M151" s="44" t="s">
        <v>1688</v>
      </c>
      <c r="N151" s="59" t="s">
        <v>275</v>
      </c>
      <c r="O151" s="48" t="s">
        <v>1680</v>
      </c>
      <c r="P151" s="44" t="s">
        <v>1681</v>
      </c>
      <c r="Q151" s="98" t="s">
        <v>1689</v>
      </c>
      <c r="R151" s="98" t="s">
        <v>1690</v>
      </c>
      <c r="S151" s="100" t="s">
        <v>1691</v>
      </c>
      <c r="T151" s="98" t="s">
        <v>281</v>
      </c>
      <c r="U151" s="25" t="s">
        <v>1326</v>
      </c>
      <c r="V151" s="98" t="s">
        <v>282</v>
      </c>
      <c r="W151" s="99" t="s">
        <v>283</v>
      </c>
      <c r="X151" s="98" t="s">
        <v>284</v>
      </c>
      <c r="Y151" s="49" t="s">
        <v>285</v>
      </c>
      <c r="Z151" s="98" t="s">
        <v>286</v>
      </c>
      <c r="AA151" s="100" t="s">
        <v>286</v>
      </c>
      <c r="AB151" s="98" t="s">
        <v>287</v>
      </c>
      <c r="AC151" s="98" t="s">
        <v>288</v>
      </c>
      <c r="AD151" s="49" t="s">
        <v>289</v>
      </c>
      <c r="AE151" s="58" t="s">
        <v>290</v>
      </c>
      <c r="AF151" s="56" t="s">
        <v>291</v>
      </c>
      <c r="AG151" s="98" t="s">
        <v>292</v>
      </c>
      <c r="AH151" s="98" t="s">
        <v>293</v>
      </c>
      <c r="AI151" s="103" t="s">
        <v>215</v>
      </c>
      <c r="AJ151" s="98" t="s">
        <v>216</v>
      </c>
      <c r="AK151" s="104" t="s">
        <v>217</v>
      </c>
      <c r="AL151" s="105" t="s">
        <v>218</v>
      </c>
      <c r="AM151" s="106" t="s">
        <v>219</v>
      </c>
      <c r="AN151" s="107" t="s">
        <v>220</v>
      </c>
      <c r="AO151" s="108" t="s">
        <v>221</v>
      </c>
      <c r="AP151" s="51" t="s">
        <v>138</v>
      </c>
      <c r="AQ151" s="109" t="s">
        <v>139</v>
      </c>
      <c r="AR151" s="104" t="s">
        <v>140</v>
      </c>
      <c r="AS151" s="22" t="s">
        <v>141</v>
      </c>
      <c r="AT151" s="105" t="s">
        <v>142</v>
      </c>
      <c r="AU151" s="110" t="s">
        <v>143</v>
      </c>
      <c r="AV151" s="111" t="s">
        <v>144</v>
      </c>
      <c r="AW151" s="112" t="s">
        <v>145</v>
      </c>
      <c r="AX151" s="113" t="s">
        <v>146</v>
      </c>
      <c r="AY151" s="114" t="s">
        <v>147</v>
      </c>
      <c r="AZ151" s="111" t="s">
        <v>1682</v>
      </c>
      <c r="BA151" s="34" t="s">
        <v>320</v>
      </c>
      <c r="BB151" s="591" t="str">
        <f t="shared" si="10"/>
        <v>TEMPLATE</v>
      </c>
      <c r="BC151" s="591" t="str">
        <f t="shared" si="11"/>
        <v>5. Financial Regulators-CMA-CMA-CGR</v>
      </c>
      <c r="BD151" s="591" t="str">
        <f t="shared" si="12"/>
        <v>CMA-CMA-CGR</v>
      </c>
      <c r="BE151" s="591" t="str">
        <f t="shared" si="13"/>
        <v>NONE</v>
      </c>
      <c r="BF151" s="594">
        <f t="shared" si="14"/>
        <v>6</v>
      </c>
    </row>
    <row r="152" spans="1:58" ht="42" customHeight="1" x14ac:dyDescent="0.45">
      <c r="A152" s="96">
        <v>135</v>
      </c>
      <c r="B152" s="97" t="s">
        <v>1674</v>
      </c>
      <c r="C152" s="98" t="s">
        <v>1675</v>
      </c>
      <c r="D152" s="98" t="s">
        <v>1288</v>
      </c>
      <c r="E152" s="97" t="s">
        <v>1692</v>
      </c>
      <c r="F152" s="99" t="s">
        <v>1693</v>
      </c>
      <c r="G152" s="98" t="s">
        <v>1694</v>
      </c>
      <c r="H152" s="98" t="s">
        <v>1148</v>
      </c>
      <c r="I152" s="100" t="s">
        <v>907</v>
      </c>
      <c r="J152" s="100" t="s">
        <v>1695</v>
      </c>
      <c r="K152" s="98" t="s">
        <v>63</v>
      </c>
      <c r="L152" s="22" t="s">
        <v>64</v>
      </c>
      <c r="M152" s="98" t="s">
        <v>1696</v>
      </c>
      <c r="N152" s="116" t="s">
        <v>275</v>
      </c>
      <c r="O152" s="102" t="s">
        <v>1680</v>
      </c>
      <c r="P152" s="98" t="s">
        <v>1681</v>
      </c>
      <c r="Q152" s="98" t="s">
        <v>562</v>
      </c>
      <c r="R152" s="98" t="s">
        <v>563</v>
      </c>
      <c r="S152" s="100" t="s">
        <v>564</v>
      </c>
      <c r="T152" s="98" t="s">
        <v>565</v>
      </c>
      <c r="U152" s="25" t="s">
        <v>566</v>
      </c>
      <c r="V152" s="98" t="s">
        <v>282</v>
      </c>
      <c r="W152" s="99" t="s">
        <v>283</v>
      </c>
      <c r="X152" s="98" t="s">
        <v>284</v>
      </c>
      <c r="Y152" s="49" t="s">
        <v>285</v>
      </c>
      <c r="Z152" s="98" t="s">
        <v>286</v>
      </c>
      <c r="AA152" s="100" t="s">
        <v>286</v>
      </c>
      <c r="AB152" s="98" t="s">
        <v>287</v>
      </c>
      <c r="AC152" s="98" t="s">
        <v>288</v>
      </c>
      <c r="AD152" s="49" t="s">
        <v>289</v>
      </c>
      <c r="AE152" s="58" t="s">
        <v>290</v>
      </c>
      <c r="AF152" s="56" t="s">
        <v>291</v>
      </c>
      <c r="AG152" s="98" t="s">
        <v>292</v>
      </c>
      <c r="AH152" s="98" t="s">
        <v>293</v>
      </c>
      <c r="AI152" s="103" t="s">
        <v>215</v>
      </c>
      <c r="AJ152" s="98" t="s">
        <v>216</v>
      </c>
      <c r="AK152" s="104" t="s">
        <v>217</v>
      </c>
      <c r="AL152" s="105" t="s">
        <v>218</v>
      </c>
      <c r="AM152" s="106" t="s">
        <v>219</v>
      </c>
      <c r="AN152" s="107" t="s">
        <v>220</v>
      </c>
      <c r="AO152" s="108" t="s">
        <v>221</v>
      </c>
      <c r="AP152" s="51" t="s">
        <v>138</v>
      </c>
      <c r="AQ152" s="109" t="s">
        <v>139</v>
      </c>
      <c r="AR152" s="104" t="s">
        <v>140</v>
      </c>
      <c r="AS152" s="22" t="s">
        <v>141</v>
      </c>
      <c r="AT152" s="105" t="s">
        <v>142</v>
      </c>
      <c r="AU152" s="110" t="s">
        <v>143</v>
      </c>
      <c r="AV152" s="111" t="s">
        <v>144</v>
      </c>
      <c r="AW152" s="112" t="s">
        <v>145</v>
      </c>
      <c r="AX152" s="113" t="s">
        <v>146</v>
      </c>
      <c r="AY152" s="114" t="s">
        <v>147</v>
      </c>
      <c r="AZ152" s="111" t="s">
        <v>1682</v>
      </c>
      <c r="BA152" s="34" t="s">
        <v>320</v>
      </c>
      <c r="BB152" s="591" t="str">
        <f t="shared" si="10"/>
        <v>TEMPLATE</v>
      </c>
      <c r="BC152" s="591" t="str">
        <f t="shared" si="11"/>
        <v>5. Financial Regulators-CMA-CMA-LR</v>
      </c>
      <c r="BD152" s="591" t="str">
        <f t="shared" si="12"/>
        <v>CMA-CMA-LR</v>
      </c>
      <c r="BE152" s="591" t="str">
        <f t="shared" si="13"/>
        <v>NONE</v>
      </c>
      <c r="BF152" s="594">
        <f t="shared" si="14"/>
        <v>6</v>
      </c>
    </row>
    <row r="153" spans="1:58" ht="42" customHeight="1" x14ac:dyDescent="0.45">
      <c r="A153" s="42">
        <v>136</v>
      </c>
      <c r="B153" s="115" t="s">
        <v>1674</v>
      </c>
      <c r="C153" s="44" t="s">
        <v>1675</v>
      </c>
      <c r="D153" s="44" t="s">
        <v>1288</v>
      </c>
      <c r="E153" s="115" t="s">
        <v>1697</v>
      </c>
      <c r="F153" s="45" t="s">
        <v>1698</v>
      </c>
      <c r="G153" s="44" t="s">
        <v>1699</v>
      </c>
      <c r="H153" s="44" t="s">
        <v>1148</v>
      </c>
      <c r="I153" s="46" t="s">
        <v>1686</v>
      </c>
      <c r="J153" s="46" t="s">
        <v>1700</v>
      </c>
      <c r="K153" s="44" t="s">
        <v>63</v>
      </c>
      <c r="L153" s="22" t="s">
        <v>64</v>
      </c>
      <c r="M153" s="44" t="s">
        <v>1701</v>
      </c>
      <c r="N153" s="59" t="s">
        <v>275</v>
      </c>
      <c r="O153" s="48" t="s">
        <v>1680</v>
      </c>
      <c r="P153" s="44" t="s">
        <v>1702</v>
      </c>
      <c r="Q153" s="98" t="s">
        <v>562</v>
      </c>
      <c r="R153" s="98" t="s">
        <v>563</v>
      </c>
      <c r="S153" s="100" t="s">
        <v>564</v>
      </c>
      <c r="T153" s="98" t="s">
        <v>565</v>
      </c>
      <c r="U153" s="25" t="s">
        <v>566</v>
      </c>
      <c r="V153" s="98" t="s">
        <v>282</v>
      </c>
      <c r="W153" s="99" t="s">
        <v>283</v>
      </c>
      <c r="X153" s="98" t="s">
        <v>284</v>
      </c>
      <c r="Y153" s="49" t="s">
        <v>285</v>
      </c>
      <c r="Z153" s="98" t="s">
        <v>286</v>
      </c>
      <c r="AA153" s="100" t="s">
        <v>286</v>
      </c>
      <c r="AB153" s="98" t="s">
        <v>287</v>
      </c>
      <c r="AC153" s="98" t="s">
        <v>288</v>
      </c>
      <c r="AD153" s="49" t="s">
        <v>289</v>
      </c>
      <c r="AE153" s="58" t="s">
        <v>290</v>
      </c>
      <c r="AF153" s="56" t="s">
        <v>291</v>
      </c>
      <c r="AG153" s="98" t="s">
        <v>292</v>
      </c>
      <c r="AH153" s="98" t="s">
        <v>293</v>
      </c>
      <c r="AI153" s="103" t="s">
        <v>215</v>
      </c>
      <c r="AJ153" s="98" t="s">
        <v>216</v>
      </c>
      <c r="AK153" s="104" t="s">
        <v>217</v>
      </c>
      <c r="AL153" s="105" t="s">
        <v>218</v>
      </c>
      <c r="AM153" s="106" t="s">
        <v>219</v>
      </c>
      <c r="AN153" s="107" t="s">
        <v>220</v>
      </c>
      <c r="AO153" s="108" t="s">
        <v>221</v>
      </c>
      <c r="AP153" s="51" t="s">
        <v>138</v>
      </c>
      <c r="AQ153" s="109" t="s">
        <v>139</v>
      </c>
      <c r="AR153" s="104" t="s">
        <v>140</v>
      </c>
      <c r="AS153" s="22" t="s">
        <v>141</v>
      </c>
      <c r="AT153" s="105" t="s">
        <v>142</v>
      </c>
      <c r="AU153" s="110" t="s">
        <v>143</v>
      </c>
      <c r="AV153" s="111" t="s">
        <v>144</v>
      </c>
      <c r="AW153" s="112" t="s">
        <v>145</v>
      </c>
      <c r="AX153" s="113" t="s">
        <v>146</v>
      </c>
      <c r="AY153" s="114" t="s">
        <v>147</v>
      </c>
      <c r="AZ153" s="111" t="s">
        <v>104</v>
      </c>
      <c r="BA153" s="41" t="s">
        <v>105</v>
      </c>
      <c r="BB153" s="591" t="str">
        <f t="shared" si="10"/>
        <v>TEMPLATE</v>
      </c>
      <c r="BC153" s="591" t="str">
        <f t="shared" si="11"/>
        <v>5. Financial Regulators-CMA-CMA-IFR</v>
      </c>
      <c r="BD153" s="591" t="str">
        <f t="shared" si="12"/>
        <v>CMA-CMA-IFR</v>
      </c>
      <c r="BE153" s="591" t="str">
        <f t="shared" si="13"/>
        <v>NONE</v>
      </c>
      <c r="BF153" s="594">
        <f t="shared" si="14"/>
        <v>6</v>
      </c>
    </row>
    <row r="154" spans="1:58" ht="42" customHeight="1" x14ac:dyDescent="0.45">
      <c r="A154" s="96">
        <v>137</v>
      </c>
      <c r="B154" s="97" t="s">
        <v>1674</v>
      </c>
      <c r="C154" s="98" t="s">
        <v>1675</v>
      </c>
      <c r="D154" s="98" t="s">
        <v>1288</v>
      </c>
      <c r="E154" s="97" t="s">
        <v>557</v>
      </c>
      <c r="F154" s="99" t="s">
        <v>58</v>
      </c>
      <c r="G154" s="98" t="s">
        <v>59</v>
      </c>
      <c r="H154" s="98" t="s">
        <v>57</v>
      </c>
      <c r="I154" s="100" t="s">
        <v>61</v>
      </c>
      <c r="J154" s="100" t="s">
        <v>62</v>
      </c>
      <c r="K154" s="98" t="s">
        <v>558</v>
      </c>
      <c r="L154" s="66" t="s">
        <v>559</v>
      </c>
      <c r="M154" s="98" t="s">
        <v>1703</v>
      </c>
      <c r="N154" s="116" t="s">
        <v>275</v>
      </c>
      <c r="O154" s="102" t="s">
        <v>196</v>
      </c>
      <c r="P154" s="98" t="s">
        <v>561</v>
      </c>
      <c r="Q154" s="98" t="s">
        <v>562</v>
      </c>
      <c r="R154" s="98" t="s">
        <v>563</v>
      </c>
      <c r="S154" s="100" t="s">
        <v>564</v>
      </c>
      <c r="T154" s="98" t="s">
        <v>565</v>
      </c>
      <c r="U154" s="25" t="s">
        <v>566</v>
      </c>
      <c r="V154" s="98" t="s">
        <v>282</v>
      </c>
      <c r="W154" s="99" t="s">
        <v>283</v>
      </c>
      <c r="X154" s="98" t="s">
        <v>284</v>
      </c>
      <c r="Y154" s="49" t="s">
        <v>285</v>
      </c>
      <c r="Z154" s="98" t="s">
        <v>286</v>
      </c>
      <c r="AA154" s="100" t="s">
        <v>286</v>
      </c>
      <c r="AB154" s="98" t="s">
        <v>287</v>
      </c>
      <c r="AC154" s="98" t="s">
        <v>288</v>
      </c>
      <c r="AD154" s="49" t="s">
        <v>289</v>
      </c>
      <c r="AE154" s="58" t="s">
        <v>290</v>
      </c>
      <c r="AF154" s="56" t="s">
        <v>291</v>
      </c>
      <c r="AG154" s="98" t="s">
        <v>292</v>
      </c>
      <c r="AH154" s="98" t="s">
        <v>293</v>
      </c>
      <c r="AI154" s="103" t="s">
        <v>215</v>
      </c>
      <c r="AJ154" s="98" t="s">
        <v>216</v>
      </c>
      <c r="AK154" s="104" t="s">
        <v>217</v>
      </c>
      <c r="AL154" s="105" t="s">
        <v>218</v>
      </c>
      <c r="AM154" s="106" t="s">
        <v>219</v>
      </c>
      <c r="AN154" s="107" t="s">
        <v>220</v>
      </c>
      <c r="AO154" s="108" t="s">
        <v>221</v>
      </c>
      <c r="AP154" s="51" t="s">
        <v>138</v>
      </c>
      <c r="AQ154" s="109" t="s">
        <v>139</v>
      </c>
      <c r="AR154" s="104" t="s">
        <v>140</v>
      </c>
      <c r="AS154" s="22" t="s">
        <v>141</v>
      </c>
      <c r="AT154" s="105" t="s">
        <v>142</v>
      </c>
      <c r="AU154" s="110" t="s">
        <v>143</v>
      </c>
      <c r="AV154" s="111" t="s">
        <v>144</v>
      </c>
      <c r="AW154" s="112" t="s">
        <v>145</v>
      </c>
      <c r="AX154" s="113" t="s">
        <v>146</v>
      </c>
      <c r="AY154" s="114" t="s">
        <v>147</v>
      </c>
      <c r="AZ154" s="111" t="s">
        <v>567</v>
      </c>
      <c r="BA154" s="34" t="s">
        <v>320</v>
      </c>
      <c r="BB154" s="591" t="str">
        <f t="shared" si="10"/>
        <v>TEMPLATE</v>
      </c>
      <c r="BC154" s="591" t="str">
        <f t="shared" si="11"/>
        <v>5. Financial Regulators-CMA-NCA-ECC-2:2024</v>
      </c>
      <c r="BD154" s="591" t="str">
        <f t="shared" si="12"/>
        <v>CMA-NCA-ECC-2-2024</v>
      </c>
      <c r="BE154" s="591" t="str">
        <f t="shared" si="13"/>
        <v>NCA-ECC-2-2024</v>
      </c>
      <c r="BF154" s="594">
        <f t="shared" si="14"/>
        <v>6</v>
      </c>
    </row>
    <row r="155" spans="1:58" ht="42" customHeight="1" x14ac:dyDescent="0.45">
      <c r="A155" s="42">
        <v>138</v>
      </c>
      <c r="B155" s="115" t="s">
        <v>1704</v>
      </c>
      <c r="C155" s="44" t="s">
        <v>1705</v>
      </c>
      <c r="D155" s="44" t="s">
        <v>1288</v>
      </c>
      <c r="E155" s="115" t="s">
        <v>1706</v>
      </c>
      <c r="F155" s="45" t="s">
        <v>1707</v>
      </c>
      <c r="G155" s="44" t="s">
        <v>1708</v>
      </c>
      <c r="H155" s="44" t="s">
        <v>886</v>
      </c>
      <c r="I155" s="46" t="s">
        <v>1506</v>
      </c>
      <c r="J155" s="46" t="s">
        <v>310</v>
      </c>
      <c r="K155" s="44" t="s">
        <v>63</v>
      </c>
      <c r="L155" s="22" t="s">
        <v>64</v>
      </c>
      <c r="M155" s="44" t="s">
        <v>1709</v>
      </c>
      <c r="N155" s="55" t="s">
        <v>253</v>
      </c>
      <c r="O155" s="48" t="s">
        <v>1710</v>
      </c>
      <c r="P155" s="44" t="s">
        <v>1711</v>
      </c>
      <c r="Q155" s="98" t="s">
        <v>562</v>
      </c>
      <c r="R155" s="98" t="s">
        <v>563</v>
      </c>
      <c r="S155" s="100" t="s">
        <v>564</v>
      </c>
      <c r="T155" s="98" t="s">
        <v>565</v>
      </c>
      <c r="U155" s="25" t="s">
        <v>566</v>
      </c>
      <c r="V155" s="98" t="s">
        <v>282</v>
      </c>
      <c r="W155" s="99" t="s">
        <v>283</v>
      </c>
      <c r="X155" s="98" t="s">
        <v>284</v>
      </c>
      <c r="Y155" s="49" t="s">
        <v>285</v>
      </c>
      <c r="Z155" s="98" t="s">
        <v>286</v>
      </c>
      <c r="AA155" s="100" t="s">
        <v>286</v>
      </c>
      <c r="AB155" s="98" t="s">
        <v>287</v>
      </c>
      <c r="AC155" s="98" t="s">
        <v>288</v>
      </c>
      <c r="AD155" s="49" t="s">
        <v>289</v>
      </c>
      <c r="AE155" s="58" t="s">
        <v>290</v>
      </c>
      <c r="AF155" s="56" t="s">
        <v>291</v>
      </c>
      <c r="AG155" s="98" t="s">
        <v>292</v>
      </c>
      <c r="AH155" s="98" t="s">
        <v>293</v>
      </c>
      <c r="AI155" s="103" t="s">
        <v>215</v>
      </c>
      <c r="AJ155" s="98" t="s">
        <v>216</v>
      </c>
      <c r="AK155" s="104" t="s">
        <v>217</v>
      </c>
      <c r="AL155" s="105" t="s">
        <v>218</v>
      </c>
      <c r="AM155" s="106" t="s">
        <v>219</v>
      </c>
      <c r="AN155" s="107" t="s">
        <v>220</v>
      </c>
      <c r="AO155" s="108" t="s">
        <v>221</v>
      </c>
      <c r="AP155" s="51" t="s">
        <v>138</v>
      </c>
      <c r="AQ155" s="109" t="s">
        <v>139</v>
      </c>
      <c r="AR155" s="104" t="s">
        <v>140</v>
      </c>
      <c r="AS155" s="22" t="s">
        <v>141</v>
      </c>
      <c r="AT155" s="105" t="s">
        <v>142</v>
      </c>
      <c r="AU155" s="110" t="s">
        <v>143</v>
      </c>
      <c r="AV155" s="111" t="s">
        <v>144</v>
      </c>
      <c r="AW155" s="112" t="s">
        <v>145</v>
      </c>
      <c r="AX155" s="113" t="s">
        <v>146</v>
      </c>
      <c r="AY155" s="114" t="s">
        <v>147</v>
      </c>
      <c r="AZ155" s="111" t="s">
        <v>1303</v>
      </c>
      <c r="BA155" s="41" t="s">
        <v>105</v>
      </c>
      <c r="BB155" s="591" t="str">
        <f t="shared" si="10"/>
        <v>TEMPLATE</v>
      </c>
      <c r="BC155" s="591" t="str">
        <f t="shared" si="11"/>
        <v>5. Financial Regulators-IAIC-IAIC-COILAW</v>
      </c>
      <c r="BD155" s="591" t="str">
        <f t="shared" si="12"/>
        <v>IAIC-IAIC-COILAW</v>
      </c>
      <c r="BE155" s="591" t="str">
        <f t="shared" si="13"/>
        <v>NONE</v>
      </c>
      <c r="BF155" s="594">
        <f t="shared" si="14"/>
        <v>7</v>
      </c>
    </row>
    <row r="156" spans="1:58" ht="42" customHeight="1" x14ac:dyDescent="0.45">
      <c r="A156" s="96">
        <v>139</v>
      </c>
      <c r="B156" s="97" t="s">
        <v>1704</v>
      </c>
      <c r="C156" s="98" t="s">
        <v>1705</v>
      </c>
      <c r="D156" s="98" t="s">
        <v>1288</v>
      </c>
      <c r="E156" s="97" t="s">
        <v>1712</v>
      </c>
      <c r="F156" s="99" t="s">
        <v>1713</v>
      </c>
      <c r="G156" s="98" t="s">
        <v>1714</v>
      </c>
      <c r="H156" s="98" t="s">
        <v>1715</v>
      </c>
      <c r="I156" s="100" t="s">
        <v>250</v>
      </c>
      <c r="J156" s="100" t="s">
        <v>310</v>
      </c>
      <c r="K156" s="98" t="s">
        <v>63</v>
      </c>
      <c r="L156" s="22" t="s">
        <v>64</v>
      </c>
      <c r="M156" s="98" t="s">
        <v>1716</v>
      </c>
      <c r="N156" s="101" t="s">
        <v>253</v>
      </c>
      <c r="O156" s="102" t="s">
        <v>1710</v>
      </c>
      <c r="P156" s="98" t="s">
        <v>1711</v>
      </c>
      <c r="Q156" s="98" t="s">
        <v>562</v>
      </c>
      <c r="R156" s="98" t="s">
        <v>563</v>
      </c>
      <c r="S156" s="100" t="s">
        <v>564</v>
      </c>
      <c r="T156" s="98" t="s">
        <v>565</v>
      </c>
      <c r="U156" s="25" t="s">
        <v>566</v>
      </c>
      <c r="V156" s="98" t="s">
        <v>282</v>
      </c>
      <c r="W156" s="99" t="s">
        <v>283</v>
      </c>
      <c r="X156" s="98" t="s">
        <v>284</v>
      </c>
      <c r="Y156" s="49" t="s">
        <v>285</v>
      </c>
      <c r="Z156" s="98" t="s">
        <v>286</v>
      </c>
      <c r="AA156" s="100" t="s">
        <v>286</v>
      </c>
      <c r="AB156" s="98" t="s">
        <v>287</v>
      </c>
      <c r="AC156" s="98" t="s">
        <v>288</v>
      </c>
      <c r="AD156" s="49" t="s">
        <v>289</v>
      </c>
      <c r="AE156" s="58" t="s">
        <v>290</v>
      </c>
      <c r="AF156" s="56" t="s">
        <v>291</v>
      </c>
      <c r="AG156" s="98" t="s">
        <v>292</v>
      </c>
      <c r="AH156" s="98" t="s">
        <v>293</v>
      </c>
      <c r="AI156" s="103" t="s">
        <v>215</v>
      </c>
      <c r="AJ156" s="98" t="s">
        <v>216</v>
      </c>
      <c r="AK156" s="104" t="s">
        <v>217</v>
      </c>
      <c r="AL156" s="105" t="s">
        <v>218</v>
      </c>
      <c r="AM156" s="106" t="s">
        <v>219</v>
      </c>
      <c r="AN156" s="107" t="s">
        <v>220</v>
      </c>
      <c r="AO156" s="108" t="s">
        <v>221</v>
      </c>
      <c r="AP156" s="51" t="s">
        <v>138</v>
      </c>
      <c r="AQ156" s="109" t="s">
        <v>139</v>
      </c>
      <c r="AR156" s="104" t="s">
        <v>140</v>
      </c>
      <c r="AS156" s="22" t="s">
        <v>141</v>
      </c>
      <c r="AT156" s="105" t="s">
        <v>142</v>
      </c>
      <c r="AU156" s="110" t="s">
        <v>143</v>
      </c>
      <c r="AV156" s="111" t="s">
        <v>144</v>
      </c>
      <c r="AW156" s="112" t="s">
        <v>145</v>
      </c>
      <c r="AX156" s="113" t="s">
        <v>146</v>
      </c>
      <c r="AY156" s="114" t="s">
        <v>147</v>
      </c>
      <c r="AZ156" s="111" t="s">
        <v>1303</v>
      </c>
      <c r="BA156" s="41" t="s">
        <v>105</v>
      </c>
      <c r="BB156" s="591" t="str">
        <f t="shared" si="10"/>
        <v>TEMPLATE</v>
      </c>
      <c r="BC156" s="591" t="str">
        <f t="shared" si="11"/>
        <v>5. Financial Regulators-IAIC-IAIC-CSF</v>
      </c>
      <c r="BD156" s="591" t="str">
        <f t="shared" si="12"/>
        <v>IAIC-IAIC-CSF</v>
      </c>
      <c r="BE156" s="591" t="str">
        <f t="shared" si="13"/>
        <v>NONE</v>
      </c>
      <c r="BF156" s="594">
        <f t="shared" si="14"/>
        <v>7</v>
      </c>
    </row>
    <row r="157" spans="1:58" ht="42" customHeight="1" x14ac:dyDescent="0.45">
      <c r="A157" s="42">
        <v>140</v>
      </c>
      <c r="B157" s="115" t="s">
        <v>1704</v>
      </c>
      <c r="C157" s="44" t="s">
        <v>1705</v>
      </c>
      <c r="D157" s="44" t="s">
        <v>1288</v>
      </c>
      <c r="E157" s="115" t="s">
        <v>1152</v>
      </c>
      <c r="F157" s="45" t="s">
        <v>1153</v>
      </c>
      <c r="G157" s="44" t="s">
        <v>1154</v>
      </c>
      <c r="H157" s="44" t="s">
        <v>1155</v>
      </c>
      <c r="I157" s="46" t="s">
        <v>1155</v>
      </c>
      <c r="J157" s="46" t="s">
        <v>1156</v>
      </c>
      <c r="K157" s="44" t="s">
        <v>558</v>
      </c>
      <c r="L157" s="66" t="s">
        <v>559</v>
      </c>
      <c r="M157" s="44" t="s">
        <v>1717</v>
      </c>
      <c r="N157" s="55" t="s">
        <v>253</v>
      </c>
      <c r="O157" s="48" t="s">
        <v>1158</v>
      </c>
      <c r="P157" s="44" t="s">
        <v>1718</v>
      </c>
      <c r="Q157" s="98" t="s">
        <v>1160</v>
      </c>
      <c r="R157" s="98" t="s">
        <v>1161</v>
      </c>
      <c r="S157" s="100" t="s">
        <v>1162</v>
      </c>
      <c r="T157" s="98" t="s">
        <v>1163</v>
      </c>
      <c r="U157" s="25" t="s">
        <v>1164</v>
      </c>
      <c r="V157" s="98" t="s">
        <v>1165</v>
      </c>
      <c r="W157" s="99" t="s">
        <v>1166</v>
      </c>
      <c r="X157" s="98" t="s">
        <v>1167</v>
      </c>
      <c r="Y157" s="49" t="s">
        <v>1168</v>
      </c>
      <c r="Z157" s="98" t="s">
        <v>1169</v>
      </c>
      <c r="AA157" s="100" t="s">
        <v>1170</v>
      </c>
      <c r="AB157" s="98" t="s">
        <v>1171</v>
      </c>
      <c r="AC157" s="98" t="s">
        <v>1172</v>
      </c>
      <c r="AD157" s="61" t="s">
        <v>1173</v>
      </c>
      <c r="AE157" s="26" t="s">
        <v>1174</v>
      </c>
      <c r="AF157" s="27" t="s">
        <v>1175</v>
      </c>
      <c r="AG157" s="98" t="s">
        <v>1176</v>
      </c>
      <c r="AH157" s="98" t="s">
        <v>1177</v>
      </c>
      <c r="AI157" s="103" t="s">
        <v>1178</v>
      </c>
      <c r="AJ157" s="98" t="s">
        <v>1179</v>
      </c>
      <c r="AK157" s="104" t="s">
        <v>1180</v>
      </c>
      <c r="AL157" s="105" t="s">
        <v>1181</v>
      </c>
      <c r="AM157" s="106" t="s">
        <v>1182</v>
      </c>
      <c r="AN157" s="107" t="s">
        <v>1183</v>
      </c>
      <c r="AO157" s="108" t="s">
        <v>1184</v>
      </c>
      <c r="AP157" s="34" t="s">
        <v>1185</v>
      </c>
      <c r="AQ157" s="109" t="s">
        <v>1186</v>
      </c>
      <c r="AR157" s="104" t="s">
        <v>1187</v>
      </c>
      <c r="AS157" s="61" t="s">
        <v>1188</v>
      </c>
      <c r="AT157" s="105" t="s">
        <v>1189</v>
      </c>
      <c r="AU157" s="110" t="s">
        <v>1190</v>
      </c>
      <c r="AV157" s="111" t="s">
        <v>1191</v>
      </c>
      <c r="AW157" s="112" t="s">
        <v>1192</v>
      </c>
      <c r="AX157" s="113" t="s">
        <v>1193</v>
      </c>
      <c r="AY157" s="114" t="s">
        <v>1194</v>
      </c>
      <c r="AZ157" s="111" t="s">
        <v>1195</v>
      </c>
      <c r="BA157" s="41" t="s">
        <v>105</v>
      </c>
      <c r="BB157" s="591" t="str">
        <f t="shared" si="10"/>
        <v>DEEP</v>
      </c>
      <c r="BC157" s="591" t="str">
        <f t="shared" si="11"/>
        <v>5. Financial Regulators-IAIC-SAMA-CSF</v>
      </c>
      <c r="BD157" s="591" t="str">
        <f t="shared" si="12"/>
        <v>IAIC-SAMA-CSF</v>
      </c>
      <c r="BE157" s="591" t="str">
        <f t="shared" si="13"/>
        <v>NONE</v>
      </c>
      <c r="BF157" s="594">
        <f t="shared" si="14"/>
        <v>14</v>
      </c>
    </row>
    <row r="158" spans="1:58" ht="42" customHeight="1" x14ac:dyDescent="0.45">
      <c r="A158" s="96">
        <v>141</v>
      </c>
      <c r="B158" s="97" t="s">
        <v>1704</v>
      </c>
      <c r="C158" s="98" t="s">
        <v>1705</v>
      </c>
      <c r="D158" s="98" t="s">
        <v>1288</v>
      </c>
      <c r="E158" s="97" t="s">
        <v>557</v>
      </c>
      <c r="F158" s="99" t="s">
        <v>58</v>
      </c>
      <c r="G158" s="98" t="s">
        <v>59</v>
      </c>
      <c r="H158" s="98" t="s">
        <v>57</v>
      </c>
      <c r="I158" s="100" t="s">
        <v>61</v>
      </c>
      <c r="J158" s="100" t="s">
        <v>62</v>
      </c>
      <c r="K158" s="98" t="s">
        <v>558</v>
      </c>
      <c r="L158" s="66" t="s">
        <v>559</v>
      </c>
      <c r="M158" s="98" t="s">
        <v>1719</v>
      </c>
      <c r="N158" s="101" t="s">
        <v>253</v>
      </c>
      <c r="O158" s="102" t="s">
        <v>196</v>
      </c>
      <c r="P158" s="98" t="s">
        <v>561</v>
      </c>
      <c r="Q158" s="98" t="s">
        <v>562</v>
      </c>
      <c r="R158" s="98" t="s">
        <v>563</v>
      </c>
      <c r="S158" s="100" t="s">
        <v>564</v>
      </c>
      <c r="T158" s="98" t="s">
        <v>565</v>
      </c>
      <c r="U158" s="25" t="s">
        <v>566</v>
      </c>
      <c r="V158" s="98" t="s">
        <v>282</v>
      </c>
      <c r="W158" s="99" t="s">
        <v>283</v>
      </c>
      <c r="X158" s="98" t="s">
        <v>284</v>
      </c>
      <c r="Y158" s="49" t="s">
        <v>285</v>
      </c>
      <c r="Z158" s="98" t="s">
        <v>286</v>
      </c>
      <c r="AA158" s="100" t="s">
        <v>286</v>
      </c>
      <c r="AB158" s="98" t="s">
        <v>287</v>
      </c>
      <c r="AC158" s="98" t="s">
        <v>288</v>
      </c>
      <c r="AD158" s="49" t="s">
        <v>289</v>
      </c>
      <c r="AE158" s="58" t="s">
        <v>290</v>
      </c>
      <c r="AF158" s="56" t="s">
        <v>291</v>
      </c>
      <c r="AG158" s="98" t="s">
        <v>292</v>
      </c>
      <c r="AH158" s="98" t="s">
        <v>293</v>
      </c>
      <c r="AI158" s="103" t="s">
        <v>215</v>
      </c>
      <c r="AJ158" s="98" t="s">
        <v>216</v>
      </c>
      <c r="AK158" s="104" t="s">
        <v>217</v>
      </c>
      <c r="AL158" s="105" t="s">
        <v>218</v>
      </c>
      <c r="AM158" s="106" t="s">
        <v>219</v>
      </c>
      <c r="AN158" s="107" t="s">
        <v>220</v>
      </c>
      <c r="AO158" s="108" t="s">
        <v>221</v>
      </c>
      <c r="AP158" s="51" t="s">
        <v>138</v>
      </c>
      <c r="AQ158" s="109" t="s">
        <v>139</v>
      </c>
      <c r="AR158" s="104" t="s">
        <v>140</v>
      </c>
      <c r="AS158" s="22" t="s">
        <v>141</v>
      </c>
      <c r="AT158" s="105" t="s">
        <v>142</v>
      </c>
      <c r="AU158" s="110" t="s">
        <v>143</v>
      </c>
      <c r="AV158" s="111" t="s">
        <v>144</v>
      </c>
      <c r="AW158" s="112" t="s">
        <v>145</v>
      </c>
      <c r="AX158" s="113" t="s">
        <v>146</v>
      </c>
      <c r="AY158" s="114" t="s">
        <v>147</v>
      </c>
      <c r="AZ158" s="111" t="s">
        <v>567</v>
      </c>
      <c r="BA158" s="34" t="s">
        <v>320</v>
      </c>
      <c r="BB158" s="591" t="str">
        <f t="shared" si="10"/>
        <v>TEMPLATE</v>
      </c>
      <c r="BC158" s="591" t="str">
        <f t="shared" si="11"/>
        <v>5. Financial Regulators-IAIC-NCA-ECC-2:2024</v>
      </c>
      <c r="BD158" s="591" t="str">
        <f t="shared" si="12"/>
        <v>IAIC-NCA-ECC-2-2024</v>
      </c>
      <c r="BE158" s="591" t="str">
        <f t="shared" si="13"/>
        <v>NCA-ECC-2-2024</v>
      </c>
      <c r="BF158" s="594">
        <f t="shared" si="14"/>
        <v>7</v>
      </c>
    </row>
    <row r="159" spans="1:58" ht="42" customHeight="1" x14ac:dyDescent="0.45">
      <c r="A159" s="42">
        <v>142</v>
      </c>
      <c r="B159" s="115" t="s">
        <v>1704</v>
      </c>
      <c r="C159" s="44" t="s">
        <v>1705</v>
      </c>
      <c r="D159" s="44" t="s">
        <v>1288</v>
      </c>
      <c r="E159" s="115" t="s">
        <v>382</v>
      </c>
      <c r="F159" s="45" t="s">
        <v>383</v>
      </c>
      <c r="G159" s="44" t="s">
        <v>384</v>
      </c>
      <c r="H159" s="44" t="s">
        <v>765</v>
      </c>
      <c r="I159" s="46" t="s">
        <v>250</v>
      </c>
      <c r="J159" s="46" t="s">
        <v>386</v>
      </c>
      <c r="K159" s="44" t="s">
        <v>558</v>
      </c>
      <c r="L159" s="66" t="s">
        <v>559</v>
      </c>
      <c r="M159" s="44" t="s">
        <v>1720</v>
      </c>
      <c r="N159" s="54" t="s">
        <v>154</v>
      </c>
      <c r="O159" s="48" t="s">
        <v>540</v>
      </c>
      <c r="P159" s="44" t="s">
        <v>1721</v>
      </c>
      <c r="Q159" s="98" t="s">
        <v>390</v>
      </c>
      <c r="R159" s="98" t="s">
        <v>391</v>
      </c>
      <c r="S159" s="100" t="s">
        <v>392</v>
      </c>
      <c r="T159" s="98" t="s">
        <v>393</v>
      </c>
      <c r="U159" s="25" t="s">
        <v>394</v>
      </c>
      <c r="V159" s="98" t="s">
        <v>395</v>
      </c>
      <c r="W159" s="99" t="s">
        <v>396</v>
      </c>
      <c r="X159" s="98" t="s">
        <v>397</v>
      </c>
      <c r="Y159" s="49" t="s">
        <v>398</v>
      </c>
      <c r="Z159" s="98" t="s">
        <v>399</v>
      </c>
      <c r="AA159" s="100" t="s">
        <v>400</v>
      </c>
      <c r="AB159" s="98" t="s">
        <v>401</v>
      </c>
      <c r="AC159" s="98" t="s">
        <v>402</v>
      </c>
      <c r="AD159" s="49" t="s">
        <v>403</v>
      </c>
      <c r="AE159" s="50" t="s">
        <v>404</v>
      </c>
      <c r="AF159" s="60" t="s">
        <v>405</v>
      </c>
      <c r="AG159" s="98" t="s">
        <v>406</v>
      </c>
      <c r="AH159" s="98" t="s">
        <v>407</v>
      </c>
      <c r="AI159" s="103" t="s">
        <v>408</v>
      </c>
      <c r="AJ159" s="98" t="s">
        <v>409</v>
      </c>
      <c r="AK159" s="104" t="s">
        <v>410</v>
      </c>
      <c r="AL159" s="105" t="s">
        <v>411</v>
      </c>
      <c r="AM159" s="106" t="s">
        <v>412</v>
      </c>
      <c r="AN159" s="107" t="s">
        <v>413</v>
      </c>
      <c r="AO159" s="108" t="s">
        <v>414</v>
      </c>
      <c r="AP159" s="51" t="s">
        <v>415</v>
      </c>
      <c r="AQ159" s="109" t="s">
        <v>416</v>
      </c>
      <c r="AR159" s="104" t="s">
        <v>417</v>
      </c>
      <c r="AS159" s="22" t="s">
        <v>418</v>
      </c>
      <c r="AT159" s="105" t="s">
        <v>419</v>
      </c>
      <c r="AU159" s="110" t="s">
        <v>420</v>
      </c>
      <c r="AV159" s="111" t="s">
        <v>421</v>
      </c>
      <c r="AW159" s="112" t="s">
        <v>422</v>
      </c>
      <c r="AX159" s="113" t="s">
        <v>423</v>
      </c>
      <c r="AY159" s="114" t="s">
        <v>424</v>
      </c>
      <c r="AZ159" s="111" t="s">
        <v>425</v>
      </c>
      <c r="BA159" s="34" t="s">
        <v>320</v>
      </c>
      <c r="BB159" s="591" t="str">
        <f t="shared" si="10"/>
        <v>DEEP</v>
      </c>
      <c r="BC159" s="591" t="str">
        <f t="shared" si="11"/>
        <v>5. Financial Regulators-IAIC-PDPL-2021</v>
      </c>
      <c r="BD159" s="591" t="str">
        <f t="shared" si="12"/>
        <v>IAIC-PDPL-2021</v>
      </c>
      <c r="BE159" s="591" t="str">
        <f t="shared" si="13"/>
        <v>NONE</v>
      </c>
      <c r="BF159" s="594">
        <f t="shared" si="14"/>
        <v>16</v>
      </c>
    </row>
    <row r="160" spans="1:58" ht="42" customHeight="1" x14ac:dyDescent="0.45">
      <c r="A160" s="96">
        <v>143</v>
      </c>
      <c r="B160" s="97" t="s">
        <v>1722</v>
      </c>
      <c r="C160" s="98" t="s">
        <v>1723</v>
      </c>
      <c r="D160" s="98" t="s">
        <v>1288</v>
      </c>
      <c r="E160" s="97" t="s">
        <v>1724</v>
      </c>
      <c r="F160" s="99" t="s">
        <v>1725</v>
      </c>
      <c r="G160" s="98" t="s">
        <v>1726</v>
      </c>
      <c r="H160" s="98" t="s">
        <v>886</v>
      </c>
      <c r="I160" s="100" t="s">
        <v>1727</v>
      </c>
      <c r="J160" s="100" t="s">
        <v>386</v>
      </c>
      <c r="K160" s="98" t="s">
        <v>63</v>
      </c>
      <c r="L160" s="22" t="s">
        <v>64</v>
      </c>
      <c r="M160" s="98" t="s">
        <v>1728</v>
      </c>
      <c r="N160" s="101" t="s">
        <v>253</v>
      </c>
      <c r="O160" s="102" t="s">
        <v>1729</v>
      </c>
      <c r="P160" s="98" t="s">
        <v>1730</v>
      </c>
      <c r="Q160" s="98" t="s">
        <v>1731</v>
      </c>
      <c r="R160" s="98" t="s">
        <v>1732</v>
      </c>
      <c r="S160" s="100" t="s">
        <v>1733</v>
      </c>
      <c r="T160" s="98" t="s">
        <v>1734</v>
      </c>
      <c r="U160" s="25" t="s">
        <v>1441</v>
      </c>
      <c r="V160" s="98" t="s">
        <v>282</v>
      </c>
      <c r="W160" s="99" t="s">
        <v>283</v>
      </c>
      <c r="X160" s="98" t="s">
        <v>284</v>
      </c>
      <c r="Y160" s="49" t="s">
        <v>285</v>
      </c>
      <c r="Z160" s="98" t="s">
        <v>286</v>
      </c>
      <c r="AA160" s="100" t="s">
        <v>286</v>
      </c>
      <c r="AB160" s="98" t="s">
        <v>287</v>
      </c>
      <c r="AC160" s="98" t="s">
        <v>288</v>
      </c>
      <c r="AD160" s="49" t="s">
        <v>289</v>
      </c>
      <c r="AE160" s="58" t="s">
        <v>290</v>
      </c>
      <c r="AF160" s="56" t="s">
        <v>291</v>
      </c>
      <c r="AG160" s="98" t="s">
        <v>292</v>
      </c>
      <c r="AH160" s="98" t="s">
        <v>293</v>
      </c>
      <c r="AI160" s="103" t="s">
        <v>215</v>
      </c>
      <c r="AJ160" s="98" t="s">
        <v>216</v>
      </c>
      <c r="AK160" s="104" t="s">
        <v>217</v>
      </c>
      <c r="AL160" s="105" t="s">
        <v>218</v>
      </c>
      <c r="AM160" s="106" t="s">
        <v>219</v>
      </c>
      <c r="AN160" s="107" t="s">
        <v>220</v>
      </c>
      <c r="AO160" s="108" t="s">
        <v>221</v>
      </c>
      <c r="AP160" s="51" t="s">
        <v>138</v>
      </c>
      <c r="AQ160" s="109" t="s">
        <v>139</v>
      </c>
      <c r="AR160" s="104" t="s">
        <v>140</v>
      </c>
      <c r="AS160" s="22" t="s">
        <v>141</v>
      </c>
      <c r="AT160" s="105" t="s">
        <v>142</v>
      </c>
      <c r="AU160" s="110" t="s">
        <v>143</v>
      </c>
      <c r="AV160" s="111" t="s">
        <v>144</v>
      </c>
      <c r="AW160" s="112" t="s">
        <v>145</v>
      </c>
      <c r="AX160" s="113" t="s">
        <v>146</v>
      </c>
      <c r="AY160" s="114" t="s">
        <v>147</v>
      </c>
      <c r="AZ160" s="111" t="s">
        <v>1574</v>
      </c>
      <c r="BA160" s="34" t="s">
        <v>320</v>
      </c>
      <c r="BB160" s="591" t="str">
        <f t="shared" si="10"/>
        <v>TEMPLATE</v>
      </c>
      <c r="BC160" s="591" t="str">
        <f t="shared" si="11"/>
        <v>5. Financial Regulators-GOSI-GOSI-OIL</v>
      </c>
      <c r="BD160" s="591" t="str">
        <f t="shared" si="12"/>
        <v>GOSI-GOSI-OIL</v>
      </c>
      <c r="BE160" s="591" t="str">
        <f t="shared" si="13"/>
        <v>NONE</v>
      </c>
      <c r="BF160" s="594">
        <f t="shared" si="14"/>
        <v>7</v>
      </c>
    </row>
    <row r="161" spans="1:58" ht="42" customHeight="1" x14ac:dyDescent="0.45">
      <c r="A161" s="42">
        <v>144</v>
      </c>
      <c r="B161" s="115" t="s">
        <v>1722</v>
      </c>
      <c r="C161" s="44" t="s">
        <v>1723</v>
      </c>
      <c r="D161" s="44" t="s">
        <v>1288</v>
      </c>
      <c r="E161" s="115" t="s">
        <v>1735</v>
      </c>
      <c r="F161" s="45" t="s">
        <v>1736</v>
      </c>
      <c r="G161" s="44" t="s">
        <v>1737</v>
      </c>
      <c r="H161" s="44" t="s">
        <v>886</v>
      </c>
      <c r="I161" s="46" t="s">
        <v>1727</v>
      </c>
      <c r="J161" s="46" t="s">
        <v>310</v>
      </c>
      <c r="K161" s="44" t="s">
        <v>63</v>
      </c>
      <c r="L161" s="22" t="s">
        <v>64</v>
      </c>
      <c r="M161" s="44" t="s">
        <v>1738</v>
      </c>
      <c r="N161" s="55" t="s">
        <v>253</v>
      </c>
      <c r="O161" s="48" t="s">
        <v>1729</v>
      </c>
      <c r="P161" s="44" t="s">
        <v>1730</v>
      </c>
      <c r="Q161" s="98" t="s">
        <v>562</v>
      </c>
      <c r="R161" s="98" t="s">
        <v>563</v>
      </c>
      <c r="S161" s="100" t="s">
        <v>564</v>
      </c>
      <c r="T161" s="98" t="s">
        <v>565</v>
      </c>
      <c r="U161" s="25" t="s">
        <v>566</v>
      </c>
      <c r="V161" s="98" t="s">
        <v>282</v>
      </c>
      <c r="W161" s="99" t="s">
        <v>283</v>
      </c>
      <c r="X161" s="98" t="s">
        <v>284</v>
      </c>
      <c r="Y161" s="49" t="s">
        <v>285</v>
      </c>
      <c r="Z161" s="98" t="s">
        <v>286</v>
      </c>
      <c r="AA161" s="100" t="s">
        <v>286</v>
      </c>
      <c r="AB161" s="98" t="s">
        <v>287</v>
      </c>
      <c r="AC161" s="98" t="s">
        <v>288</v>
      </c>
      <c r="AD161" s="49" t="s">
        <v>289</v>
      </c>
      <c r="AE161" s="58" t="s">
        <v>290</v>
      </c>
      <c r="AF161" s="56" t="s">
        <v>291</v>
      </c>
      <c r="AG161" s="98" t="s">
        <v>292</v>
      </c>
      <c r="AH161" s="98" t="s">
        <v>293</v>
      </c>
      <c r="AI161" s="103" t="s">
        <v>215</v>
      </c>
      <c r="AJ161" s="98" t="s">
        <v>216</v>
      </c>
      <c r="AK161" s="104" t="s">
        <v>217</v>
      </c>
      <c r="AL161" s="105" t="s">
        <v>218</v>
      </c>
      <c r="AM161" s="106" t="s">
        <v>219</v>
      </c>
      <c r="AN161" s="107" t="s">
        <v>220</v>
      </c>
      <c r="AO161" s="108" t="s">
        <v>221</v>
      </c>
      <c r="AP161" s="51" t="s">
        <v>138</v>
      </c>
      <c r="AQ161" s="109" t="s">
        <v>139</v>
      </c>
      <c r="AR161" s="104" t="s">
        <v>140</v>
      </c>
      <c r="AS161" s="22" t="s">
        <v>141</v>
      </c>
      <c r="AT161" s="105" t="s">
        <v>142</v>
      </c>
      <c r="AU161" s="110" t="s">
        <v>143</v>
      </c>
      <c r="AV161" s="111" t="s">
        <v>144</v>
      </c>
      <c r="AW161" s="112" t="s">
        <v>145</v>
      </c>
      <c r="AX161" s="113" t="s">
        <v>146</v>
      </c>
      <c r="AY161" s="114" t="s">
        <v>147</v>
      </c>
      <c r="AZ161" s="111" t="s">
        <v>1574</v>
      </c>
      <c r="BA161" s="34" t="s">
        <v>320</v>
      </c>
      <c r="BB161" s="591" t="str">
        <f t="shared" si="10"/>
        <v>TEMPLATE</v>
      </c>
      <c r="BC161" s="591" t="str">
        <f t="shared" si="11"/>
        <v>5. Financial Regulators-GOSI-GOSI-SIN</v>
      </c>
      <c r="BD161" s="591" t="str">
        <f t="shared" si="12"/>
        <v>GOSI-GOSI-SIN</v>
      </c>
      <c r="BE161" s="591" t="str">
        <f t="shared" si="13"/>
        <v>NONE</v>
      </c>
      <c r="BF161" s="594">
        <f t="shared" si="14"/>
        <v>7</v>
      </c>
    </row>
    <row r="162" spans="1:58" ht="42" customHeight="1" x14ac:dyDescent="0.45">
      <c r="A162" s="96">
        <v>145</v>
      </c>
      <c r="B162" s="97" t="s">
        <v>1722</v>
      </c>
      <c r="C162" s="98" t="s">
        <v>1723</v>
      </c>
      <c r="D162" s="98" t="s">
        <v>1288</v>
      </c>
      <c r="E162" s="97" t="s">
        <v>557</v>
      </c>
      <c r="F162" s="99" t="s">
        <v>58</v>
      </c>
      <c r="G162" s="98" t="s">
        <v>59</v>
      </c>
      <c r="H162" s="98" t="s">
        <v>57</v>
      </c>
      <c r="I162" s="100" t="s">
        <v>61</v>
      </c>
      <c r="J162" s="100" t="s">
        <v>62</v>
      </c>
      <c r="K162" s="98" t="s">
        <v>558</v>
      </c>
      <c r="L162" s="66" t="s">
        <v>559</v>
      </c>
      <c r="M162" s="98" t="s">
        <v>1739</v>
      </c>
      <c r="N162" s="101" t="s">
        <v>253</v>
      </c>
      <c r="O162" s="102" t="s">
        <v>196</v>
      </c>
      <c r="P162" s="98" t="s">
        <v>561</v>
      </c>
      <c r="Q162" s="98" t="s">
        <v>562</v>
      </c>
      <c r="R162" s="98" t="s">
        <v>563</v>
      </c>
      <c r="S162" s="100" t="s">
        <v>564</v>
      </c>
      <c r="T162" s="98" t="s">
        <v>565</v>
      </c>
      <c r="U162" s="25" t="s">
        <v>566</v>
      </c>
      <c r="V162" s="98" t="s">
        <v>282</v>
      </c>
      <c r="W162" s="99" t="s">
        <v>283</v>
      </c>
      <c r="X162" s="98" t="s">
        <v>284</v>
      </c>
      <c r="Y162" s="49" t="s">
        <v>285</v>
      </c>
      <c r="Z162" s="98" t="s">
        <v>286</v>
      </c>
      <c r="AA162" s="100" t="s">
        <v>286</v>
      </c>
      <c r="AB162" s="98" t="s">
        <v>287</v>
      </c>
      <c r="AC162" s="98" t="s">
        <v>288</v>
      </c>
      <c r="AD162" s="49" t="s">
        <v>289</v>
      </c>
      <c r="AE162" s="58" t="s">
        <v>290</v>
      </c>
      <c r="AF162" s="56" t="s">
        <v>291</v>
      </c>
      <c r="AG162" s="98" t="s">
        <v>292</v>
      </c>
      <c r="AH162" s="98" t="s">
        <v>293</v>
      </c>
      <c r="AI162" s="103" t="s">
        <v>215</v>
      </c>
      <c r="AJ162" s="98" t="s">
        <v>216</v>
      </c>
      <c r="AK162" s="104" t="s">
        <v>217</v>
      </c>
      <c r="AL162" s="105" t="s">
        <v>218</v>
      </c>
      <c r="AM162" s="106" t="s">
        <v>219</v>
      </c>
      <c r="AN162" s="107" t="s">
        <v>220</v>
      </c>
      <c r="AO162" s="108" t="s">
        <v>221</v>
      </c>
      <c r="AP162" s="51" t="s">
        <v>138</v>
      </c>
      <c r="AQ162" s="109" t="s">
        <v>139</v>
      </c>
      <c r="AR162" s="104" t="s">
        <v>140</v>
      </c>
      <c r="AS162" s="22" t="s">
        <v>141</v>
      </c>
      <c r="AT162" s="105" t="s">
        <v>142</v>
      </c>
      <c r="AU162" s="110" t="s">
        <v>143</v>
      </c>
      <c r="AV162" s="111" t="s">
        <v>144</v>
      </c>
      <c r="AW162" s="112" t="s">
        <v>145</v>
      </c>
      <c r="AX162" s="113" t="s">
        <v>146</v>
      </c>
      <c r="AY162" s="114" t="s">
        <v>147</v>
      </c>
      <c r="AZ162" s="111" t="s">
        <v>567</v>
      </c>
      <c r="BA162" s="34" t="s">
        <v>320</v>
      </c>
      <c r="BB162" s="591" t="str">
        <f t="shared" si="10"/>
        <v>TEMPLATE</v>
      </c>
      <c r="BC162" s="591" t="str">
        <f t="shared" si="11"/>
        <v>5. Financial Regulators-GOSI-NCA-ECC-2:2024</v>
      </c>
      <c r="BD162" s="591" t="str">
        <f t="shared" si="12"/>
        <v>GOSI-NCA-ECC-2-2024</v>
      </c>
      <c r="BE162" s="591" t="str">
        <f t="shared" si="13"/>
        <v>NCA-ECC-2-2024</v>
      </c>
      <c r="BF162" s="594">
        <f t="shared" si="14"/>
        <v>7</v>
      </c>
    </row>
    <row r="163" spans="1:58" ht="42" customHeight="1" x14ac:dyDescent="0.45">
      <c r="A163" s="42">
        <v>146</v>
      </c>
      <c r="B163" s="115" t="s">
        <v>1722</v>
      </c>
      <c r="C163" s="44" t="s">
        <v>1723</v>
      </c>
      <c r="D163" s="44" t="s">
        <v>1288</v>
      </c>
      <c r="E163" s="115" t="s">
        <v>382</v>
      </c>
      <c r="F163" s="45" t="s">
        <v>383</v>
      </c>
      <c r="G163" s="44" t="s">
        <v>384</v>
      </c>
      <c r="H163" s="44" t="s">
        <v>765</v>
      </c>
      <c r="I163" s="46" t="s">
        <v>250</v>
      </c>
      <c r="J163" s="46" t="s">
        <v>386</v>
      </c>
      <c r="K163" s="44" t="s">
        <v>558</v>
      </c>
      <c r="L163" s="66" t="s">
        <v>559</v>
      </c>
      <c r="M163" s="44" t="s">
        <v>1740</v>
      </c>
      <c r="N163" s="55" t="s">
        <v>253</v>
      </c>
      <c r="O163" s="48" t="s">
        <v>540</v>
      </c>
      <c r="P163" s="44" t="s">
        <v>380</v>
      </c>
      <c r="Q163" s="98" t="s">
        <v>390</v>
      </c>
      <c r="R163" s="98" t="s">
        <v>391</v>
      </c>
      <c r="S163" s="100" t="s">
        <v>392</v>
      </c>
      <c r="T163" s="98" t="s">
        <v>393</v>
      </c>
      <c r="U163" s="25" t="s">
        <v>394</v>
      </c>
      <c r="V163" s="98" t="s">
        <v>395</v>
      </c>
      <c r="W163" s="99" t="s">
        <v>396</v>
      </c>
      <c r="X163" s="98" t="s">
        <v>397</v>
      </c>
      <c r="Y163" s="49" t="s">
        <v>398</v>
      </c>
      <c r="Z163" s="98" t="s">
        <v>399</v>
      </c>
      <c r="AA163" s="100" t="s">
        <v>400</v>
      </c>
      <c r="AB163" s="98" t="s">
        <v>401</v>
      </c>
      <c r="AC163" s="98" t="s">
        <v>402</v>
      </c>
      <c r="AD163" s="49" t="s">
        <v>403</v>
      </c>
      <c r="AE163" s="50" t="s">
        <v>404</v>
      </c>
      <c r="AF163" s="60" t="s">
        <v>405</v>
      </c>
      <c r="AG163" s="98" t="s">
        <v>406</v>
      </c>
      <c r="AH163" s="98" t="s">
        <v>407</v>
      </c>
      <c r="AI163" s="103" t="s">
        <v>408</v>
      </c>
      <c r="AJ163" s="98" t="s">
        <v>409</v>
      </c>
      <c r="AK163" s="104" t="s">
        <v>410</v>
      </c>
      <c r="AL163" s="105" t="s">
        <v>411</v>
      </c>
      <c r="AM163" s="106" t="s">
        <v>412</v>
      </c>
      <c r="AN163" s="107" t="s">
        <v>413</v>
      </c>
      <c r="AO163" s="108" t="s">
        <v>414</v>
      </c>
      <c r="AP163" s="51" t="s">
        <v>415</v>
      </c>
      <c r="AQ163" s="109" t="s">
        <v>416</v>
      </c>
      <c r="AR163" s="104" t="s">
        <v>417</v>
      </c>
      <c r="AS163" s="22" t="s">
        <v>418</v>
      </c>
      <c r="AT163" s="105" t="s">
        <v>419</v>
      </c>
      <c r="AU163" s="110" t="s">
        <v>420</v>
      </c>
      <c r="AV163" s="111" t="s">
        <v>421</v>
      </c>
      <c r="AW163" s="112" t="s">
        <v>422</v>
      </c>
      <c r="AX163" s="113" t="s">
        <v>423</v>
      </c>
      <c r="AY163" s="114" t="s">
        <v>424</v>
      </c>
      <c r="AZ163" s="111" t="s">
        <v>425</v>
      </c>
      <c r="BA163" s="34" t="s">
        <v>320</v>
      </c>
      <c r="BB163" s="591" t="str">
        <f t="shared" si="10"/>
        <v>DEEP</v>
      </c>
      <c r="BC163" s="591" t="str">
        <f t="shared" si="11"/>
        <v>5. Financial Regulators-GOSI-PDPL-2021</v>
      </c>
      <c r="BD163" s="591" t="str">
        <f t="shared" si="12"/>
        <v>GOSI-PDPL-2021</v>
      </c>
      <c r="BE163" s="591" t="str">
        <f t="shared" si="13"/>
        <v>NONE</v>
      </c>
      <c r="BF163" s="594">
        <f t="shared" si="14"/>
        <v>14</v>
      </c>
    </row>
    <row r="164" spans="1:58" x14ac:dyDescent="0.45">
      <c r="BB164" s="591" t="str">
        <f t="shared" si="10"/>
        <v/>
      </c>
      <c r="BC164" s="591" t="str">
        <f t="shared" si="11"/>
        <v/>
      </c>
      <c r="BD164" s="591" t="str">
        <f t="shared" si="12"/>
        <v/>
      </c>
      <c r="BE164" s="591" t="str">
        <f t="shared" si="13"/>
        <v/>
      </c>
      <c r="BF164" s="594" t="str">
        <f t="shared" si="14"/>
        <v/>
      </c>
    </row>
    <row r="165" spans="1:58" ht="19.5" customHeight="1" x14ac:dyDescent="0.45">
      <c r="A165" s="187"/>
      <c r="B165" s="188" t="s">
        <v>1559</v>
      </c>
      <c r="C165" s="187"/>
      <c r="D165" s="187"/>
      <c r="E165" s="187"/>
      <c r="F165" s="187"/>
      <c r="G165" s="187"/>
      <c r="H165" s="187"/>
      <c r="I165" s="187"/>
      <c r="J165" s="187"/>
      <c r="K165" s="187"/>
      <c r="L165" s="187"/>
      <c r="M165" s="187"/>
      <c r="N165" s="187"/>
      <c r="O165" s="187"/>
      <c r="P165" s="187"/>
      <c r="BB165" s="591" t="str">
        <f t="shared" si="10"/>
        <v/>
      </c>
      <c r="BC165" s="591" t="str">
        <f t="shared" si="11"/>
        <v/>
      </c>
      <c r="BD165" s="591" t="str">
        <f t="shared" si="12"/>
        <v/>
      </c>
      <c r="BE165" s="591" t="str">
        <f t="shared" si="13"/>
        <v/>
      </c>
      <c r="BF165" s="594" t="str">
        <f t="shared" si="14"/>
        <v/>
      </c>
    </row>
    <row r="166" spans="1:58" ht="42" customHeight="1" x14ac:dyDescent="0.45">
      <c r="A166" s="204">
        <v>147</v>
      </c>
      <c r="B166" s="205" t="s">
        <v>1741</v>
      </c>
      <c r="C166" s="190" t="s">
        <v>1742</v>
      </c>
      <c r="D166" s="190" t="s">
        <v>1562</v>
      </c>
      <c r="E166" s="205" t="s">
        <v>1743</v>
      </c>
      <c r="F166" s="192" t="s">
        <v>1744</v>
      </c>
      <c r="G166" s="190" t="s">
        <v>1745</v>
      </c>
      <c r="H166" s="190" t="s">
        <v>1746</v>
      </c>
      <c r="I166" s="191" t="s">
        <v>1747</v>
      </c>
      <c r="J166" s="191" t="s">
        <v>310</v>
      </c>
      <c r="K166" s="190" t="s">
        <v>63</v>
      </c>
      <c r="L166" s="22" t="s">
        <v>64</v>
      </c>
      <c r="M166" s="190" t="s">
        <v>1748</v>
      </c>
      <c r="N166" s="208" t="s">
        <v>253</v>
      </c>
      <c r="O166" s="207" t="s">
        <v>1749</v>
      </c>
      <c r="P166" s="190" t="s">
        <v>1750</v>
      </c>
      <c r="Q166" s="190" t="s">
        <v>562</v>
      </c>
      <c r="R166" s="190" t="s">
        <v>563</v>
      </c>
      <c r="S166" s="191" t="s">
        <v>564</v>
      </c>
      <c r="T166" s="190" t="s">
        <v>565</v>
      </c>
      <c r="U166" s="25" t="s">
        <v>566</v>
      </c>
      <c r="V166" s="190" t="s">
        <v>282</v>
      </c>
      <c r="W166" s="192" t="s">
        <v>283</v>
      </c>
      <c r="X166" s="190" t="s">
        <v>284</v>
      </c>
      <c r="Y166" s="49" t="s">
        <v>285</v>
      </c>
      <c r="Z166" s="190" t="s">
        <v>286</v>
      </c>
      <c r="AA166" s="191" t="s">
        <v>286</v>
      </c>
      <c r="AB166" s="190" t="s">
        <v>287</v>
      </c>
      <c r="AC166" s="190" t="s">
        <v>288</v>
      </c>
      <c r="AD166" s="49" t="s">
        <v>289</v>
      </c>
      <c r="AE166" s="58" t="s">
        <v>290</v>
      </c>
      <c r="AF166" s="56" t="s">
        <v>291</v>
      </c>
      <c r="AG166" s="190" t="s">
        <v>292</v>
      </c>
      <c r="AH166" s="190" t="s">
        <v>293</v>
      </c>
      <c r="AI166" s="193" t="s">
        <v>215</v>
      </c>
      <c r="AJ166" s="190" t="s">
        <v>216</v>
      </c>
      <c r="AK166" s="194" t="s">
        <v>217</v>
      </c>
      <c r="AL166" s="195" t="s">
        <v>218</v>
      </c>
      <c r="AM166" s="196" t="s">
        <v>219</v>
      </c>
      <c r="AN166" s="197" t="s">
        <v>220</v>
      </c>
      <c r="AO166" s="198" t="s">
        <v>221</v>
      </c>
      <c r="AP166" s="51" t="s">
        <v>138</v>
      </c>
      <c r="AQ166" s="26" t="s">
        <v>139</v>
      </c>
      <c r="AR166" s="194" t="s">
        <v>140</v>
      </c>
      <c r="AS166" s="22" t="s">
        <v>141</v>
      </c>
      <c r="AT166" s="195" t="s">
        <v>142</v>
      </c>
      <c r="AU166" s="199" t="s">
        <v>143</v>
      </c>
      <c r="AV166" s="200" t="s">
        <v>144</v>
      </c>
      <c r="AW166" s="201" t="s">
        <v>145</v>
      </c>
      <c r="AX166" s="202" t="s">
        <v>146</v>
      </c>
      <c r="AY166" s="203" t="s">
        <v>147</v>
      </c>
      <c r="AZ166" s="200" t="s">
        <v>104</v>
      </c>
      <c r="BA166" s="41" t="s">
        <v>105</v>
      </c>
      <c r="BB166" s="591" t="str">
        <f t="shared" si="10"/>
        <v>TEMPLATE</v>
      </c>
      <c r="BC166" s="591" t="str">
        <f t="shared" si="11"/>
        <v>1. Ministries-MOFA-MOFA-LAW</v>
      </c>
      <c r="BD166" s="591" t="str">
        <f t="shared" si="12"/>
        <v>MOFA-MOFA-LAW</v>
      </c>
      <c r="BE166" s="591" t="str">
        <f t="shared" si="13"/>
        <v>NONE</v>
      </c>
      <c r="BF166" s="594">
        <f t="shared" si="14"/>
        <v>7</v>
      </c>
    </row>
    <row r="167" spans="1:58" ht="42" customHeight="1" x14ac:dyDescent="0.45">
      <c r="A167" s="42">
        <v>148</v>
      </c>
      <c r="B167" s="189" t="s">
        <v>1741</v>
      </c>
      <c r="C167" s="44" t="s">
        <v>1742</v>
      </c>
      <c r="D167" s="44" t="s">
        <v>1562</v>
      </c>
      <c r="E167" s="189" t="s">
        <v>557</v>
      </c>
      <c r="F167" s="45" t="s">
        <v>58</v>
      </c>
      <c r="G167" s="44" t="s">
        <v>59</v>
      </c>
      <c r="H167" s="44" t="s">
        <v>57</v>
      </c>
      <c r="I167" s="46" t="s">
        <v>61</v>
      </c>
      <c r="J167" s="46" t="s">
        <v>62</v>
      </c>
      <c r="K167" s="44" t="s">
        <v>558</v>
      </c>
      <c r="L167" s="66" t="s">
        <v>559</v>
      </c>
      <c r="M167" s="44" t="s">
        <v>1751</v>
      </c>
      <c r="N167" s="59" t="s">
        <v>275</v>
      </c>
      <c r="O167" s="48" t="s">
        <v>196</v>
      </c>
      <c r="P167" s="44" t="s">
        <v>561</v>
      </c>
      <c r="Q167" s="190" t="s">
        <v>562</v>
      </c>
      <c r="R167" s="190" t="s">
        <v>563</v>
      </c>
      <c r="S167" s="191" t="s">
        <v>564</v>
      </c>
      <c r="T167" s="190" t="s">
        <v>565</v>
      </c>
      <c r="U167" s="25" t="s">
        <v>566</v>
      </c>
      <c r="V167" s="190" t="s">
        <v>282</v>
      </c>
      <c r="W167" s="192" t="s">
        <v>283</v>
      </c>
      <c r="X167" s="190" t="s">
        <v>284</v>
      </c>
      <c r="Y167" s="49" t="s">
        <v>285</v>
      </c>
      <c r="Z167" s="190" t="s">
        <v>286</v>
      </c>
      <c r="AA167" s="191" t="s">
        <v>286</v>
      </c>
      <c r="AB167" s="190" t="s">
        <v>287</v>
      </c>
      <c r="AC167" s="190" t="s">
        <v>288</v>
      </c>
      <c r="AD167" s="49" t="s">
        <v>289</v>
      </c>
      <c r="AE167" s="58" t="s">
        <v>290</v>
      </c>
      <c r="AF167" s="56" t="s">
        <v>291</v>
      </c>
      <c r="AG167" s="190" t="s">
        <v>292</v>
      </c>
      <c r="AH167" s="190" t="s">
        <v>293</v>
      </c>
      <c r="AI167" s="193" t="s">
        <v>215</v>
      </c>
      <c r="AJ167" s="190" t="s">
        <v>216</v>
      </c>
      <c r="AK167" s="194" t="s">
        <v>217</v>
      </c>
      <c r="AL167" s="195" t="s">
        <v>218</v>
      </c>
      <c r="AM167" s="196" t="s">
        <v>219</v>
      </c>
      <c r="AN167" s="197" t="s">
        <v>220</v>
      </c>
      <c r="AO167" s="198" t="s">
        <v>221</v>
      </c>
      <c r="AP167" s="51" t="s">
        <v>138</v>
      </c>
      <c r="AQ167" s="26" t="s">
        <v>139</v>
      </c>
      <c r="AR167" s="194" t="s">
        <v>140</v>
      </c>
      <c r="AS167" s="22" t="s">
        <v>141</v>
      </c>
      <c r="AT167" s="195" t="s">
        <v>142</v>
      </c>
      <c r="AU167" s="199" t="s">
        <v>143</v>
      </c>
      <c r="AV167" s="200" t="s">
        <v>144</v>
      </c>
      <c r="AW167" s="201" t="s">
        <v>145</v>
      </c>
      <c r="AX167" s="202" t="s">
        <v>146</v>
      </c>
      <c r="AY167" s="203" t="s">
        <v>147</v>
      </c>
      <c r="AZ167" s="200" t="s">
        <v>567</v>
      </c>
      <c r="BA167" s="34" t="s">
        <v>320</v>
      </c>
      <c r="BB167" s="591" t="str">
        <f t="shared" si="10"/>
        <v>TEMPLATE</v>
      </c>
      <c r="BC167" s="591" t="str">
        <f t="shared" si="11"/>
        <v>1. Ministries-MOFA-NCA-ECC-2:2024</v>
      </c>
      <c r="BD167" s="591" t="str">
        <f t="shared" si="12"/>
        <v>MOFA-NCA-ECC-2-2024</v>
      </c>
      <c r="BE167" s="591" t="str">
        <f t="shared" si="13"/>
        <v>NCA-ECC-2-2024</v>
      </c>
      <c r="BF167" s="594">
        <f t="shared" si="14"/>
        <v>6</v>
      </c>
    </row>
    <row r="168" spans="1:58" ht="42" customHeight="1" x14ac:dyDescent="0.45">
      <c r="A168" s="204">
        <v>149</v>
      </c>
      <c r="B168" s="205" t="s">
        <v>1741</v>
      </c>
      <c r="C168" s="190" t="s">
        <v>1742</v>
      </c>
      <c r="D168" s="190" t="s">
        <v>1562</v>
      </c>
      <c r="E168" s="205" t="s">
        <v>382</v>
      </c>
      <c r="F168" s="192" t="s">
        <v>383</v>
      </c>
      <c r="G168" s="190" t="s">
        <v>384</v>
      </c>
      <c r="H168" s="190" t="s">
        <v>765</v>
      </c>
      <c r="I168" s="191" t="s">
        <v>250</v>
      </c>
      <c r="J168" s="191" t="s">
        <v>386</v>
      </c>
      <c r="K168" s="190" t="s">
        <v>558</v>
      </c>
      <c r="L168" s="66" t="s">
        <v>559</v>
      </c>
      <c r="M168" s="190" t="s">
        <v>1752</v>
      </c>
      <c r="N168" s="209" t="s">
        <v>275</v>
      </c>
      <c r="O168" s="207" t="s">
        <v>540</v>
      </c>
      <c r="P168" s="190" t="s">
        <v>380</v>
      </c>
      <c r="Q168" s="190" t="s">
        <v>390</v>
      </c>
      <c r="R168" s="190" t="s">
        <v>391</v>
      </c>
      <c r="S168" s="191" t="s">
        <v>392</v>
      </c>
      <c r="T168" s="190" t="s">
        <v>393</v>
      </c>
      <c r="U168" s="25" t="s">
        <v>394</v>
      </c>
      <c r="V168" s="190" t="s">
        <v>395</v>
      </c>
      <c r="W168" s="192" t="s">
        <v>396</v>
      </c>
      <c r="X168" s="190" t="s">
        <v>397</v>
      </c>
      <c r="Y168" s="49" t="s">
        <v>398</v>
      </c>
      <c r="Z168" s="190" t="s">
        <v>399</v>
      </c>
      <c r="AA168" s="191" t="s">
        <v>400</v>
      </c>
      <c r="AB168" s="190" t="s">
        <v>401</v>
      </c>
      <c r="AC168" s="190" t="s">
        <v>402</v>
      </c>
      <c r="AD168" s="49" t="s">
        <v>403</v>
      </c>
      <c r="AE168" s="50" t="s">
        <v>404</v>
      </c>
      <c r="AF168" s="60" t="s">
        <v>405</v>
      </c>
      <c r="AG168" s="190" t="s">
        <v>406</v>
      </c>
      <c r="AH168" s="190" t="s">
        <v>407</v>
      </c>
      <c r="AI168" s="193" t="s">
        <v>408</v>
      </c>
      <c r="AJ168" s="190" t="s">
        <v>409</v>
      </c>
      <c r="AK168" s="194" t="s">
        <v>410</v>
      </c>
      <c r="AL168" s="195" t="s">
        <v>411</v>
      </c>
      <c r="AM168" s="196" t="s">
        <v>412</v>
      </c>
      <c r="AN168" s="197" t="s">
        <v>413</v>
      </c>
      <c r="AO168" s="198" t="s">
        <v>414</v>
      </c>
      <c r="AP168" s="51" t="s">
        <v>415</v>
      </c>
      <c r="AQ168" s="26" t="s">
        <v>416</v>
      </c>
      <c r="AR168" s="194" t="s">
        <v>417</v>
      </c>
      <c r="AS168" s="22" t="s">
        <v>418</v>
      </c>
      <c r="AT168" s="195" t="s">
        <v>419</v>
      </c>
      <c r="AU168" s="199" t="s">
        <v>420</v>
      </c>
      <c r="AV168" s="200" t="s">
        <v>421</v>
      </c>
      <c r="AW168" s="201" t="s">
        <v>422</v>
      </c>
      <c r="AX168" s="202" t="s">
        <v>423</v>
      </c>
      <c r="AY168" s="203" t="s">
        <v>424</v>
      </c>
      <c r="AZ168" s="200" t="s">
        <v>425</v>
      </c>
      <c r="BA168" s="34" t="s">
        <v>320</v>
      </c>
      <c r="BB168" s="591" t="str">
        <f t="shared" si="10"/>
        <v>DEEP</v>
      </c>
      <c r="BC168" s="591" t="str">
        <f t="shared" si="11"/>
        <v>1. Ministries-MOFA-PDPL-2021</v>
      </c>
      <c r="BD168" s="591" t="str">
        <f t="shared" si="12"/>
        <v>MOFA-PDPL-2021</v>
      </c>
      <c r="BE168" s="591" t="str">
        <f t="shared" si="13"/>
        <v>NONE</v>
      </c>
      <c r="BF168" s="594">
        <f t="shared" si="14"/>
        <v>13</v>
      </c>
    </row>
    <row r="169" spans="1:58" ht="42" customHeight="1" x14ac:dyDescent="0.45">
      <c r="A169" s="42">
        <v>150</v>
      </c>
      <c r="B169" s="189" t="s">
        <v>1753</v>
      </c>
      <c r="C169" s="44" t="s">
        <v>1754</v>
      </c>
      <c r="D169" s="44" t="s">
        <v>1562</v>
      </c>
      <c r="E169" s="189" t="s">
        <v>1755</v>
      </c>
      <c r="F169" s="45" t="s">
        <v>1756</v>
      </c>
      <c r="G169" s="44" t="s">
        <v>1745</v>
      </c>
      <c r="H169" s="44" t="s">
        <v>1746</v>
      </c>
      <c r="I169" s="46" t="s">
        <v>1757</v>
      </c>
      <c r="J169" s="46" t="s">
        <v>310</v>
      </c>
      <c r="K169" s="44" t="s">
        <v>63</v>
      </c>
      <c r="L169" s="22" t="s">
        <v>64</v>
      </c>
      <c r="M169" s="44" t="s">
        <v>1748</v>
      </c>
      <c r="N169" s="55" t="s">
        <v>253</v>
      </c>
      <c r="O169" s="48" t="s">
        <v>1758</v>
      </c>
      <c r="P169" s="44" t="s">
        <v>1750</v>
      </c>
      <c r="Q169" s="190" t="s">
        <v>562</v>
      </c>
      <c r="R169" s="190" t="s">
        <v>563</v>
      </c>
      <c r="S169" s="191" t="s">
        <v>564</v>
      </c>
      <c r="T169" s="190" t="s">
        <v>565</v>
      </c>
      <c r="U169" s="25" t="s">
        <v>566</v>
      </c>
      <c r="V169" s="190" t="s">
        <v>282</v>
      </c>
      <c r="W169" s="192" t="s">
        <v>283</v>
      </c>
      <c r="X169" s="190" t="s">
        <v>284</v>
      </c>
      <c r="Y169" s="49" t="s">
        <v>285</v>
      </c>
      <c r="Z169" s="190" t="s">
        <v>286</v>
      </c>
      <c r="AA169" s="191" t="s">
        <v>286</v>
      </c>
      <c r="AB169" s="190" t="s">
        <v>287</v>
      </c>
      <c r="AC169" s="190" t="s">
        <v>288</v>
      </c>
      <c r="AD169" s="49" t="s">
        <v>289</v>
      </c>
      <c r="AE169" s="58" t="s">
        <v>290</v>
      </c>
      <c r="AF169" s="56" t="s">
        <v>291</v>
      </c>
      <c r="AG169" s="190" t="s">
        <v>292</v>
      </c>
      <c r="AH169" s="190" t="s">
        <v>293</v>
      </c>
      <c r="AI169" s="193" t="s">
        <v>215</v>
      </c>
      <c r="AJ169" s="190" t="s">
        <v>216</v>
      </c>
      <c r="AK169" s="194" t="s">
        <v>217</v>
      </c>
      <c r="AL169" s="195" t="s">
        <v>218</v>
      </c>
      <c r="AM169" s="196" t="s">
        <v>219</v>
      </c>
      <c r="AN169" s="197" t="s">
        <v>220</v>
      </c>
      <c r="AO169" s="198" t="s">
        <v>221</v>
      </c>
      <c r="AP169" s="51" t="s">
        <v>138</v>
      </c>
      <c r="AQ169" s="26" t="s">
        <v>139</v>
      </c>
      <c r="AR169" s="194" t="s">
        <v>140</v>
      </c>
      <c r="AS169" s="22" t="s">
        <v>141</v>
      </c>
      <c r="AT169" s="195" t="s">
        <v>142</v>
      </c>
      <c r="AU169" s="199" t="s">
        <v>143</v>
      </c>
      <c r="AV169" s="200" t="s">
        <v>144</v>
      </c>
      <c r="AW169" s="201" t="s">
        <v>145</v>
      </c>
      <c r="AX169" s="202" t="s">
        <v>146</v>
      </c>
      <c r="AY169" s="203" t="s">
        <v>147</v>
      </c>
      <c r="AZ169" s="200" t="s">
        <v>104</v>
      </c>
      <c r="BA169" s="41" t="s">
        <v>105</v>
      </c>
      <c r="BB169" s="591" t="str">
        <f t="shared" si="10"/>
        <v>TEMPLATE</v>
      </c>
      <c r="BC169" s="591" t="str">
        <f t="shared" si="11"/>
        <v>1. Ministries-MOF-MOF-LAW</v>
      </c>
      <c r="BD169" s="591" t="str">
        <f t="shared" si="12"/>
        <v>MOF-MOF-LAW</v>
      </c>
      <c r="BE169" s="591" t="str">
        <f t="shared" si="13"/>
        <v>NONE</v>
      </c>
      <c r="BF169" s="594">
        <f t="shared" si="14"/>
        <v>7</v>
      </c>
    </row>
    <row r="170" spans="1:58" ht="42" customHeight="1" x14ac:dyDescent="0.45">
      <c r="A170" s="204">
        <v>151</v>
      </c>
      <c r="B170" s="205" t="s">
        <v>1753</v>
      </c>
      <c r="C170" s="190" t="s">
        <v>1754</v>
      </c>
      <c r="D170" s="190" t="s">
        <v>1562</v>
      </c>
      <c r="E170" s="205" t="s">
        <v>557</v>
      </c>
      <c r="F170" s="192" t="s">
        <v>58</v>
      </c>
      <c r="G170" s="190" t="s">
        <v>59</v>
      </c>
      <c r="H170" s="190" t="s">
        <v>57</v>
      </c>
      <c r="I170" s="191" t="s">
        <v>61</v>
      </c>
      <c r="J170" s="191" t="s">
        <v>62</v>
      </c>
      <c r="K170" s="190" t="s">
        <v>558</v>
      </c>
      <c r="L170" s="66" t="s">
        <v>559</v>
      </c>
      <c r="M170" s="190" t="s">
        <v>1759</v>
      </c>
      <c r="N170" s="209" t="s">
        <v>275</v>
      </c>
      <c r="O170" s="207" t="s">
        <v>196</v>
      </c>
      <c r="P170" s="190" t="s">
        <v>561</v>
      </c>
      <c r="Q170" s="190" t="s">
        <v>562</v>
      </c>
      <c r="R170" s="190" t="s">
        <v>563</v>
      </c>
      <c r="S170" s="191" t="s">
        <v>564</v>
      </c>
      <c r="T170" s="190" t="s">
        <v>565</v>
      </c>
      <c r="U170" s="25" t="s">
        <v>566</v>
      </c>
      <c r="V170" s="190" t="s">
        <v>282</v>
      </c>
      <c r="W170" s="192" t="s">
        <v>283</v>
      </c>
      <c r="X170" s="190" t="s">
        <v>284</v>
      </c>
      <c r="Y170" s="49" t="s">
        <v>285</v>
      </c>
      <c r="Z170" s="190" t="s">
        <v>286</v>
      </c>
      <c r="AA170" s="191" t="s">
        <v>286</v>
      </c>
      <c r="AB170" s="190" t="s">
        <v>287</v>
      </c>
      <c r="AC170" s="190" t="s">
        <v>288</v>
      </c>
      <c r="AD170" s="49" t="s">
        <v>289</v>
      </c>
      <c r="AE170" s="58" t="s">
        <v>290</v>
      </c>
      <c r="AF170" s="56" t="s">
        <v>291</v>
      </c>
      <c r="AG170" s="190" t="s">
        <v>292</v>
      </c>
      <c r="AH170" s="190" t="s">
        <v>293</v>
      </c>
      <c r="AI170" s="193" t="s">
        <v>215</v>
      </c>
      <c r="AJ170" s="190" t="s">
        <v>216</v>
      </c>
      <c r="AK170" s="194" t="s">
        <v>217</v>
      </c>
      <c r="AL170" s="195" t="s">
        <v>218</v>
      </c>
      <c r="AM170" s="196" t="s">
        <v>219</v>
      </c>
      <c r="AN170" s="197" t="s">
        <v>220</v>
      </c>
      <c r="AO170" s="198" t="s">
        <v>221</v>
      </c>
      <c r="AP170" s="51" t="s">
        <v>138</v>
      </c>
      <c r="AQ170" s="26" t="s">
        <v>139</v>
      </c>
      <c r="AR170" s="194" t="s">
        <v>140</v>
      </c>
      <c r="AS170" s="22" t="s">
        <v>141</v>
      </c>
      <c r="AT170" s="195" t="s">
        <v>142</v>
      </c>
      <c r="AU170" s="199" t="s">
        <v>143</v>
      </c>
      <c r="AV170" s="200" t="s">
        <v>144</v>
      </c>
      <c r="AW170" s="201" t="s">
        <v>145</v>
      </c>
      <c r="AX170" s="202" t="s">
        <v>146</v>
      </c>
      <c r="AY170" s="203" t="s">
        <v>147</v>
      </c>
      <c r="AZ170" s="200" t="s">
        <v>567</v>
      </c>
      <c r="BA170" s="34" t="s">
        <v>320</v>
      </c>
      <c r="BB170" s="591" t="str">
        <f t="shared" si="10"/>
        <v>TEMPLATE</v>
      </c>
      <c r="BC170" s="591" t="str">
        <f t="shared" si="11"/>
        <v>1. Ministries-MOF-NCA-ECC-2:2024</v>
      </c>
      <c r="BD170" s="591" t="str">
        <f t="shared" si="12"/>
        <v>MOF-NCA-ECC-2-2024</v>
      </c>
      <c r="BE170" s="591" t="str">
        <f t="shared" si="13"/>
        <v>NCA-ECC-2-2024</v>
      </c>
      <c r="BF170" s="594">
        <f t="shared" si="14"/>
        <v>6</v>
      </c>
    </row>
    <row r="171" spans="1:58" ht="42" customHeight="1" x14ac:dyDescent="0.45">
      <c r="A171" s="42">
        <v>152</v>
      </c>
      <c r="B171" s="189" t="s">
        <v>1753</v>
      </c>
      <c r="C171" s="44" t="s">
        <v>1754</v>
      </c>
      <c r="D171" s="44" t="s">
        <v>1562</v>
      </c>
      <c r="E171" s="189" t="s">
        <v>382</v>
      </c>
      <c r="F171" s="45" t="s">
        <v>383</v>
      </c>
      <c r="G171" s="44" t="s">
        <v>384</v>
      </c>
      <c r="H171" s="44" t="s">
        <v>765</v>
      </c>
      <c r="I171" s="46" t="s">
        <v>250</v>
      </c>
      <c r="J171" s="46" t="s">
        <v>386</v>
      </c>
      <c r="K171" s="44" t="s">
        <v>558</v>
      </c>
      <c r="L171" s="66" t="s">
        <v>559</v>
      </c>
      <c r="M171" s="44" t="s">
        <v>1760</v>
      </c>
      <c r="N171" s="59" t="s">
        <v>275</v>
      </c>
      <c r="O171" s="48" t="s">
        <v>540</v>
      </c>
      <c r="P171" s="44" t="s">
        <v>380</v>
      </c>
      <c r="Q171" s="190" t="s">
        <v>390</v>
      </c>
      <c r="R171" s="190" t="s">
        <v>391</v>
      </c>
      <c r="S171" s="191" t="s">
        <v>392</v>
      </c>
      <c r="T171" s="190" t="s">
        <v>393</v>
      </c>
      <c r="U171" s="25" t="s">
        <v>394</v>
      </c>
      <c r="V171" s="190" t="s">
        <v>395</v>
      </c>
      <c r="W171" s="192" t="s">
        <v>396</v>
      </c>
      <c r="X171" s="190" t="s">
        <v>397</v>
      </c>
      <c r="Y171" s="49" t="s">
        <v>398</v>
      </c>
      <c r="Z171" s="190" t="s">
        <v>399</v>
      </c>
      <c r="AA171" s="191" t="s">
        <v>400</v>
      </c>
      <c r="AB171" s="190" t="s">
        <v>401</v>
      </c>
      <c r="AC171" s="190" t="s">
        <v>402</v>
      </c>
      <c r="AD171" s="49" t="s">
        <v>403</v>
      </c>
      <c r="AE171" s="50" t="s">
        <v>404</v>
      </c>
      <c r="AF171" s="60" t="s">
        <v>405</v>
      </c>
      <c r="AG171" s="190" t="s">
        <v>406</v>
      </c>
      <c r="AH171" s="190" t="s">
        <v>407</v>
      </c>
      <c r="AI171" s="193" t="s">
        <v>408</v>
      </c>
      <c r="AJ171" s="190" t="s">
        <v>409</v>
      </c>
      <c r="AK171" s="194" t="s">
        <v>410</v>
      </c>
      <c r="AL171" s="195" t="s">
        <v>411</v>
      </c>
      <c r="AM171" s="196" t="s">
        <v>412</v>
      </c>
      <c r="AN171" s="197" t="s">
        <v>413</v>
      </c>
      <c r="AO171" s="198" t="s">
        <v>414</v>
      </c>
      <c r="AP171" s="51" t="s">
        <v>415</v>
      </c>
      <c r="AQ171" s="26" t="s">
        <v>416</v>
      </c>
      <c r="AR171" s="194" t="s">
        <v>417</v>
      </c>
      <c r="AS171" s="22" t="s">
        <v>418</v>
      </c>
      <c r="AT171" s="195" t="s">
        <v>419</v>
      </c>
      <c r="AU171" s="199" t="s">
        <v>420</v>
      </c>
      <c r="AV171" s="200" t="s">
        <v>421</v>
      </c>
      <c r="AW171" s="201" t="s">
        <v>422</v>
      </c>
      <c r="AX171" s="202" t="s">
        <v>423</v>
      </c>
      <c r="AY171" s="203" t="s">
        <v>424</v>
      </c>
      <c r="AZ171" s="200" t="s">
        <v>425</v>
      </c>
      <c r="BA171" s="34" t="s">
        <v>320</v>
      </c>
      <c r="BB171" s="591" t="str">
        <f t="shared" si="10"/>
        <v>DEEP</v>
      </c>
      <c r="BC171" s="591" t="str">
        <f t="shared" si="11"/>
        <v>1. Ministries-MOF-PDPL-2021</v>
      </c>
      <c r="BD171" s="591" t="str">
        <f t="shared" si="12"/>
        <v>MOF-PDPL-2021</v>
      </c>
      <c r="BE171" s="591" t="str">
        <f t="shared" si="13"/>
        <v>NONE</v>
      </c>
      <c r="BF171" s="594">
        <f t="shared" si="14"/>
        <v>13</v>
      </c>
    </row>
    <row r="172" spans="1:58" ht="42" customHeight="1" x14ac:dyDescent="0.45">
      <c r="A172" s="204">
        <v>153</v>
      </c>
      <c r="B172" s="205" t="s">
        <v>1761</v>
      </c>
      <c r="C172" s="190" t="s">
        <v>1762</v>
      </c>
      <c r="D172" s="190" t="s">
        <v>1562</v>
      </c>
      <c r="E172" s="205" t="s">
        <v>1763</v>
      </c>
      <c r="F172" s="192" t="s">
        <v>1764</v>
      </c>
      <c r="G172" s="190" t="s">
        <v>1745</v>
      </c>
      <c r="H172" s="190" t="s">
        <v>1746</v>
      </c>
      <c r="I172" s="191" t="s">
        <v>1765</v>
      </c>
      <c r="J172" s="191" t="s">
        <v>310</v>
      </c>
      <c r="K172" s="190" t="s">
        <v>63</v>
      </c>
      <c r="L172" s="22" t="s">
        <v>64</v>
      </c>
      <c r="M172" s="190" t="s">
        <v>1748</v>
      </c>
      <c r="N172" s="208" t="s">
        <v>253</v>
      </c>
      <c r="O172" s="207" t="s">
        <v>1766</v>
      </c>
      <c r="P172" s="190" t="s">
        <v>1750</v>
      </c>
      <c r="Q172" s="190" t="s">
        <v>562</v>
      </c>
      <c r="R172" s="190" t="s">
        <v>563</v>
      </c>
      <c r="S172" s="191" t="s">
        <v>564</v>
      </c>
      <c r="T172" s="190" t="s">
        <v>565</v>
      </c>
      <c r="U172" s="25" t="s">
        <v>566</v>
      </c>
      <c r="V172" s="190" t="s">
        <v>282</v>
      </c>
      <c r="W172" s="192" t="s">
        <v>283</v>
      </c>
      <c r="X172" s="190" t="s">
        <v>284</v>
      </c>
      <c r="Y172" s="49" t="s">
        <v>285</v>
      </c>
      <c r="Z172" s="190" t="s">
        <v>286</v>
      </c>
      <c r="AA172" s="191" t="s">
        <v>286</v>
      </c>
      <c r="AB172" s="190" t="s">
        <v>287</v>
      </c>
      <c r="AC172" s="190" t="s">
        <v>288</v>
      </c>
      <c r="AD172" s="49" t="s">
        <v>289</v>
      </c>
      <c r="AE172" s="58" t="s">
        <v>290</v>
      </c>
      <c r="AF172" s="56" t="s">
        <v>291</v>
      </c>
      <c r="AG172" s="190" t="s">
        <v>292</v>
      </c>
      <c r="AH172" s="190" t="s">
        <v>293</v>
      </c>
      <c r="AI172" s="193" t="s">
        <v>215</v>
      </c>
      <c r="AJ172" s="190" t="s">
        <v>216</v>
      </c>
      <c r="AK172" s="194" t="s">
        <v>217</v>
      </c>
      <c r="AL172" s="195" t="s">
        <v>218</v>
      </c>
      <c r="AM172" s="196" t="s">
        <v>219</v>
      </c>
      <c r="AN172" s="197" t="s">
        <v>220</v>
      </c>
      <c r="AO172" s="198" t="s">
        <v>221</v>
      </c>
      <c r="AP172" s="51" t="s">
        <v>138</v>
      </c>
      <c r="AQ172" s="26" t="s">
        <v>139</v>
      </c>
      <c r="AR172" s="194" t="s">
        <v>140</v>
      </c>
      <c r="AS172" s="22" t="s">
        <v>141</v>
      </c>
      <c r="AT172" s="195" t="s">
        <v>142</v>
      </c>
      <c r="AU172" s="199" t="s">
        <v>143</v>
      </c>
      <c r="AV172" s="200" t="s">
        <v>144</v>
      </c>
      <c r="AW172" s="201" t="s">
        <v>145</v>
      </c>
      <c r="AX172" s="202" t="s">
        <v>146</v>
      </c>
      <c r="AY172" s="203" t="s">
        <v>147</v>
      </c>
      <c r="AZ172" s="200" t="s">
        <v>104</v>
      </c>
      <c r="BA172" s="41" t="s">
        <v>105</v>
      </c>
      <c r="BB172" s="591" t="str">
        <f t="shared" si="10"/>
        <v>TEMPLATE</v>
      </c>
      <c r="BC172" s="591" t="str">
        <f t="shared" si="11"/>
        <v>1. Ministries-MOD-MOD-LAW</v>
      </c>
      <c r="BD172" s="591" t="str">
        <f t="shared" si="12"/>
        <v>MOD-MOD-LAW</v>
      </c>
      <c r="BE172" s="591" t="str">
        <f t="shared" si="13"/>
        <v>NONE</v>
      </c>
      <c r="BF172" s="594">
        <f t="shared" si="14"/>
        <v>7</v>
      </c>
    </row>
    <row r="173" spans="1:58" ht="42" customHeight="1" x14ac:dyDescent="0.45">
      <c r="A173" s="42">
        <v>154</v>
      </c>
      <c r="B173" s="189" t="s">
        <v>1761</v>
      </c>
      <c r="C173" s="44" t="s">
        <v>1762</v>
      </c>
      <c r="D173" s="44" t="s">
        <v>1562</v>
      </c>
      <c r="E173" s="189" t="s">
        <v>557</v>
      </c>
      <c r="F173" s="45" t="s">
        <v>58</v>
      </c>
      <c r="G173" s="44" t="s">
        <v>59</v>
      </c>
      <c r="H173" s="44" t="s">
        <v>57</v>
      </c>
      <c r="I173" s="46" t="s">
        <v>61</v>
      </c>
      <c r="J173" s="46" t="s">
        <v>62</v>
      </c>
      <c r="K173" s="44" t="s">
        <v>558</v>
      </c>
      <c r="L173" s="66" t="s">
        <v>559</v>
      </c>
      <c r="M173" s="44" t="s">
        <v>1767</v>
      </c>
      <c r="N173" s="59" t="s">
        <v>275</v>
      </c>
      <c r="O173" s="48" t="s">
        <v>196</v>
      </c>
      <c r="P173" s="44" t="s">
        <v>561</v>
      </c>
      <c r="Q173" s="190" t="s">
        <v>562</v>
      </c>
      <c r="R173" s="190" t="s">
        <v>563</v>
      </c>
      <c r="S173" s="191" t="s">
        <v>564</v>
      </c>
      <c r="T173" s="190" t="s">
        <v>565</v>
      </c>
      <c r="U173" s="25" t="s">
        <v>566</v>
      </c>
      <c r="V173" s="190" t="s">
        <v>282</v>
      </c>
      <c r="W173" s="192" t="s">
        <v>283</v>
      </c>
      <c r="X173" s="190" t="s">
        <v>284</v>
      </c>
      <c r="Y173" s="49" t="s">
        <v>285</v>
      </c>
      <c r="Z173" s="190" t="s">
        <v>286</v>
      </c>
      <c r="AA173" s="191" t="s">
        <v>286</v>
      </c>
      <c r="AB173" s="190" t="s">
        <v>287</v>
      </c>
      <c r="AC173" s="190" t="s">
        <v>288</v>
      </c>
      <c r="AD173" s="49" t="s">
        <v>289</v>
      </c>
      <c r="AE173" s="58" t="s">
        <v>290</v>
      </c>
      <c r="AF173" s="56" t="s">
        <v>291</v>
      </c>
      <c r="AG173" s="190" t="s">
        <v>292</v>
      </c>
      <c r="AH173" s="190" t="s">
        <v>293</v>
      </c>
      <c r="AI173" s="193" t="s">
        <v>215</v>
      </c>
      <c r="AJ173" s="190" t="s">
        <v>216</v>
      </c>
      <c r="AK173" s="194" t="s">
        <v>217</v>
      </c>
      <c r="AL173" s="195" t="s">
        <v>218</v>
      </c>
      <c r="AM173" s="196" t="s">
        <v>219</v>
      </c>
      <c r="AN173" s="197" t="s">
        <v>220</v>
      </c>
      <c r="AO173" s="198" t="s">
        <v>221</v>
      </c>
      <c r="AP173" s="51" t="s">
        <v>138</v>
      </c>
      <c r="AQ173" s="26" t="s">
        <v>139</v>
      </c>
      <c r="AR173" s="194" t="s">
        <v>140</v>
      </c>
      <c r="AS173" s="22" t="s">
        <v>141</v>
      </c>
      <c r="AT173" s="195" t="s">
        <v>142</v>
      </c>
      <c r="AU173" s="199" t="s">
        <v>143</v>
      </c>
      <c r="AV173" s="200" t="s">
        <v>144</v>
      </c>
      <c r="AW173" s="201" t="s">
        <v>145</v>
      </c>
      <c r="AX173" s="202" t="s">
        <v>146</v>
      </c>
      <c r="AY173" s="203" t="s">
        <v>147</v>
      </c>
      <c r="AZ173" s="200" t="s">
        <v>567</v>
      </c>
      <c r="BA173" s="34" t="s">
        <v>320</v>
      </c>
      <c r="BB173" s="591" t="str">
        <f t="shared" si="10"/>
        <v>TEMPLATE</v>
      </c>
      <c r="BC173" s="591" t="str">
        <f t="shared" si="11"/>
        <v>1. Ministries-MOD-NCA-ECC-2:2024</v>
      </c>
      <c r="BD173" s="591" t="str">
        <f t="shared" si="12"/>
        <v>MOD-NCA-ECC-2-2024</v>
      </c>
      <c r="BE173" s="591" t="str">
        <f t="shared" si="13"/>
        <v>NCA-ECC-2-2024</v>
      </c>
      <c r="BF173" s="594">
        <f t="shared" si="14"/>
        <v>6</v>
      </c>
    </row>
    <row r="174" spans="1:58" ht="42" customHeight="1" x14ac:dyDescent="0.45">
      <c r="A174" s="204">
        <v>155</v>
      </c>
      <c r="B174" s="205" t="s">
        <v>1761</v>
      </c>
      <c r="C174" s="190" t="s">
        <v>1762</v>
      </c>
      <c r="D174" s="190" t="s">
        <v>1562</v>
      </c>
      <c r="E174" s="205" t="s">
        <v>382</v>
      </c>
      <c r="F174" s="192" t="s">
        <v>383</v>
      </c>
      <c r="G174" s="190" t="s">
        <v>384</v>
      </c>
      <c r="H174" s="190" t="s">
        <v>765</v>
      </c>
      <c r="I174" s="191" t="s">
        <v>250</v>
      </c>
      <c r="J174" s="191" t="s">
        <v>386</v>
      </c>
      <c r="K174" s="190" t="s">
        <v>558</v>
      </c>
      <c r="L174" s="66" t="s">
        <v>559</v>
      </c>
      <c r="M174" s="190" t="s">
        <v>1768</v>
      </c>
      <c r="N174" s="209" t="s">
        <v>275</v>
      </c>
      <c r="O174" s="207" t="s">
        <v>540</v>
      </c>
      <c r="P174" s="190" t="s">
        <v>380</v>
      </c>
      <c r="Q174" s="190" t="s">
        <v>390</v>
      </c>
      <c r="R174" s="190" t="s">
        <v>391</v>
      </c>
      <c r="S174" s="191" t="s">
        <v>392</v>
      </c>
      <c r="T174" s="190" t="s">
        <v>393</v>
      </c>
      <c r="U174" s="25" t="s">
        <v>394</v>
      </c>
      <c r="V174" s="190" t="s">
        <v>395</v>
      </c>
      <c r="W174" s="192" t="s">
        <v>396</v>
      </c>
      <c r="X174" s="190" t="s">
        <v>397</v>
      </c>
      <c r="Y174" s="49" t="s">
        <v>398</v>
      </c>
      <c r="Z174" s="190" t="s">
        <v>399</v>
      </c>
      <c r="AA174" s="191" t="s">
        <v>400</v>
      </c>
      <c r="AB174" s="190" t="s">
        <v>401</v>
      </c>
      <c r="AC174" s="190" t="s">
        <v>402</v>
      </c>
      <c r="AD174" s="49" t="s">
        <v>403</v>
      </c>
      <c r="AE174" s="50" t="s">
        <v>404</v>
      </c>
      <c r="AF174" s="60" t="s">
        <v>405</v>
      </c>
      <c r="AG174" s="190" t="s">
        <v>406</v>
      </c>
      <c r="AH174" s="190" t="s">
        <v>407</v>
      </c>
      <c r="AI174" s="193" t="s">
        <v>408</v>
      </c>
      <c r="AJ174" s="190" t="s">
        <v>409</v>
      </c>
      <c r="AK174" s="194" t="s">
        <v>410</v>
      </c>
      <c r="AL174" s="195" t="s">
        <v>411</v>
      </c>
      <c r="AM174" s="196" t="s">
        <v>412</v>
      </c>
      <c r="AN174" s="197" t="s">
        <v>413</v>
      </c>
      <c r="AO174" s="198" t="s">
        <v>414</v>
      </c>
      <c r="AP174" s="51" t="s">
        <v>415</v>
      </c>
      <c r="AQ174" s="26" t="s">
        <v>416</v>
      </c>
      <c r="AR174" s="194" t="s">
        <v>417</v>
      </c>
      <c r="AS174" s="22" t="s">
        <v>418</v>
      </c>
      <c r="AT174" s="195" t="s">
        <v>419</v>
      </c>
      <c r="AU174" s="199" t="s">
        <v>420</v>
      </c>
      <c r="AV174" s="200" t="s">
        <v>421</v>
      </c>
      <c r="AW174" s="201" t="s">
        <v>422</v>
      </c>
      <c r="AX174" s="202" t="s">
        <v>423</v>
      </c>
      <c r="AY174" s="203" t="s">
        <v>424</v>
      </c>
      <c r="AZ174" s="200" t="s">
        <v>425</v>
      </c>
      <c r="BA174" s="34" t="s">
        <v>320</v>
      </c>
      <c r="BB174" s="591" t="str">
        <f t="shared" si="10"/>
        <v>DEEP</v>
      </c>
      <c r="BC174" s="591" t="str">
        <f t="shared" si="11"/>
        <v>1. Ministries-MOD-PDPL-2021</v>
      </c>
      <c r="BD174" s="591" t="str">
        <f t="shared" si="12"/>
        <v>MOD-PDPL-2021</v>
      </c>
      <c r="BE174" s="591" t="str">
        <f t="shared" si="13"/>
        <v>NONE</v>
      </c>
      <c r="BF174" s="594">
        <f t="shared" si="14"/>
        <v>13</v>
      </c>
    </row>
    <row r="175" spans="1:58" ht="42" customHeight="1" x14ac:dyDescent="0.45">
      <c r="A175" s="42">
        <v>156</v>
      </c>
      <c r="B175" s="189" t="s">
        <v>1769</v>
      </c>
      <c r="C175" s="44" t="s">
        <v>1770</v>
      </c>
      <c r="D175" s="44" t="s">
        <v>1562</v>
      </c>
      <c r="E175" s="189" t="s">
        <v>1771</v>
      </c>
      <c r="F175" s="45" t="s">
        <v>1772</v>
      </c>
      <c r="G175" s="44" t="s">
        <v>1745</v>
      </c>
      <c r="H175" s="44" t="s">
        <v>1746</v>
      </c>
      <c r="I175" s="46" t="s">
        <v>754</v>
      </c>
      <c r="J175" s="46" t="s">
        <v>310</v>
      </c>
      <c r="K175" s="44" t="s">
        <v>63</v>
      </c>
      <c r="L175" s="22" t="s">
        <v>64</v>
      </c>
      <c r="M175" s="44" t="s">
        <v>1748</v>
      </c>
      <c r="N175" s="55" t="s">
        <v>253</v>
      </c>
      <c r="O175" s="48" t="s">
        <v>1773</v>
      </c>
      <c r="P175" s="44" t="s">
        <v>1750</v>
      </c>
      <c r="Q175" s="190" t="s">
        <v>562</v>
      </c>
      <c r="R175" s="190" t="s">
        <v>563</v>
      </c>
      <c r="S175" s="191" t="s">
        <v>564</v>
      </c>
      <c r="T175" s="190" t="s">
        <v>565</v>
      </c>
      <c r="U175" s="25" t="s">
        <v>566</v>
      </c>
      <c r="V175" s="190" t="s">
        <v>282</v>
      </c>
      <c r="W175" s="192" t="s">
        <v>283</v>
      </c>
      <c r="X175" s="190" t="s">
        <v>284</v>
      </c>
      <c r="Y175" s="49" t="s">
        <v>285</v>
      </c>
      <c r="Z175" s="190" t="s">
        <v>286</v>
      </c>
      <c r="AA175" s="191" t="s">
        <v>286</v>
      </c>
      <c r="AB175" s="190" t="s">
        <v>287</v>
      </c>
      <c r="AC175" s="190" t="s">
        <v>288</v>
      </c>
      <c r="AD175" s="49" t="s">
        <v>289</v>
      </c>
      <c r="AE175" s="58" t="s">
        <v>290</v>
      </c>
      <c r="AF175" s="56" t="s">
        <v>291</v>
      </c>
      <c r="AG175" s="190" t="s">
        <v>292</v>
      </c>
      <c r="AH175" s="190" t="s">
        <v>293</v>
      </c>
      <c r="AI175" s="193" t="s">
        <v>215</v>
      </c>
      <c r="AJ175" s="190" t="s">
        <v>216</v>
      </c>
      <c r="AK175" s="194" t="s">
        <v>217</v>
      </c>
      <c r="AL175" s="195" t="s">
        <v>218</v>
      </c>
      <c r="AM175" s="196" t="s">
        <v>219</v>
      </c>
      <c r="AN175" s="197" t="s">
        <v>220</v>
      </c>
      <c r="AO175" s="198" t="s">
        <v>221</v>
      </c>
      <c r="AP175" s="51" t="s">
        <v>138</v>
      </c>
      <c r="AQ175" s="26" t="s">
        <v>139</v>
      </c>
      <c r="AR175" s="194" t="s">
        <v>140</v>
      </c>
      <c r="AS175" s="22" t="s">
        <v>141</v>
      </c>
      <c r="AT175" s="195" t="s">
        <v>142</v>
      </c>
      <c r="AU175" s="199" t="s">
        <v>143</v>
      </c>
      <c r="AV175" s="200" t="s">
        <v>144</v>
      </c>
      <c r="AW175" s="201" t="s">
        <v>145</v>
      </c>
      <c r="AX175" s="202" t="s">
        <v>146</v>
      </c>
      <c r="AY175" s="203" t="s">
        <v>147</v>
      </c>
      <c r="AZ175" s="200" t="s">
        <v>104</v>
      </c>
      <c r="BA175" s="41" t="s">
        <v>105</v>
      </c>
      <c r="BB175" s="591" t="str">
        <f t="shared" si="10"/>
        <v>TEMPLATE</v>
      </c>
      <c r="BC175" s="591" t="str">
        <f t="shared" si="11"/>
        <v>1. Ministries-MOHAJ-MOHAJ-LAW</v>
      </c>
      <c r="BD175" s="591" t="str">
        <f t="shared" si="12"/>
        <v>MOHAJ-MOHAJ-LAW</v>
      </c>
      <c r="BE175" s="591" t="str">
        <f t="shared" si="13"/>
        <v>NONE</v>
      </c>
      <c r="BF175" s="594">
        <f t="shared" si="14"/>
        <v>7</v>
      </c>
    </row>
    <row r="176" spans="1:58" ht="42" customHeight="1" x14ac:dyDescent="0.45">
      <c r="A176" s="204">
        <v>157</v>
      </c>
      <c r="B176" s="205" t="s">
        <v>1769</v>
      </c>
      <c r="C176" s="190" t="s">
        <v>1770</v>
      </c>
      <c r="D176" s="190" t="s">
        <v>1562</v>
      </c>
      <c r="E176" s="205" t="s">
        <v>557</v>
      </c>
      <c r="F176" s="192" t="s">
        <v>58</v>
      </c>
      <c r="G176" s="190" t="s">
        <v>59</v>
      </c>
      <c r="H176" s="190" t="s">
        <v>57</v>
      </c>
      <c r="I176" s="191" t="s">
        <v>61</v>
      </c>
      <c r="J176" s="191" t="s">
        <v>62</v>
      </c>
      <c r="K176" s="190" t="s">
        <v>558</v>
      </c>
      <c r="L176" s="66" t="s">
        <v>559</v>
      </c>
      <c r="M176" s="190" t="s">
        <v>1774</v>
      </c>
      <c r="N176" s="209" t="s">
        <v>275</v>
      </c>
      <c r="O176" s="207" t="s">
        <v>196</v>
      </c>
      <c r="P176" s="190" t="s">
        <v>561</v>
      </c>
      <c r="Q176" s="190" t="s">
        <v>562</v>
      </c>
      <c r="R176" s="190" t="s">
        <v>563</v>
      </c>
      <c r="S176" s="191" t="s">
        <v>564</v>
      </c>
      <c r="T176" s="190" t="s">
        <v>565</v>
      </c>
      <c r="U176" s="25" t="s">
        <v>566</v>
      </c>
      <c r="V176" s="190" t="s">
        <v>282</v>
      </c>
      <c r="W176" s="192" t="s">
        <v>283</v>
      </c>
      <c r="X176" s="190" t="s">
        <v>284</v>
      </c>
      <c r="Y176" s="49" t="s">
        <v>285</v>
      </c>
      <c r="Z176" s="190" t="s">
        <v>286</v>
      </c>
      <c r="AA176" s="191" t="s">
        <v>286</v>
      </c>
      <c r="AB176" s="190" t="s">
        <v>287</v>
      </c>
      <c r="AC176" s="190" t="s">
        <v>288</v>
      </c>
      <c r="AD176" s="49" t="s">
        <v>289</v>
      </c>
      <c r="AE176" s="58" t="s">
        <v>290</v>
      </c>
      <c r="AF176" s="56" t="s">
        <v>291</v>
      </c>
      <c r="AG176" s="190" t="s">
        <v>292</v>
      </c>
      <c r="AH176" s="190" t="s">
        <v>293</v>
      </c>
      <c r="AI176" s="193" t="s">
        <v>215</v>
      </c>
      <c r="AJ176" s="190" t="s">
        <v>216</v>
      </c>
      <c r="AK176" s="194" t="s">
        <v>217</v>
      </c>
      <c r="AL176" s="195" t="s">
        <v>218</v>
      </c>
      <c r="AM176" s="196" t="s">
        <v>219</v>
      </c>
      <c r="AN176" s="197" t="s">
        <v>220</v>
      </c>
      <c r="AO176" s="198" t="s">
        <v>221</v>
      </c>
      <c r="AP176" s="51" t="s">
        <v>138</v>
      </c>
      <c r="AQ176" s="26" t="s">
        <v>139</v>
      </c>
      <c r="AR176" s="194" t="s">
        <v>140</v>
      </c>
      <c r="AS176" s="22" t="s">
        <v>141</v>
      </c>
      <c r="AT176" s="195" t="s">
        <v>142</v>
      </c>
      <c r="AU176" s="199" t="s">
        <v>143</v>
      </c>
      <c r="AV176" s="200" t="s">
        <v>144</v>
      </c>
      <c r="AW176" s="201" t="s">
        <v>145</v>
      </c>
      <c r="AX176" s="202" t="s">
        <v>146</v>
      </c>
      <c r="AY176" s="203" t="s">
        <v>147</v>
      </c>
      <c r="AZ176" s="200" t="s">
        <v>567</v>
      </c>
      <c r="BA176" s="34" t="s">
        <v>320</v>
      </c>
      <c r="BB176" s="591" t="str">
        <f t="shared" si="10"/>
        <v>TEMPLATE</v>
      </c>
      <c r="BC176" s="591" t="str">
        <f t="shared" si="11"/>
        <v>1. Ministries-MOHAJ-NCA-ECC-2:2024</v>
      </c>
      <c r="BD176" s="591" t="str">
        <f t="shared" si="12"/>
        <v>MOHAJ-NCA-ECC-2-2024</v>
      </c>
      <c r="BE176" s="591" t="str">
        <f t="shared" si="13"/>
        <v>NCA-ECC-2-2024</v>
      </c>
      <c r="BF176" s="594">
        <f t="shared" si="14"/>
        <v>6</v>
      </c>
    </row>
    <row r="177" spans="1:58" ht="42" customHeight="1" x14ac:dyDescent="0.45">
      <c r="A177" s="42">
        <v>158</v>
      </c>
      <c r="B177" s="189" t="s">
        <v>1769</v>
      </c>
      <c r="C177" s="44" t="s">
        <v>1770</v>
      </c>
      <c r="D177" s="44" t="s">
        <v>1562</v>
      </c>
      <c r="E177" s="189" t="s">
        <v>382</v>
      </c>
      <c r="F177" s="45" t="s">
        <v>383</v>
      </c>
      <c r="G177" s="44" t="s">
        <v>384</v>
      </c>
      <c r="H177" s="44" t="s">
        <v>765</v>
      </c>
      <c r="I177" s="46" t="s">
        <v>250</v>
      </c>
      <c r="J177" s="46" t="s">
        <v>386</v>
      </c>
      <c r="K177" s="44" t="s">
        <v>558</v>
      </c>
      <c r="L177" s="66" t="s">
        <v>559</v>
      </c>
      <c r="M177" s="44" t="s">
        <v>1775</v>
      </c>
      <c r="N177" s="59" t="s">
        <v>275</v>
      </c>
      <c r="O177" s="48" t="s">
        <v>540</v>
      </c>
      <c r="P177" s="44" t="s">
        <v>380</v>
      </c>
      <c r="Q177" s="190" t="s">
        <v>390</v>
      </c>
      <c r="R177" s="190" t="s">
        <v>391</v>
      </c>
      <c r="S177" s="191" t="s">
        <v>392</v>
      </c>
      <c r="T177" s="190" t="s">
        <v>393</v>
      </c>
      <c r="U177" s="25" t="s">
        <v>394</v>
      </c>
      <c r="V177" s="190" t="s">
        <v>395</v>
      </c>
      <c r="W177" s="192" t="s">
        <v>396</v>
      </c>
      <c r="X177" s="190" t="s">
        <v>397</v>
      </c>
      <c r="Y177" s="49" t="s">
        <v>398</v>
      </c>
      <c r="Z177" s="190" t="s">
        <v>399</v>
      </c>
      <c r="AA177" s="191" t="s">
        <v>400</v>
      </c>
      <c r="AB177" s="190" t="s">
        <v>401</v>
      </c>
      <c r="AC177" s="190" t="s">
        <v>402</v>
      </c>
      <c r="AD177" s="49" t="s">
        <v>403</v>
      </c>
      <c r="AE177" s="50" t="s">
        <v>404</v>
      </c>
      <c r="AF177" s="60" t="s">
        <v>405</v>
      </c>
      <c r="AG177" s="190" t="s">
        <v>406</v>
      </c>
      <c r="AH177" s="190" t="s">
        <v>407</v>
      </c>
      <c r="AI177" s="193" t="s">
        <v>408</v>
      </c>
      <c r="AJ177" s="190" t="s">
        <v>409</v>
      </c>
      <c r="AK177" s="194" t="s">
        <v>410</v>
      </c>
      <c r="AL177" s="195" t="s">
        <v>411</v>
      </c>
      <c r="AM177" s="196" t="s">
        <v>412</v>
      </c>
      <c r="AN177" s="197" t="s">
        <v>413</v>
      </c>
      <c r="AO177" s="198" t="s">
        <v>414</v>
      </c>
      <c r="AP177" s="51" t="s">
        <v>415</v>
      </c>
      <c r="AQ177" s="26" t="s">
        <v>416</v>
      </c>
      <c r="AR177" s="194" t="s">
        <v>417</v>
      </c>
      <c r="AS177" s="22" t="s">
        <v>418</v>
      </c>
      <c r="AT177" s="195" t="s">
        <v>419</v>
      </c>
      <c r="AU177" s="199" t="s">
        <v>420</v>
      </c>
      <c r="AV177" s="200" t="s">
        <v>421</v>
      </c>
      <c r="AW177" s="201" t="s">
        <v>422</v>
      </c>
      <c r="AX177" s="202" t="s">
        <v>423</v>
      </c>
      <c r="AY177" s="203" t="s">
        <v>424</v>
      </c>
      <c r="AZ177" s="200" t="s">
        <v>425</v>
      </c>
      <c r="BA177" s="34" t="s">
        <v>320</v>
      </c>
      <c r="BB177" s="591" t="str">
        <f t="shared" si="10"/>
        <v>DEEP</v>
      </c>
      <c r="BC177" s="591" t="str">
        <f t="shared" si="11"/>
        <v>1. Ministries-MOHAJ-PDPL-2021</v>
      </c>
      <c r="BD177" s="591" t="str">
        <f t="shared" si="12"/>
        <v>MOHAJ-PDPL-2021</v>
      </c>
      <c r="BE177" s="591" t="str">
        <f t="shared" si="13"/>
        <v>NONE</v>
      </c>
      <c r="BF177" s="594">
        <f t="shared" si="14"/>
        <v>13</v>
      </c>
    </row>
    <row r="178" spans="1:58" ht="42" customHeight="1" x14ac:dyDescent="0.45">
      <c r="A178" s="204">
        <v>159</v>
      </c>
      <c r="B178" s="205" t="s">
        <v>1776</v>
      </c>
      <c r="C178" s="190" t="s">
        <v>1777</v>
      </c>
      <c r="D178" s="190" t="s">
        <v>1562</v>
      </c>
      <c r="E178" s="205" t="s">
        <v>1778</v>
      </c>
      <c r="F178" s="192" t="s">
        <v>1779</v>
      </c>
      <c r="G178" s="190" t="s">
        <v>1745</v>
      </c>
      <c r="H178" s="190" t="s">
        <v>1746</v>
      </c>
      <c r="I178" s="191" t="s">
        <v>1780</v>
      </c>
      <c r="J178" s="191" t="s">
        <v>310</v>
      </c>
      <c r="K178" s="190" t="s">
        <v>63</v>
      </c>
      <c r="L178" s="22" t="s">
        <v>64</v>
      </c>
      <c r="M178" s="190" t="s">
        <v>1748</v>
      </c>
      <c r="N178" s="208" t="s">
        <v>253</v>
      </c>
      <c r="O178" s="207" t="s">
        <v>1781</v>
      </c>
      <c r="P178" s="190" t="s">
        <v>1750</v>
      </c>
      <c r="Q178" s="190" t="s">
        <v>562</v>
      </c>
      <c r="R178" s="190" t="s">
        <v>563</v>
      </c>
      <c r="S178" s="191" t="s">
        <v>564</v>
      </c>
      <c r="T178" s="190" t="s">
        <v>565</v>
      </c>
      <c r="U178" s="25" t="s">
        <v>566</v>
      </c>
      <c r="V178" s="190" t="s">
        <v>282</v>
      </c>
      <c r="W178" s="192" t="s">
        <v>283</v>
      </c>
      <c r="X178" s="190" t="s">
        <v>284</v>
      </c>
      <c r="Y178" s="49" t="s">
        <v>285</v>
      </c>
      <c r="Z178" s="190" t="s">
        <v>286</v>
      </c>
      <c r="AA178" s="191" t="s">
        <v>286</v>
      </c>
      <c r="AB178" s="190" t="s">
        <v>287</v>
      </c>
      <c r="AC178" s="190" t="s">
        <v>288</v>
      </c>
      <c r="AD178" s="49" t="s">
        <v>289</v>
      </c>
      <c r="AE178" s="58" t="s">
        <v>290</v>
      </c>
      <c r="AF178" s="56" t="s">
        <v>291</v>
      </c>
      <c r="AG178" s="190" t="s">
        <v>292</v>
      </c>
      <c r="AH178" s="190" t="s">
        <v>293</v>
      </c>
      <c r="AI178" s="193" t="s">
        <v>215</v>
      </c>
      <c r="AJ178" s="190" t="s">
        <v>216</v>
      </c>
      <c r="AK178" s="194" t="s">
        <v>217</v>
      </c>
      <c r="AL178" s="195" t="s">
        <v>218</v>
      </c>
      <c r="AM178" s="196" t="s">
        <v>219</v>
      </c>
      <c r="AN178" s="197" t="s">
        <v>220</v>
      </c>
      <c r="AO178" s="198" t="s">
        <v>221</v>
      </c>
      <c r="AP178" s="51" t="s">
        <v>138</v>
      </c>
      <c r="AQ178" s="26" t="s">
        <v>139</v>
      </c>
      <c r="AR178" s="194" t="s">
        <v>140</v>
      </c>
      <c r="AS178" s="22" t="s">
        <v>141</v>
      </c>
      <c r="AT178" s="195" t="s">
        <v>142</v>
      </c>
      <c r="AU178" s="199" t="s">
        <v>143</v>
      </c>
      <c r="AV178" s="200" t="s">
        <v>144</v>
      </c>
      <c r="AW178" s="201" t="s">
        <v>145</v>
      </c>
      <c r="AX178" s="202" t="s">
        <v>146</v>
      </c>
      <c r="AY178" s="203" t="s">
        <v>147</v>
      </c>
      <c r="AZ178" s="200" t="s">
        <v>104</v>
      </c>
      <c r="BA178" s="41" t="s">
        <v>105</v>
      </c>
      <c r="BB178" s="591" t="str">
        <f t="shared" si="10"/>
        <v>TEMPLATE</v>
      </c>
      <c r="BC178" s="591" t="str">
        <f t="shared" si="11"/>
        <v>1. Ministries-MONG-MONG-LAW</v>
      </c>
      <c r="BD178" s="591" t="str">
        <f t="shared" si="12"/>
        <v>MONG-MONG-LAW</v>
      </c>
      <c r="BE178" s="591" t="str">
        <f t="shared" si="13"/>
        <v>NONE</v>
      </c>
      <c r="BF178" s="594">
        <f t="shared" si="14"/>
        <v>7</v>
      </c>
    </row>
    <row r="179" spans="1:58" ht="42" customHeight="1" x14ac:dyDescent="0.45">
      <c r="A179" s="42">
        <v>160</v>
      </c>
      <c r="B179" s="189" t="s">
        <v>1776</v>
      </c>
      <c r="C179" s="44" t="s">
        <v>1777</v>
      </c>
      <c r="D179" s="44" t="s">
        <v>1562</v>
      </c>
      <c r="E179" s="189" t="s">
        <v>557</v>
      </c>
      <c r="F179" s="45" t="s">
        <v>58</v>
      </c>
      <c r="G179" s="44" t="s">
        <v>59</v>
      </c>
      <c r="H179" s="44" t="s">
        <v>57</v>
      </c>
      <c r="I179" s="46" t="s">
        <v>61</v>
      </c>
      <c r="J179" s="46" t="s">
        <v>62</v>
      </c>
      <c r="K179" s="44" t="s">
        <v>558</v>
      </c>
      <c r="L179" s="66" t="s">
        <v>559</v>
      </c>
      <c r="M179" s="44" t="s">
        <v>1782</v>
      </c>
      <c r="N179" s="59" t="s">
        <v>275</v>
      </c>
      <c r="O179" s="48" t="s">
        <v>196</v>
      </c>
      <c r="P179" s="44" t="s">
        <v>561</v>
      </c>
      <c r="Q179" s="190" t="s">
        <v>562</v>
      </c>
      <c r="R179" s="190" t="s">
        <v>563</v>
      </c>
      <c r="S179" s="191" t="s">
        <v>564</v>
      </c>
      <c r="T179" s="190" t="s">
        <v>565</v>
      </c>
      <c r="U179" s="25" t="s">
        <v>566</v>
      </c>
      <c r="V179" s="190" t="s">
        <v>282</v>
      </c>
      <c r="W179" s="192" t="s">
        <v>283</v>
      </c>
      <c r="X179" s="190" t="s">
        <v>284</v>
      </c>
      <c r="Y179" s="49" t="s">
        <v>285</v>
      </c>
      <c r="Z179" s="190" t="s">
        <v>286</v>
      </c>
      <c r="AA179" s="191" t="s">
        <v>286</v>
      </c>
      <c r="AB179" s="190" t="s">
        <v>287</v>
      </c>
      <c r="AC179" s="190" t="s">
        <v>288</v>
      </c>
      <c r="AD179" s="49" t="s">
        <v>289</v>
      </c>
      <c r="AE179" s="58" t="s">
        <v>290</v>
      </c>
      <c r="AF179" s="56" t="s">
        <v>291</v>
      </c>
      <c r="AG179" s="190" t="s">
        <v>292</v>
      </c>
      <c r="AH179" s="190" t="s">
        <v>293</v>
      </c>
      <c r="AI179" s="193" t="s">
        <v>215</v>
      </c>
      <c r="AJ179" s="190" t="s">
        <v>216</v>
      </c>
      <c r="AK179" s="194" t="s">
        <v>217</v>
      </c>
      <c r="AL179" s="195" t="s">
        <v>218</v>
      </c>
      <c r="AM179" s="196" t="s">
        <v>219</v>
      </c>
      <c r="AN179" s="197" t="s">
        <v>220</v>
      </c>
      <c r="AO179" s="198" t="s">
        <v>221</v>
      </c>
      <c r="AP179" s="51" t="s">
        <v>138</v>
      </c>
      <c r="AQ179" s="26" t="s">
        <v>139</v>
      </c>
      <c r="AR179" s="194" t="s">
        <v>140</v>
      </c>
      <c r="AS179" s="22" t="s">
        <v>141</v>
      </c>
      <c r="AT179" s="195" t="s">
        <v>142</v>
      </c>
      <c r="AU179" s="199" t="s">
        <v>143</v>
      </c>
      <c r="AV179" s="200" t="s">
        <v>144</v>
      </c>
      <c r="AW179" s="201" t="s">
        <v>145</v>
      </c>
      <c r="AX179" s="202" t="s">
        <v>146</v>
      </c>
      <c r="AY179" s="203" t="s">
        <v>147</v>
      </c>
      <c r="AZ179" s="200" t="s">
        <v>567</v>
      </c>
      <c r="BA179" s="34" t="s">
        <v>320</v>
      </c>
      <c r="BB179" s="591" t="str">
        <f t="shared" si="10"/>
        <v>TEMPLATE</v>
      </c>
      <c r="BC179" s="591" t="str">
        <f t="shared" si="11"/>
        <v>1. Ministries-MONG-NCA-ECC-2:2024</v>
      </c>
      <c r="BD179" s="591" t="str">
        <f t="shared" si="12"/>
        <v>MONG-NCA-ECC-2-2024</v>
      </c>
      <c r="BE179" s="591" t="str">
        <f t="shared" si="13"/>
        <v>NCA-ECC-2-2024</v>
      </c>
      <c r="BF179" s="594">
        <f t="shared" si="14"/>
        <v>6</v>
      </c>
    </row>
    <row r="180" spans="1:58" ht="42" customHeight="1" x14ac:dyDescent="0.45">
      <c r="A180" s="204">
        <v>161</v>
      </c>
      <c r="B180" s="205" t="s">
        <v>1776</v>
      </c>
      <c r="C180" s="190" t="s">
        <v>1777</v>
      </c>
      <c r="D180" s="190" t="s">
        <v>1562</v>
      </c>
      <c r="E180" s="205" t="s">
        <v>382</v>
      </c>
      <c r="F180" s="192" t="s">
        <v>383</v>
      </c>
      <c r="G180" s="190" t="s">
        <v>384</v>
      </c>
      <c r="H180" s="190" t="s">
        <v>765</v>
      </c>
      <c r="I180" s="191" t="s">
        <v>250</v>
      </c>
      <c r="J180" s="191" t="s">
        <v>386</v>
      </c>
      <c r="K180" s="190" t="s">
        <v>558</v>
      </c>
      <c r="L180" s="66" t="s">
        <v>559</v>
      </c>
      <c r="M180" s="190" t="s">
        <v>1783</v>
      </c>
      <c r="N180" s="209" t="s">
        <v>275</v>
      </c>
      <c r="O180" s="207" t="s">
        <v>540</v>
      </c>
      <c r="P180" s="190" t="s">
        <v>380</v>
      </c>
      <c r="Q180" s="190" t="s">
        <v>390</v>
      </c>
      <c r="R180" s="190" t="s">
        <v>391</v>
      </c>
      <c r="S180" s="191" t="s">
        <v>392</v>
      </c>
      <c r="T180" s="190" t="s">
        <v>393</v>
      </c>
      <c r="U180" s="25" t="s">
        <v>394</v>
      </c>
      <c r="V180" s="190" t="s">
        <v>395</v>
      </c>
      <c r="W180" s="192" t="s">
        <v>396</v>
      </c>
      <c r="X180" s="190" t="s">
        <v>397</v>
      </c>
      <c r="Y180" s="49" t="s">
        <v>398</v>
      </c>
      <c r="Z180" s="190" t="s">
        <v>399</v>
      </c>
      <c r="AA180" s="191" t="s">
        <v>400</v>
      </c>
      <c r="AB180" s="190" t="s">
        <v>401</v>
      </c>
      <c r="AC180" s="190" t="s">
        <v>402</v>
      </c>
      <c r="AD180" s="49" t="s">
        <v>403</v>
      </c>
      <c r="AE180" s="50" t="s">
        <v>404</v>
      </c>
      <c r="AF180" s="60" t="s">
        <v>405</v>
      </c>
      <c r="AG180" s="190" t="s">
        <v>406</v>
      </c>
      <c r="AH180" s="190" t="s">
        <v>407</v>
      </c>
      <c r="AI180" s="193" t="s">
        <v>408</v>
      </c>
      <c r="AJ180" s="190" t="s">
        <v>409</v>
      </c>
      <c r="AK180" s="194" t="s">
        <v>410</v>
      </c>
      <c r="AL180" s="195" t="s">
        <v>411</v>
      </c>
      <c r="AM180" s="196" t="s">
        <v>412</v>
      </c>
      <c r="AN180" s="197" t="s">
        <v>413</v>
      </c>
      <c r="AO180" s="198" t="s">
        <v>414</v>
      </c>
      <c r="AP180" s="51" t="s">
        <v>415</v>
      </c>
      <c r="AQ180" s="26" t="s">
        <v>416</v>
      </c>
      <c r="AR180" s="194" t="s">
        <v>417</v>
      </c>
      <c r="AS180" s="22" t="s">
        <v>418</v>
      </c>
      <c r="AT180" s="195" t="s">
        <v>419</v>
      </c>
      <c r="AU180" s="199" t="s">
        <v>420</v>
      </c>
      <c r="AV180" s="200" t="s">
        <v>421</v>
      </c>
      <c r="AW180" s="201" t="s">
        <v>422</v>
      </c>
      <c r="AX180" s="202" t="s">
        <v>423</v>
      </c>
      <c r="AY180" s="203" t="s">
        <v>424</v>
      </c>
      <c r="AZ180" s="200" t="s">
        <v>425</v>
      </c>
      <c r="BA180" s="34" t="s">
        <v>320</v>
      </c>
      <c r="BB180" s="591" t="str">
        <f t="shared" si="10"/>
        <v>DEEP</v>
      </c>
      <c r="BC180" s="591" t="str">
        <f t="shared" si="11"/>
        <v>1. Ministries-MONG-PDPL-2021</v>
      </c>
      <c r="BD180" s="591" t="str">
        <f t="shared" si="12"/>
        <v>MONG-PDPL-2021</v>
      </c>
      <c r="BE180" s="591" t="str">
        <f t="shared" si="13"/>
        <v>NONE</v>
      </c>
      <c r="BF180" s="594">
        <f t="shared" si="14"/>
        <v>13</v>
      </c>
    </row>
    <row r="181" spans="1:58" ht="42" customHeight="1" x14ac:dyDescent="0.45">
      <c r="A181" s="42">
        <v>162</v>
      </c>
      <c r="B181" s="189" t="s">
        <v>1784</v>
      </c>
      <c r="C181" s="44" t="s">
        <v>1785</v>
      </c>
      <c r="D181" s="44" t="s">
        <v>1562</v>
      </c>
      <c r="E181" s="189" t="s">
        <v>1786</v>
      </c>
      <c r="F181" s="45" t="s">
        <v>1787</v>
      </c>
      <c r="G181" s="44" t="s">
        <v>1745</v>
      </c>
      <c r="H181" s="44" t="s">
        <v>1746</v>
      </c>
      <c r="I181" s="46" t="s">
        <v>1788</v>
      </c>
      <c r="J181" s="46" t="s">
        <v>310</v>
      </c>
      <c r="K181" s="44" t="s">
        <v>63</v>
      </c>
      <c r="L181" s="22" t="s">
        <v>64</v>
      </c>
      <c r="M181" s="44" t="s">
        <v>1748</v>
      </c>
      <c r="N181" s="55" t="s">
        <v>253</v>
      </c>
      <c r="O181" s="48" t="s">
        <v>1789</v>
      </c>
      <c r="P181" s="44" t="s">
        <v>1750</v>
      </c>
      <c r="Q181" s="190" t="s">
        <v>562</v>
      </c>
      <c r="R181" s="190" t="s">
        <v>563</v>
      </c>
      <c r="S181" s="191" t="s">
        <v>564</v>
      </c>
      <c r="T181" s="190" t="s">
        <v>565</v>
      </c>
      <c r="U181" s="25" t="s">
        <v>566</v>
      </c>
      <c r="V181" s="190" t="s">
        <v>282</v>
      </c>
      <c r="W181" s="192" t="s">
        <v>283</v>
      </c>
      <c r="X181" s="190" t="s">
        <v>284</v>
      </c>
      <c r="Y181" s="49" t="s">
        <v>285</v>
      </c>
      <c r="Z181" s="190" t="s">
        <v>286</v>
      </c>
      <c r="AA181" s="191" t="s">
        <v>286</v>
      </c>
      <c r="AB181" s="190" t="s">
        <v>287</v>
      </c>
      <c r="AC181" s="190" t="s">
        <v>288</v>
      </c>
      <c r="AD181" s="49" t="s">
        <v>289</v>
      </c>
      <c r="AE181" s="58" t="s">
        <v>290</v>
      </c>
      <c r="AF181" s="56" t="s">
        <v>291</v>
      </c>
      <c r="AG181" s="190" t="s">
        <v>292</v>
      </c>
      <c r="AH181" s="190" t="s">
        <v>293</v>
      </c>
      <c r="AI181" s="193" t="s">
        <v>215</v>
      </c>
      <c r="AJ181" s="190" t="s">
        <v>216</v>
      </c>
      <c r="AK181" s="194" t="s">
        <v>217</v>
      </c>
      <c r="AL181" s="195" t="s">
        <v>218</v>
      </c>
      <c r="AM181" s="196" t="s">
        <v>219</v>
      </c>
      <c r="AN181" s="197" t="s">
        <v>220</v>
      </c>
      <c r="AO181" s="198" t="s">
        <v>221</v>
      </c>
      <c r="AP181" s="51" t="s">
        <v>138</v>
      </c>
      <c r="AQ181" s="26" t="s">
        <v>139</v>
      </c>
      <c r="AR181" s="194" t="s">
        <v>140</v>
      </c>
      <c r="AS181" s="22" t="s">
        <v>141</v>
      </c>
      <c r="AT181" s="195" t="s">
        <v>142</v>
      </c>
      <c r="AU181" s="199" t="s">
        <v>143</v>
      </c>
      <c r="AV181" s="200" t="s">
        <v>144</v>
      </c>
      <c r="AW181" s="201" t="s">
        <v>145</v>
      </c>
      <c r="AX181" s="202" t="s">
        <v>146</v>
      </c>
      <c r="AY181" s="203" t="s">
        <v>147</v>
      </c>
      <c r="AZ181" s="200" t="s">
        <v>104</v>
      </c>
      <c r="BA181" s="41" t="s">
        <v>105</v>
      </c>
      <c r="BB181" s="591" t="str">
        <f t="shared" si="10"/>
        <v>TEMPLATE</v>
      </c>
      <c r="BC181" s="591" t="str">
        <f t="shared" si="11"/>
        <v>1. Ministries-MEWA-MEWA-LAW</v>
      </c>
      <c r="BD181" s="591" t="str">
        <f t="shared" si="12"/>
        <v>MEWA-MEWA-LAW</v>
      </c>
      <c r="BE181" s="591" t="str">
        <f t="shared" si="13"/>
        <v>NONE</v>
      </c>
      <c r="BF181" s="594">
        <f t="shared" si="14"/>
        <v>7</v>
      </c>
    </row>
    <row r="182" spans="1:58" ht="42" customHeight="1" x14ac:dyDescent="0.45">
      <c r="A182" s="204">
        <v>163</v>
      </c>
      <c r="B182" s="205" t="s">
        <v>1784</v>
      </c>
      <c r="C182" s="190" t="s">
        <v>1785</v>
      </c>
      <c r="D182" s="190" t="s">
        <v>1562</v>
      </c>
      <c r="E182" s="205" t="s">
        <v>557</v>
      </c>
      <c r="F182" s="192" t="s">
        <v>58</v>
      </c>
      <c r="G182" s="190" t="s">
        <v>59</v>
      </c>
      <c r="H182" s="190" t="s">
        <v>57</v>
      </c>
      <c r="I182" s="191" t="s">
        <v>61</v>
      </c>
      <c r="J182" s="191" t="s">
        <v>62</v>
      </c>
      <c r="K182" s="190" t="s">
        <v>558</v>
      </c>
      <c r="L182" s="66" t="s">
        <v>559</v>
      </c>
      <c r="M182" s="190" t="s">
        <v>1790</v>
      </c>
      <c r="N182" s="209" t="s">
        <v>275</v>
      </c>
      <c r="O182" s="207" t="s">
        <v>196</v>
      </c>
      <c r="P182" s="190" t="s">
        <v>561</v>
      </c>
      <c r="Q182" s="190" t="s">
        <v>562</v>
      </c>
      <c r="R182" s="190" t="s">
        <v>563</v>
      </c>
      <c r="S182" s="191" t="s">
        <v>564</v>
      </c>
      <c r="T182" s="190" t="s">
        <v>565</v>
      </c>
      <c r="U182" s="25" t="s">
        <v>566</v>
      </c>
      <c r="V182" s="190" t="s">
        <v>282</v>
      </c>
      <c r="W182" s="192" t="s">
        <v>283</v>
      </c>
      <c r="X182" s="190" t="s">
        <v>284</v>
      </c>
      <c r="Y182" s="49" t="s">
        <v>285</v>
      </c>
      <c r="Z182" s="190" t="s">
        <v>286</v>
      </c>
      <c r="AA182" s="191" t="s">
        <v>286</v>
      </c>
      <c r="AB182" s="190" t="s">
        <v>287</v>
      </c>
      <c r="AC182" s="190" t="s">
        <v>288</v>
      </c>
      <c r="AD182" s="49" t="s">
        <v>289</v>
      </c>
      <c r="AE182" s="58" t="s">
        <v>290</v>
      </c>
      <c r="AF182" s="56" t="s">
        <v>291</v>
      </c>
      <c r="AG182" s="190" t="s">
        <v>292</v>
      </c>
      <c r="AH182" s="190" t="s">
        <v>293</v>
      </c>
      <c r="AI182" s="193" t="s">
        <v>215</v>
      </c>
      <c r="AJ182" s="190" t="s">
        <v>216</v>
      </c>
      <c r="AK182" s="194" t="s">
        <v>217</v>
      </c>
      <c r="AL182" s="195" t="s">
        <v>218</v>
      </c>
      <c r="AM182" s="196" t="s">
        <v>219</v>
      </c>
      <c r="AN182" s="197" t="s">
        <v>220</v>
      </c>
      <c r="AO182" s="198" t="s">
        <v>221</v>
      </c>
      <c r="AP182" s="51" t="s">
        <v>138</v>
      </c>
      <c r="AQ182" s="26" t="s">
        <v>139</v>
      </c>
      <c r="AR182" s="194" t="s">
        <v>140</v>
      </c>
      <c r="AS182" s="22" t="s">
        <v>141</v>
      </c>
      <c r="AT182" s="195" t="s">
        <v>142</v>
      </c>
      <c r="AU182" s="199" t="s">
        <v>143</v>
      </c>
      <c r="AV182" s="200" t="s">
        <v>144</v>
      </c>
      <c r="AW182" s="201" t="s">
        <v>145</v>
      </c>
      <c r="AX182" s="202" t="s">
        <v>146</v>
      </c>
      <c r="AY182" s="203" t="s">
        <v>147</v>
      </c>
      <c r="AZ182" s="200" t="s">
        <v>567</v>
      </c>
      <c r="BA182" s="34" t="s">
        <v>320</v>
      </c>
      <c r="BB182" s="591" t="str">
        <f t="shared" si="10"/>
        <v>TEMPLATE</v>
      </c>
      <c r="BC182" s="591" t="str">
        <f t="shared" si="11"/>
        <v>1. Ministries-MEWA-NCA-ECC-2:2024</v>
      </c>
      <c r="BD182" s="591" t="str">
        <f t="shared" si="12"/>
        <v>MEWA-NCA-ECC-2-2024</v>
      </c>
      <c r="BE182" s="591" t="str">
        <f t="shared" si="13"/>
        <v>NCA-ECC-2-2024</v>
      </c>
      <c r="BF182" s="594">
        <f t="shared" si="14"/>
        <v>6</v>
      </c>
    </row>
    <row r="183" spans="1:58" ht="42" customHeight="1" x14ac:dyDescent="0.45">
      <c r="A183" s="42">
        <v>164</v>
      </c>
      <c r="B183" s="189" t="s">
        <v>1784</v>
      </c>
      <c r="C183" s="44" t="s">
        <v>1785</v>
      </c>
      <c r="D183" s="44" t="s">
        <v>1562</v>
      </c>
      <c r="E183" s="189" t="s">
        <v>382</v>
      </c>
      <c r="F183" s="45" t="s">
        <v>383</v>
      </c>
      <c r="G183" s="44" t="s">
        <v>384</v>
      </c>
      <c r="H183" s="44" t="s">
        <v>765</v>
      </c>
      <c r="I183" s="46" t="s">
        <v>250</v>
      </c>
      <c r="J183" s="46" t="s">
        <v>386</v>
      </c>
      <c r="K183" s="44" t="s">
        <v>558</v>
      </c>
      <c r="L183" s="66" t="s">
        <v>559</v>
      </c>
      <c r="M183" s="44" t="s">
        <v>1791</v>
      </c>
      <c r="N183" s="59" t="s">
        <v>275</v>
      </c>
      <c r="O183" s="48" t="s">
        <v>540</v>
      </c>
      <c r="P183" s="44" t="s">
        <v>380</v>
      </c>
      <c r="Q183" s="190" t="s">
        <v>390</v>
      </c>
      <c r="R183" s="190" t="s">
        <v>391</v>
      </c>
      <c r="S183" s="191" t="s">
        <v>392</v>
      </c>
      <c r="T183" s="190" t="s">
        <v>393</v>
      </c>
      <c r="U183" s="25" t="s">
        <v>394</v>
      </c>
      <c r="V183" s="190" t="s">
        <v>395</v>
      </c>
      <c r="W183" s="192" t="s">
        <v>396</v>
      </c>
      <c r="X183" s="190" t="s">
        <v>397</v>
      </c>
      <c r="Y183" s="49" t="s">
        <v>398</v>
      </c>
      <c r="Z183" s="190" t="s">
        <v>399</v>
      </c>
      <c r="AA183" s="191" t="s">
        <v>400</v>
      </c>
      <c r="AB183" s="190" t="s">
        <v>401</v>
      </c>
      <c r="AC183" s="190" t="s">
        <v>402</v>
      </c>
      <c r="AD183" s="49" t="s">
        <v>403</v>
      </c>
      <c r="AE183" s="50" t="s">
        <v>404</v>
      </c>
      <c r="AF183" s="60" t="s">
        <v>405</v>
      </c>
      <c r="AG183" s="190" t="s">
        <v>406</v>
      </c>
      <c r="AH183" s="190" t="s">
        <v>407</v>
      </c>
      <c r="AI183" s="193" t="s">
        <v>408</v>
      </c>
      <c r="AJ183" s="190" t="s">
        <v>409</v>
      </c>
      <c r="AK183" s="194" t="s">
        <v>410</v>
      </c>
      <c r="AL183" s="195" t="s">
        <v>411</v>
      </c>
      <c r="AM183" s="196" t="s">
        <v>412</v>
      </c>
      <c r="AN183" s="197" t="s">
        <v>413</v>
      </c>
      <c r="AO183" s="198" t="s">
        <v>414</v>
      </c>
      <c r="AP183" s="51" t="s">
        <v>415</v>
      </c>
      <c r="AQ183" s="26" t="s">
        <v>416</v>
      </c>
      <c r="AR183" s="194" t="s">
        <v>417</v>
      </c>
      <c r="AS183" s="22" t="s">
        <v>418</v>
      </c>
      <c r="AT183" s="195" t="s">
        <v>419</v>
      </c>
      <c r="AU183" s="199" t="s">
        <v>420</v>
      </c>
      <c r="AV183" s="200" t="s">
        <v>421</v>
      </c>
      <c r="AW183" s="201" t="s">
        <v>422</v>
      </c>
      <c r="AX183" s="202" t="s">
        <v>423</v>
      </c>
      <c r="AY183" s="203" t="s">
        <v>424</v>
      </c>
      <c r="AZ183" s="200" t="s">
        <v>425</v>
      </c>
      <c r="BA183" s="34" t="s">
        <v>320</v>
      </c>
      <c r="BB183" s="591" t="str">
        <f t="shared" si="10"/>
        <v>DEEP</v>
      </c>
      <c r="BC183" s="591" t="str">
        <f t="shared" si="11"/>
        <v>1. Ministries-MEWA-PDPL-2021</v>
      </c>
      <c r="BD183" s="591" t="str">
        <f t="shared" si="12"/>
        <v>MEWA-PDPL-2021</v>
      </c>
      <c r="BE183" s="591" t="str">
        <f t="shared" si="13"/>
        <v>NONE</v>
      </c>
      <c r="BF183" s="594">
        <f t="shared" si="14"/>
        <v>13</v>
      </c>
    </row>
    <row r="184" spans="1:58" ht="42" customHeight="1" x14ac:dyDescent="0.45">
      <c r="A184" s="204">
        <v>165</v>
      </c>
      <c r="B184" s="205" t="s">
        <v>1792</v>
      </c>
      <c r="C184" s="190" t="s">
        <v>1793</v>
      </c>
      <c r="D184" s="190" t="s">
        <v>1562</v>
      </c>
      <c r="E184" s="205" t="s">
        <v>1794</v>
      </c>
      <c r="F184" s="192" t="s">
        <v>1795</v>
      </c>
      <c r="G184" s="190" t="s">
        <v>1745</v>
      </c>
      <c r="H184" s="190" t="s">
        <v>1746</v>
      </c>
      <c r="I184" s="191" t="s">
        <v>1796</v>
      </c>
      <c r="J184" s="191" t="s">
        <v>310</v>
      </c>
      <c r="K184" s="190" t="s">
        <v>63</v>
      </c>
      <c r="L184" s="22" t="s">
        <v>64</v>
      </c>
      <c r="M184" s="190" t="s">
        <v>1748</v>
      </c>
      <c r="N184" s="208" t="s">
        <v>253</v>
      </c>
      <c r="O184" s="207" t="s">
        <v>1797</v>
      </c>
      <c r="P184" s="190" t="s">
        <v>1750</v>
      </c>
      <c r="Q184" s="190" t="s">
        <v>562</v>
      </c>
      <c r="R184" s="190" t="s">
        <v>563</v>
      </c>
      <c r="S184" s="191" t="s">
        <v>564</v>
      </c>
      <c r="T184" s="190" t="s">
        <v>565</v>
      </c>
      <c r="U184" s="25" t="s">
        <v>566</v>
      </c>
      <c r="V184" s="190" t="s">
        <v>282</v>
      </c>
      <c r="W184" s="192" t="s">
        <v>283</v>
      </c>
      <c r="X184" s="190" t="s">
        <v>284</v>
      </c>
      <c r="Y184" s="49" t="s">
        <v>285</v>
      </c>
      <c r="Z184" s="190" t="s">
        <v>286</v>
      </c>
      <c r="AA184" s="191" t="s">
        <v>286</v>
      </c>
      <c r="AB184" s="190" t="s">
        <v>287</v>
      </c>
      <c r="AC184" s="190" t="s">
        <v>288</v>
      </c>
      <c r="AD184" s="49" t="s">
        <v>289</v>
      </c>
      <c r="AE184" s="58" t="s">
        <v>290</v>
      </c>
      <c r="AF184" s="56" t="s">
        <v>291</v>
      </c>
      <c r="AG184" s="190" t="s">
        <v>292</v>
      </c>
      <c r="AH184" s="190" t="s">
        <v>293</v>
      </c>
      <c r="AI184" s="193" t="s">
        <v>215</v>
      </c>
      <c r="AJ184" s="190" t="s">
        <v>216</v>
      </c>
      <c r="AK184" s="194" t="s">
        <v>217</v>
      </c>
      <c r="AL184" s="195" t="s">
        <v>218</v>
      </c>
      <c r="AM184" s="196" t="s">
        <v>219</v>
      </c>
      <c r="AN184" s="197" t="s">
        <v>220</v>
      </c>
      <c r="AO184" s="198" t="s">
        <v>221</v>
      </c>
      <c r="AP184" s="51" t="s">
        <v>138</v>
      </c>
      <c r="AQ184" s="26" t="s">
        <v>139</v>
      </c>
      <c r="AR184" s="194" t="s">
        <v>140</v>
      </c>
      <c r="AS184" s="22" t="s">
        <v>141</v>
      </c>
      <c r="AT184" s="195" t="s">
        <v>142</v>
      </c>
      <c r="AU184" s="199" t="s">
        <v>143</v>
      </c>
      <c r="AV184" s="200" t="s">
        <v>144</v>
      </c>
      <c r="AW184" s="201" t="s">
        <v>145</v>
      </c>
      <c r="AX184" s="202" t="s">
        <v>146</v>
      </c>
      <c r="AY184" s="203" t="s">
        <v>147</v>
      </c>
      <c r="AZ184" s="200" t="s">
        <v>104</v>
      </c>
      <c r="BA184" s="41" t="s">
        <v>105</v>
      </c>
      <c r="BB184" s="591" t="str">
        <f t="shared" si="10"/>
        <v>TEMPLATE</v>
      </c>
      <c r="BC184" s="591" t="str">
        <f t="shared" si="11"/>
        <v>1. Ministries-MOT-MOT-LAW</v>
      </c>
      <c r="BD184" s="591" t="str">
        <f t="shared" si="12"/>
        <v>MOT-MOT-LAW</v>
      </c>
      <c r="BE184" s="591" t="str">
        <f t="shared" si="13"/>
        <v>NONE</v>
      </c>
      <c r="BF184" s="594">
        <f t="shared" si="14"/>
        <v>7</v>
      </c>
    </row>
    <row r="185" spans="1:58" ht="42" customHeight="1" x14ac:dyDescent="0.45">
      <c r="A185" s="42">
        <v>166</v>
      </c>
      <c r="B185" s="189" t="s">
        <v>1792</v>
      </c>
      <c r="C185" s="44" t="s">
        <v>1793</v>
      </c>
      <c r="D185" s="44" t="s">
        <v>1562</v>
      </c>
      <c r="E185" s="189" t="s">
        <v>557</v>
      </c>
      <c r="F185" s="45" t="s">
        <v>58</v>
      </c>
      <c r="G185" s="44" t="s">
        <v>59</v>
      </c>
      <c r="H185" s="44" t="s">
        <v>57</v>
      </c>
      <c r="I185" s="46" t="s">
        <v>61</v>
      </c>
      <c r="J185" s="46" t="s">
        <v>62</v>
      </c>
      <c r="K185" s="44" t="s">
        <v>558</v>
      </c>
      <c r="L185" s="66" t="s">
        <v>559</v>
      </c>
      <c r="M185" s="44" t="s">
        <v>1798</v>
      </c>
      <c r="N185" s="59" t="s">
        <v>275</v>
      </c>
      <c r="O185" s="48" t="s">
        <v>196</v>
      </c>
      <c r="P185" s="44" t="s">
        <v>561</v>
      </c>
      <c r="Q185" s="190" t="s">
        <v>562</v>
      </c>
      <c r="R185" s="190" t="s">
        <v>563</v>
      </c>
      <c r="S185" s="191" t="s">
        <v>564</v>
      </c>
      <c r="T185" s="190" t="s">
        <v>565</v>
      </c>
      <c r="U185" s="25" t="s">
        <v>566</v>
      </c>
      <c r="V185" s="190" t="s">
        <v>282</v>
      </c>
      <c r="W185" s="192" t="s">
        <v>283</v>
      </c>
      <c r="X185" s="190" t="s">
        <v>284</v>
      </c>
      <c r="Y185" s="49" t="s">
        <v>285</v>
      </c>
      <c r="Z185" s="190" t="s">
        <v>286</v>
      </c>
      <c r="AA185" s="191" t="s">
        <v>286</v>
      </c>
      <c r="AB185" s="190" t="s">
        <v>287</v>
      </c>
      <c r="AC185" s="190" t="s">
        <v>288</v>
      </c>
      <c r="AD185" s="49" t="s">
        <v>289</v>
      </c>
      <c r="AE185" s="58" t="s">
        <v>290</v>
      </c>
      <c r="AF185" s="56" t="s">
        <v>291</v>
      </c>
      <c r="AG185" s="190" t="s">
        <v>292</v>
      </c>
      <c r="AH185" s="190" t="s">
        <v>293</v>
      </c>
      <c r="AI185" s="193" t="s">
        <v>215</v>
      </c>
      <c r="AJ185" s="190" t="s">
        <v>216</v>
      </c>
      <c r="AK185" s="194" t="s">
        <v>217</v>
      </c>
      <c r="AL185" s="195" t="s">
        <v>218</v>
      </c>
      <c r="AM185" s="196" t="s">
        <v>219</v>
      </c>
      <c r="AN185" s="197" t="s">
        <v>220</v>
      </c>
      <c r="AO185" s="198" t="s">
        <v>221</v>
      </c>
      <c r="AP185" s="51" t="s">
        <v>138</v>
      </c>
      <c r="AQ185" s="26" t="s">
        <v>139</v>
      </c>
      <c r="AR185" s="194" t="s">
        <v>140</v>
      </c>
      <c r="AS185" s="22" t="s">
        <v>141</v>
      </c>
      <c r="AT185" s="195" t="s">
        <v>142</v>
      </c>
      <c r="AU185" s="199" t="s">
        <v>143</v>
      </c>
      <c r="AV185" s="200" t="s">
        <v>144</v>
      </c>
      <c r="AW185" s="201" t="s">
        <v>145</v>
      </c>
      <c r="AX185" s="202" t="s">
        <v>146</v>
      </c>
      <c r="AY185" s="203" t="s">
        <v>147</v>
      </c>
      <c r="AZ185" s="200" t="s">
        <v>567</v>
      </c>
      <c r="BA185" s="34" t="s">
        <v>320</v>
      </c>
      <c r="BB185" s="591" t="str">
        <f t="shared" si="10"/>
        <v>TEMPLATE</v>
      </c>
      <c r="BC185" s="591" t="str">
        <f t="shared" si="11"/>
        <v>1. Ministries-MOT-NCA-ECC-2:2024</v>
      </c>
      <c r="BD185" s="591" t="str">
        <f t="shared" si="12"/>
        <v>MOT-NCA-ECC-2-2024</v>
      </c>
      <c r="BE185" s="591" t="str">
        <f t="shared" si="13"/>
        <v>NCA-ECC-2-2024</v>
      </c>
      <c r="BF185" s="594">
        <f t="shared" si="14"/>
        <v>6</v>
      </c>
    </row>
    <row r="186" spans="1:58" ht="42" customHeight="1" x14ac:dyDescent="0.45">
      <c r="A186" s="204">
        <v>167</v>
      </c>
      <c r="B186" s="205" t="s">
        <v>1792</v>
      </c>
      <c r="C186" s="190" t="s">
        <v>1793</v>
      </c>
      <c r="D186" s="190" t="s">
        <v>1562</v>
      </c>
      <c r="E186" s="205" t="s">
        <v>382</v>
      </c>
      <c r="F186" s="192" t="s">
        <v>383</v>
      </c>
      <c r="G186" s="190" t="s">
        <v>384</v>
      </c>
      <c r="H186" s="190" t="s">
        <v>765</v>
      </c>
      <c r="I186" s="191" t="s">
        <v>250</v>
      </c>
      <c r="J186" s="191" t="s">
        <v>386</v>
      </c>
      <c r="K186" s="190" t="s">
        <v>558</v>
      </c>
      <c r="L186" s="66" t="s">
        <v>559</v>
      </c>
      <c r="M186" s="190" t="s">
        <v>1799</v>
      </c>
      <c r="N186" s="209" t="s">
        <v>275</v>
      </c>
      <c r="O186" s="207" t="s">
        <v>540</v>
      </c>
      <c r="P186" s="190" t="s">
        <v>380</v>
      </c>
      <c r="Q186" s="190" t="s">
        <v>390</v>
      </c>
      <c r="R186" s="190" t="s">
        <v>391</v>
      </c>
      <c r="S186" s="191" t="s">
        <v>392</v>
      </c>
      <c r="T186" s="190" t="s">
        <v>393</v>
      </c>
      <c r="U186" s="25" t="s">
        <v>394</v>
      </c>
      <c r="V186" s="190" t="s">
        <v>395</v>
      </c>
      <c r="W186" s="192" t="s">
        <v>396</v>
      </c>
      <c r="X186" s="190" t="s">
        <v>397</v>
      </c>
      <c r="Y186" s="49" t="s">
        <v>398</v>
      </c>
      <c r="Z186" s="190" t="s">
        <v>399</v>
      </c>
      <c r="AA186" s="191" t="s">
        <v>400</v>
      </c>
      <c r="AB186" s="190" t="s">
        <v>401</v>
      </c>
      <c r="AC186" s="190" t="s">
        <v>402</v>
      </c>
      <c r="AD186" s="49" t="s">
        <v>403</v>
      </c>
      <c r="AE186" s="50" t="s">
        <v>404</v>
      </c>
      <c r="AF186" s="60" t="s">
        <v>405</v>
      </c>
      <c r="AG186" s="190" t="s">
        <v>406</v>
      </c>
      <c r="AH186" s="190" t="s">
        <v>407</v>
      </c>
      <c r="AI186" s="193" t="s">
        <v>408</v>
      </c>
      <c r="AJ186" s="190" t="s">
        <v>409</v>
      </c>
      <c r="AK186" s="194" t="s">
        <v>410</v>
      </c>
      <c r="AL186" s="195" t="s">
        <v>411</v>
      </c>
      <c r="AM186" s="196" t="s">
        <v>412</v>
      </c>
      <c r="AN186" s="197" t="s">
        <v>413</v>
      </c>
      <c r="AO186" s="198" t="s">
        <v>414</v>
      </c>
      <c r="AP186" s="51" t="s">
        <v>415</v>
      </c>
      <c r="AQ186" s="26" t="s">
        <v>416</v>
      </c>
      <c r="AR186" s="194" t="s">
        <v>417</v>
      </c>
      <c r="AS186" s="22" t="s">
        <v>418</v>
      </c>
      <c r="AT186" s="195" t="s">
        <v>419</v>
      </c>
      <c r="AU186" s="199" t="s">
        <v>420</v>
      </c>
      <c r="AV186" s="200" t="s">
        <v>421</v>
      </c>
      <c r="AW186" s="201" t="s">
        <v>422</v>
      </c>
      <c r="AX186" s="202" t="s">
        <v>423</v>
      </c>
      <c r="AY186" s="203" t="s">
        <v>424</v>
      </c>
      <c r="AZ186" s="200" t="s">
        <v>425</v>
      </c>
      <c r="BA186" s="34" t="s">
        <v>320</v>
      </c>
      <c r="BB186" s="591" t="str">
        <f t="shared" si="10"/>
        <v>DEEP</v>
      </c>
      <c r="BC186" s="591" t="str">
        <f t="shared" si="11"/>
        <v>1. Ministries-MOT-PDPL-2021</v>
      </c>
      <c r="BD186" s="591" t="str">
        <f t="shared" si="12"/>
        <v>MOT-PDPL-2021</v>
      </c>
      <c r="BE186" s="591" t="str">
        <f t="shared" si="13"/>
        <v>NONE</v>
      </c>
      <c r="BF186" s="594">
        <f t="shared" si="14"/>
        <v>13</v>
      </c>
    </row>
    <row r="187" spans="1:58" ht="42" customHeight="1" x14ac:dyDescent="0.45">
      <c r="A187" s="42">
        <v>168</v>
      </c>
      <c r="B187" s="189" t="s">
        <v>1800</v>
      </c>
      <c r="C187" s="44" t="s">
        <v>1801</v>
      </c>
      <c r="D187" s="44" t="s">
        <v>1562</v>
      </c>
      <c r="E187" s="189" t="s">
        <v>1802</v>
      </c>
      <c r="F187" s="45" t="s">
        <v>1803</v>
      </c>
      <c r="G187" s="44" t="s">
        <v>1745</v>
      </c>
      <c r="H187" s="44" t="s">
        <v>1746</v>
      </c>
      <c r="I187" s="46" t="s">
        <v>1796</v>
      </c>
      <c r="J187" s="46" t="s">
        <v>310</v>
      </c>
      <c r="K187" s="44" t="s">
        <v>63</v>
      </c>
      <c r="L187" s="22" t="s">
        <v>64</v>
      </c>
      <c r="M187" s="44" t="s">
        <v>1748</v>
      </c>
      <c r="N187" s="55" t="s">
        <v>253</v>
      </c>
      <c r="O187" s="48" t="s">
        <v>1804</v>
      </c>
      <c r="P187" s="44" t="s">
        <v>1750</v>
      </c>
      <c r="Q187" s="190" t="s">
        <v>562</v>
      </c>
      <c r="R187" s="190" t="s">
        <v>563</v>
      </c>
      <c r="S187" s="191" t="s">
        <v>564</v>
      </c>
      <c r="T187" s="190" t="s">
        <v>565</v>
      </c>
      <c r="U187" s="25" t="s">
        <v>566</v>
      </c>
      <c r="V187" s="190" t="s">
        <v>282</v>
      </c>
      <c r="W187" s="192" t="s">
        <v>283</v>
      </c>
      <c r="X187" s="190" t="s">
        <v>284</v>
      </c>
      <c r="Y187" s="49" t="s">
        <v>285</v>
      </c>
      <c r="Z187" s="190" t="s">
        <v>286</v>
      </c>
      <c r="AA187" s="191" t="s">
        <v>286</v>
      </c>
      <c r="AB187" s="190" t="s">
        <v>287</v>
      </c>
      <c r="AC187" s="190" t="s">
        <v>288</v>
      </c>
      <c r="AD187" s="49" t="s">
        <v>289</v>
      </c>
      <c r="AE187" s="58" t="s">
        <v>290</v>
      </c>
      <c r="AF187" s="56" t="s">
        <v>291</v>
      </c>
      <c r="AG187" s="190" t="s">
        <v>292</v>
      </c>
      <c r="AH187" s="190" t="s">
        <v>293</v>
      </c>
      <c r="AI187" s="193" t="s">
        <v>215</v>
      </c>
      <c r="AJ187" s="190" t="s">
        <v>216</v>
      </c>
      <c r="AK187" s="194" t="s">
        <v>217</v>
      </c>
      <c r="AL187" s="195" t="s">
        <v>218</v>
      </c>
      <c r="AM187" s="196" t="s">
        <v>219</v>
      </c>
      <c r="AN187" s="197" t="s">
        <v>220</v>
      </c>
      <c r="AO187" s="198" t="s">
        <v>221</v>
      </c>
      <c r="AP187" s="51" t="s">
        <v>138</v>
      </c>
      <c r="AQ187" s="26" t="s">
        <v>139</v>
      </c>
      <c r="AR187" s="194" t="s">
        <v>140</v>
      </c>
      <c r="AS187" s="22" t="s">
        <v>141</v>
      </c>
      <c r="AT187" s="195" t="s">
        <v>142</v>
      </c>
      <c r="AU187" s="199" t="s">
        <v>143</v>
      </c>
      <c r="AV187" s="200" t="s">
        <v>144</v>
      </c>
      <c r="AW187" s="201" t="s">
        <v>145</v>
      </c>
      <c r="AX187" s="202" t="s">
        <v>146</v>
      </c>
      <c r="AY187" s="203" t="s">
        <v>147</v>
      </c>
      <c r="AZ187" s="200" t="s">
        <v>104</v>
      </c>
      <c r="BA187" s="41" t="s">
        <v>105</v>
      </c>
      <c r="BB187" s="591" t="str">
        <f t="shared" si="10"/>
        <v>TEMPLATE</v>
      </c>
      <c r="BC187" s="591" t="str">
        <f t="shared" si="11"/>
        <v>1. Ministries-MOE-MOE-LAW</v>
      </c>
      <c r="BD187" s="591" t="str">
        <f t="shared" si="12"/>
        <v>MOE-MOE-LAW</v>
      </c>
      <c r="BE187" s="591" t="str">
        <f t="shared" si="13"/>
        <v>NONE</v>
      </c>
      <c r="BF187" s="594">
        <f t="shared" si="14"/>
        <v>7</v>
      </c>
    </row>
    <row r="188" spans="1:58" ht="42" customHeight="1" x14ac:dyDescent="0.45">
      <c r="A188" s="204">
        <v>169</v>
      </c>
      <c r="B188" s="205" t="s">
        <v>1800</v>
      </c>
      <c r="C188" s="190" t="s">
        <v>1801</v>
      </c>
      <c r="D188" s="190" t="s">
        <v>1562</v>
      </c>
      <c r="E188" s="205" t="s">
        <v>557</v>
      </c>
      <c r="F188" s="192" t="s">
        <v>58</v>
      </c>
      <c r="G188" s="190" t="s">
        <v>59</v>
      </c>
      <c r="H188" s="190" t="s">
        <v>57</v>
      </c>
      <c r="I188" s="191" t="s">
        <v>61</v>
      </c>
      <c r="J188" s="191" t="s">
        <v>62</v>
      </c>
      <c r="K188" s="190" t="s">
        <v>558</v>
      </c>
      <c r="L188" s="66" t="s">
        <v>559</v>
      </c>
      <c r="M188" s="190" t="s">
        <v>1805</v>
      </c>
      <c r="N188" s="209" t="s">
        <v>275</v>
      </c>
      <c r="O188" s="207" t="s">
        <v>196</v>
      </c>
      <c r="P188" s="190" t="s">
        <v>561</v>
      </c>
      <c r="Q188" s="190" t="s">
        <v>562</v>
      </c>
      <c r="R188" s="190" t="s">
        <v>563</v>
      </c>
      <c r="S188" s="191" t="s">
        <v>564</v>
      </c>
      <c r="T188" s="190" t="s">
        <v>565</v>
      </c>
      <c r="U188" s="25" t="s">
        <v>566</v>
      </c>
      <c r="V188" s="190" t="s">
        <v>282</v>
      </c>
      <c r="W188" s="192" t="s">
        <v>283</v>
      </c>
      <c r="X188" s="190" t="s">
        <v>284</v>
      </c>
      <c r="Y188" s="49" t="s">
        <v>285</v>
      </c>
      <c r="Z188" s="190" t="s">
        <v>286</v>
      </c>
      <c r="AA188" s="191" t="s">
        <v>286</v>
      </c>
      <c r="AB188" s="190" t="s">
        <v>287</v>
      </c>
      <c r="AC188" s="190" t="s">
        <v>288</v>
      </c>
      <c r="AD188" s="49" t="s">
        <v>289</v>
      </c>
      <c r="AE188" s="58" t="s">
        <v>290</v>
      </c>
      <c r="AF188" s="56" t="s">
        <v>291</v>
      </c>
      <c r="AG188" s="190" t="s">
        <v>292</v>
      </c>
      <c r="AH188" s="190" t="s">
        <v>293</v>
      </c>
      <c r="AI188" s="193" t="s">
        <v>215</v>
      </c>
      <c r="AJ188" s="190" t="s">
        <v>216</v>
      </c>
      <c r="AK188" s="194" t="s">
        <v>217</v>
      </c>
      <c r="AL188" s="195" t="s">
        <v>218</v>
      </c>
      <c r="AM188" s="196" t="s">
        <v>219</v>
      </c>
      <c r="AN188" s="197" t="s">
        <v>220</v>
      </c>
      <c r="AO188" s="198" t="s">
        <v>221</v>
      </c>
      <c r="AP188" s="51" t="s">
        <v>138</v>
      </c>
      <c r="AQ188" s="26" t="s">
        <v>139</v>
      </c>
      <c r="AR188" s="194" t="s">
        <v>140</v>
      </c>
      <c r="AS188" s="22" t="s">
        <v>141</v>
      </c>
      <c r="AT188" s="195" t="s">
        <v>142</v>
      </c>
      <c r="AU188" s="199" t="s">
        <v>143</v>
      </c>
      <c r="AV188" s="200" t="s">
        <v>144</v>
      </c>
      <c r="AW188" s="201" t="s">
        <v>145</v>
      </c>
      <c r="AX188" s="202" t="s">
        <v>146</v>
      </c>
      <c r="AY188" s="203" t="s">
        <v>147</v>
      </c>
      <c r="AZ188" s="200" t="s">
        <v>567</v>
      </c>
      <c r="BA188" s="34" t="s">
        <v>320</v>
      </c>
      <c r="BB188" s="591" t="str">
        <f t="shared" si="10"/>
        <v>TEMPLATE</v>
      </c>
      <c r="BC188" s="591" t="str">
        <f t="shared" si="11"/>
        <v>1. Ministries-MOE-NCA-ECC-2:2024</v>
      </c>
      <c r="BD188" s="591" t="str">
        <f t="shared" si="12"/>
        <v>MOE-NCA-ECC-2-2024</v>
      </c>
      <c r="BE188" s="591" t="str">
        <f t="shared" si="13"/>
        <v>NCA-ECC-2-2024</v>
      </c>
      <c r="BF188" s="594">
        <f t="shared" si="14"/>
        <v>6</v>
      </c>
    </row>
    <row r="189" spans="1:58" ht="42" customHeight="1" x14ac:dyDescent="0.45">
      <c r="A189" s="42">
        <v>170</v>
      </c>
      <c r="B189" s="189" t="s">
        <v>1800</v>
      </c>
      <c r="C189" s="44" t="s">
        <v>1801</v>
      </c>
      <c r="D189" s="44" t="s">
        <v>1562</v>
      </c>
      <c r="E189" s="189" t="s">
        <v>382</v>
      </c>
      <c r="F189" s="45" t="s">
        <v>383</v>
      </c>
      <c r="G189" s="44" t="s">
        <v>384</v>
      </c>
      <c r="H189" s="44" t="s">
        <v>765</v>
      </c>
      <c r="I189" s="46" t="s">
        <v>250</v>
      </c>
      <c r="J189" s="46" t="s">
        <v>386</v>
      </c>
      <c r="K189" s="44" t="s">
        <v>558</v>
      </c>
      <c r="L189" s="66" t="s">
        <v>559</v>
      </c>
      <c r="M189" s="44" t="s">
        <v>1806</v>
      </c>
      <c r="N189" s="59" t="s">
        <v>275</v>
      </c>
      <c r="O189" s="48" t="s">
        <v>540</v>
      </c>
      <c r="P189" s="44" t="s">
        <v>380</v>
      </c>
      <c r="Q189" s="190" t="s">
        <v>390</v>
      </c>
      <c r="R189" s="190" t="s">
        <v>391</v>
      </c>
      <c r="S189" s="191" t="s">
        <v>392</v>
      </c>
      <c r="T189" s="190" t="s">
        <v>393</v>
      </c>
      <c r="U189" s="25" t="s">
        <v>394</v>
      </c>
      <c r="V189" s="190" t="s">
        <v>395</v>
      </c>
      <c r="W189" s="192" t="s">
        <v>396</v>
      </c>
      <c r="X189" s="190" t="s">
        <v>397</v>
      </c>
      <c r="Y189" s="49" t="s">
        <v>398</v>
      </c>
      <c r="Z189" s="190" t="s">
        <v>399</v>
      </c>
      <c r="AA189" s="191" t="s">
        <v>400</v>
      </c>
      <c r="AB189" s="190" t="s">
        <v>401</v>
      </c>
      <c r="AC189" s="190" t="s">
        <v>402</v>
      </c>
      <c r="AD189" s="49" t="s">
        <v>403</v>
      </c>
      <c r="AE189" s="50" t="s">
        <v>404</v>
      </c>
      <c r="AF189" s="60" t="s">
        <v>405</v>
      </c>
      <c r="AG189" s="190" t="s">
        <v>406</v>
      </c>
      <c r="AH189" s="190" t="s">
        <v>407</v>
      </c>
      <c r="AI189" s="193" t="s">
        <v>408</v>
      </c>
      <c r="AJ189" s="190" t="s">
        <v>409</v>
      </c>
      <c r="AK189" s="194" t="s">
        <v>410</v>
      </c>
      <c r="AL189" s="195" t="s">
        <v>411</v>
      </c>
      <c r="AM189" s="196" t="s">
        <v>412</v>
      </c>
      <c r="AN189" s="197" t="s">
        <v>413</v>
      </c>
      <c r="AO189" s="198" t="s">
        <v>414</v>
      </c>
      <c r="AP189" s="51" t="s">
        <v>415</v>
      </c>
      <c r="AQ189" s="26" t="s">
        <v>416</v>
      </c>
      <c r="AR189" s="194" t="s">
        <v>417</v>
      </c>
      <c r="AS189" s="22" t="s">
        <v>418</v>
      </c>
      <c r="AT189" s="195" t="s">
        <v>419</v>
      </c>
      <c r="AU189" s="199" t="s">
        <v>420</v>
      </c>
      <c r="AV189" s="200" t="s">
        <v>421</v>
      </c>
      <c r="AW189" s="201" t="s">
        <v>422</v>
      </c>
      <c r="AX189" s="202" t="s">
        <v>423</v>
      </c>
      <c r="AY189" s="203" t="s">
        <v>424</v>
      </c>
      <c r="AZ189" s="200" t="s">
        <v>425</v>
      </c>
      <c r="BA189" s="34" t="s">
        <v>320</v>
      </c>
      <c r="BB189" s="591" t="str">
        <f t="shared" si="10"/>
        <v>DEEP</v>
      </c>
      <c r="BC189" s="591" t="str">
        <f t="shared" si="11"/>
        <v>1. Ministries-MOE-PDPL-2021</v>
      </c>
      <c r="BD189" s="591" t="str">
        <f t="shared" si="12"/>
        <v>MOE-PDPL-2021</v>
      </c>
      <c r="BE189" s="591" t="str">
        <f t="shared" si="13"/>
        <v>NONE</v>
      </c>
      <c r="BF189" s="594">
        <f t="shared" si="14"/>
        <v>13</v>
      </c>
    </row>
    <row r="190" spans="1:58" ht="42" customHeight="1" x14ac:dyDescent="0.45">
      <c r="A190" s="204">
        <v>171</v>
      </c>
      <c r="B190" s="205" t="s">
        <v>1807</v>
      </c>
      <c r="C190" s="190" t="s">
        <v>1808</v>
      </c>
      <c r="D190" s="190" t="s">
        <v>1562</v>
      </c>
      <c r="E190" s="205" t="s">
        <v>1809</v>
      </c>
      <c r="F190" s="192" t="s">
        <v>1810</v>
      </c>
      <c r="G190" s="190" t="s">
        <v>1745</v>
      </c>
      <c r="H190" s="190" t="s">
        <v>1746</v>
      </c>
      <c r="I190" s="191" t="s">
        <v>658</v>
      </c>
      <c r="J190" s="191" t="s">
        <v>310</v>
      </c>
      <c r="K190" s="190" t="s">
        <v>63</v>
      </c>
      <c r="L190" s="22" t="s">
        <v>64</v>
      </c>
      <c r="M190" s="190" t="s">
        <v>1748</v>
      </c>
      <c r="N190" s="208" t="s">
        <v>253</v>
      </c>
      <c r="O190" s="207" t="s">
        <v>1811</v>
      </c>
      <c r="P190" s="190" t="s">
        <v>1750</v>
      </c>
      <c r="Q190" s="190" t="s">
        <v>562</v>
      </c>
      <c r="R190" s="190" t="s">
        <v>563</v>
      </c>
      <c r="S190" s="191" t="s">
        <v>564</v>
      </c>
      <c r="T190" s="190" t="s">
        <v>565</v>
      </c>
      <c r="U190" s="25" t="s">
        <v>566</v>
      </c>
      <c r="V190" s="190" t="s">
        <v>282</v>
      </c>
      <c r="W190" s="192" t="s">
        <v>283</v>
      </c>
      <c r="X190" s="190" t="s">
        <v>284</v>
      </c>
      <c r="Y190" s="49" t="s">
        <v>285</v>
      </c>
      <c r="Z190" s="190" t="s">
        <v>286</v>
      </c>
      <c r="AA190" s="191" t="s">
        <v>286</v>
      </c>
      <c r="AB190" s="190" t="s">
        <v>287</v>
      </c>
      <c r="AC190" s="190" t="s">
        <v>288</v>
      </c>
      <c r="AD190" s="49" t="s">
        <v>289</v>
      </c>
      <c r="AE190" s="58" t="s">
        <v>290</v>
      </c>
      <c r="AF190" s="56" t="s">
        <v>291</v>
      </c>
      <c r="AG190" s="190" t="s">
        <v>292</v>
      </c>
      <c r="AH190" s="190" t="s">
        <v>293</v>
      </c>
      <c r="AI190" s="193" t="s">
        <v>215</v>
      </c>
      <c r="AJ190" s="190" t="s">
        <v>216</v>
      </c>
      <c r="AK190" s="194" t="s">
        <v>217</v>
      </c>
      <c r="AL190" s="195" t="s">
        <v>218</v>
      </c>
      <c r="AM190" s="196" t="s">
        <v>219</v>
      </c>
      <c r="AN190" s="197" t="s">
        <v>220</v>
      </c>
      <c r="AO190" s="198" t="s">
        <v>221</v>
      </c>
      <c r="AP190" s="51" t="s">
        <v>138</v>
      </c>
      <c r="AQ190" s="26" t="s">
        <v>139</v>
      </c>
      <c r="AR190" s="194" t="s">
        <v>140</v>
      </c>
      <c r="AS190" s="22" t="s">
        <v>141</v>
      </c>
      <c r="AT190" s="195" t="s">
        <v>142</v>
      </c>
      <c r="AU190" s="199" t="s">
        <v>143</v>
      </c>
      <c r="AV190" s="200" t="s">
        <v>144</v>
      </c>
      <c r="AW190" s="201" t="s">
        <v>145</v>
      </c>
      <c r="AX190" s="202" t="s">
        <v>146</v>
      </c>
      <c r="AY190" s="203" t="s">
        <v>147</v>
      </c>
      <c r="AZ190" s="200" t="s">
        <v>104</v>
      </c>
      <c r="BA190" s="41" t="s">
        <v>105</v>
      </c>
      <c r="BB190" s="591" t="str">
        <f t="shared" si="10"/>
        <v>TEMPLATE</v>
      </c>
      <c r="BC190" s="591" t="str">
        <f t="shared" si="11"/>
        <v>1. Ministries-MOCI-MOCI-LAW</v>
      </c>
      <c r="BD190" s="591" t="str">
        <f t="shared" si="12"/>
        <v>MOCI-MOCI-LAW</v>
      </c>
      <c r="BE190" s="591" t="str">
        <f t="shared" si="13"/>
        <v>NONE</v>
      </c>
      <c r="BF190" s="594">
        <f t="shared" si="14"/>
        <v>7</v>
      </c>
    </row>
    <row r="191" spans="1:58" ht="42" customHeight="1" x14ac:dyDescent="0.45">
      <c r="A191" s="42">
        <v>172</v>
      </c>
      <c r="B191" s="189" t="s">
        <v>1807</v>
      </c>
      <c r="C191" s="44" t="s">
        <v>1808</v>
      </c>
      <c r="D191" s="44" t="s">
        <v>1562</v>
      </c>
      <c r="E191" s="189" t="s">
        <v>557</v>
      </c>
      <c r="F191" s="45" t="s">
        <v>58</v>
      </c>
      <c r="G191" s="44" t="s">
        <v>59</v>
      </c>
      <c r="H191" s="44" t="s">
        <v>57</v>
      </c>
      <c r="I191" s="46" t="s">
        <v>61</v>
      </c>
      <c r="J191" s="46" t="s">
        <v>62</v>
      </c>
      <c r="K191" s="44" t="s">
        <v>558</v>
      </c>
      <c r="L191" s="66" t="s">
        <v>559</v>
      </c>
      <c r="M191" s="44" t="s">
        <v>1812</v>
      </c>
      <c r="N191" s="59" t="s">
        <v>275</v>
      </c>
      <c r="O191" s="48" t="s">
        <v>196</v>
      </c>
      <c r="P191" s="44" t="s">
        <v>561</v>
      </c>
      <c r="Q191" s="190" t="s">
        <v>562</v>
      </c>
      <c r="R191" s="190" t="s">
        <v>563</v>
      </c>
      <c r="S191" s="191" t="s">
        <v>564</v>
      </c>
      <c r="T191" s="190" t="s">
        <v>565</v>
      </c>
      <c r="U191" s="25" t="s">
        <v>566</v>
      </c>
      <c r="V191" s="190" t="s">
        <v>282</v>
      </c>
      <c r="W191" s="192" t="s">
        <v>283</v>
      </c>
      <c r="X191" s="190" t="s">
        <v>284</v>
      </c>
      <c r="Y191" s="49" t="s">
        <v>285</v>
      </c>
      <c r="Z191" s="190" t="s">
        <v>286</v>
      </c>
      <c r="AA191" s="191" t="s">
        <v>286</v>
      </c>
      <c r="AB191" s="190" t="s">
        <v>287</v>
      </c>
      <c r="AC191" s="190" t="s">
        <v>288</v>
      </c>
      <c r="AD191" s="49" t="s">
        <v>289</v>
      </c>
      <c r="AE191" s="58" t="s">
        <v>290</v>
      </c>
      <c r="AF191" s="56" t="s">
        <v>291</v>
      </c>
      <c r="AG191" s="190" t="s">
        <v>292</v>
      </c>
      <c r="AH191" s="190" t="s">
        <v>293</v>
      </c>
      <c r="AI191" s="193" t="s">
        <v>215</v>
      </c>
      <c r="AJ191" s="190" t="s">
        <v>216</v>
      </c>
      <c r="AK191" s="194" t="s">
        <v>217</v>
      </c>
      <c r="AL191" s="195" t="s">
        <v>218</v>
      </c>
      <c r="AM191" s="196" t="s">
        <v>219</v>
      </c>
      <c r="AN191" s="197" t="s">
        <v>220</v>
      </c>
      <c r="AO191" s="198" t="s">
        <v>221</v>
      </c>
      <c r="AP191" s="51" t="s">
        <v>138</v>
      </c>
      <c r="AQ191" s="26" t="s">
        <v>139</v>
      </c>
      <c r="AR191" s="194" t="s">
        <v>140</v>
      </c>
      <c r="AS191" s="22" t="s">
        <v>141</v>
      </c>
      <c r="AT191" s="195" t="s">
        <v>142</v>
      </c>
      <c r="AU191" s="199" t="s">
        <v>143</v>
      </c>
      <c r="AV191" s="200" t="s">
        <v>144</v>
      </c>
      <c r="AW191" s="201" t="s">
        <v>145</v>
      </c>
      <c r="AX191" s="202" t="s">
        <v>146</v>
      </c>
      <c r="AY191" s="203" t="s">
        <v>147</v>
      </c>
      <c r="AZ191" s="200" t="s">
        <v>567</v>
      </c>
      <c r="BA191" s="34" t="s">
        <v>320</v>
      </c>
      <c r="BB191" s="591" t="str">
        <f t="shared" si="10"/>
        <v>TEMPLATE</v>
      </c>
      <c r="BC191" s="591" t="str">
        <f t="shared" si="11"/>
        <v>1. Ministries-MOCI-NCA-ECC-2:2024</v>
      </c>
      <c r="BD191" s="591" t="str">
        <f t="shared" si="12"/>
        <v>MOCI-NCA-ECC-2-2024</v>
      </c>
      <c r="BE191" s="591" t="str">
        <f t="shared" si="13"/>
        <v>NCA-ECC-2-2024</v>
      </c>
      <c r="BF191" s="594">
        <f t="shared" si="14"/>
        <v>6</v>
      </c>
    </row>
    <row r="192" spans="1:58" ht="42" customHeight="1" x14ac:dyDescent="0.45">
      <c r="A192" s="204">
        <v>173</v>
      </c>
      <c r="B192" s="205" t="s">
        <v>1807</v>
      </c>
      <c r="C192" s="190" t="s">
        <v>1808</v>
      </c>
      <c r="D192" s="190" t="s">
        <v>1562</v>
      </c>
      <c r="E192" s="205" t="s">
        <v>382</v>
      </c>
      <c r="F192" s="192" t="s">
        <v>383</v>
      </c>
      <c r="G192" s="190" t="s">
        <v>384</v>
      </c>
      <c r="H192" s="190" t="s">
        <v>765</v>
      </c>
      <c r="I192" s="191" t="s">
        <v>250</v>
      </c>
      <c r="J192" s="191" t="s">
        <v>386</v>
      </c>
      <c r="K192" s="190" t="s">
        <v>558</v>
      </c>
      <c r="L192" s="66" t="s">
        <v>559</v>
      </c>
      <c r="M192" s="190" t="s">
        <v>1813</v>
      </c>
      <c r="N192" s="209" t="s">
        <v>275</v>
      </c>
      <c r="O192" s="207" t="s">
        <v>540</v>
      </c>
      <c r="P192" s="190" t="s">
        <v>380</v>
      </c>
      <c r="Q192" s="190" t="s">
        <v>390</v>
      </c>
      <c r="R192" s="190" t="s">
        <v>391</v>
      </c>
      <c r="S192" s="191" t="s">
        <v>392</v>
      </c>
      <c r="T192" s="190" t="s">
        <v>393</v>
      </c>
      <c r="U192" s="25" t="s">
        <v>394</v>
      </c>
      <c r="V192" s="190" t="s">
        <v>395</v>
      </c>
      <c r="W192" s="192" t="s">
        <v>396</v>
      </c>
      <c r="X192" s="190" t="s">
        <v>397</v>
      </c>
      <c r="Y192" s="49" t="s">
        <v>398</v>
      </c>
      <c r="Z192" s="190" t="s">
        <v>399</v>
      </c>
      <c r="AA192" s="191" t="s">
        <v>400</v>
      </c>
      <c r="AB192" s="190" t="s">
        <v>401</v>
      </c>
      <c r="AC192" s="190" t="s">
        <v>402</v>
      </c>
      <c r="AD192" s="49" t="s">
        <v>403</v>
      </c>
      <c r="AE192" s="50" t="s">
        <v>404</v>
      </c>
      <c r="AF192" s="60" t="s">
        <v>405</v>
      </c>
      <c r="AG192" s="190" t="s">
        <v>406</v>
      </c>
      <c r="AH192" s="190" t="s">
        <v>407</v>
      </c>
      <c r="AI192" s="193" t="s">
        <v>408</v>
      </c>
      <c r="AJ192" s="190" t="s">
        <v>409</v>
      </c>
      <c r="AK192" s="194" t="s">
        <v>410</v>
      </c>
      <c r="AL192" s="195" t="s">
        <v>411</v>
      </c>
      <c r="AM192" s="196" t="s">
        <v>412</v>
      </c>
      <c r="AN192" s="197" t="s">
        <v>413</v>
      </c>
      <c r="AO192" s="198" t="s">
        <v>414</v>
      </c>
      <c r="AP192" s="51" t="s">
        <v>415</v>
      </c>
      <c r="AQ192" s="26" t="s">
        <v>416</v>
      </c>
      <c r="AR192" s="194" t="s">
        <v>417</v>
      </c>
      <c r="AS192" s="22" t="s">
        <v>418</v>
      </c>
      <c r="AT192" s="195" t="s">
        <v>419</v>
      </c>
      <c r="AU192" s="199" t="s">
        <v>420</v>
      </c>
      <c r="AV192" s="200" t="s">
        <v>421</v>
      </c>
      <c r="AW192" s="201" t="s">
        <v>422</v>
      </c>
      <c r="AX192" s="202" t="s">
        <v>423</v>
      </c>
      <c r="AY192" s="203" t="s">
        <v>424</v>
      </c>
      <c r="AZ192" s="200" t="s">
        <v>425</v>
      </c>
      <c r="BA192" s="34" t="s">
        <v>320</v>
      </c>
      <c r="BB192" s="591" t="str">
        <f t="shared" si="10"/>
        <v>DEEP</v>
      </c>
      <c r="BC192" s="591" t="str">
        <f t="shared" si="11"/>
        <v>1. Ministries-MOCI-PDPL-2021</v>
      </c>
      <c r="BD192" s="591" t="str">
        <f t="shared" si="12"/>
        <v>MOCI-PDPL-2021</v>
      </c>
      <c r="BE192" s="591" t="str">
        <f t="shared" si="13"/>
        <v>NONE</v>
      </c>
      <c r="BF192" s="594">
        <f t="shared" si="14"/>
        <v>13</v>
      </c>
    </row>
    <row r="193" spans="1:58" ht="42" customHeight="1" x14ac:dyDescent="0.45">
      <c r="A193" s="42">
        <v>174</v>
      </c>
      <c r="B193" s="189" t="s">
        <v>1814</v>
      </c>
      <c r="C193" s="44" t="s">
        <v>1815</v>
      </c>
      <c r="D193" s="44" t="s">
        <v>1562</v>
      </c>
      <c r="E193" s="189" t="s">
        <v>1816</v>
      </c>
      <c r="F193" s="45" t="s">
        <v>1817</v>
      </c>
      <c r="G193" s="44" t="s">
        <v>1745</v>
      </c>
      <c r="H193" s="44" t="s">
        <v>1746</v>
      </c>
      <c r="I193" s="46" t="s">
        <v>1818</v>
      </c>
      <c r="J193" s="46" t="s">
        <v>310</v>
      </c>
      <c r="K193" s="44" t="s">
        <v>63</v>
      </c>
      <c r="L193" s="22" t="s">
        <v>64</v>
      </c>
      <c r="M193" s="44" t="s">
        <v>1748</v>
      </c>
      <c r="N193" s="55" t="s">
        <v>253</v>
      </c>
      <c r="O193" s="48" t="s">
        <v>1819</v>
      </c>
      <c r="P193" s="44" t="s">
        <v>1750</v>
      </c>
      <c r="Q193" s="190" t="s">
        <v>562</v>
      </c>
      <c r="R193" s="190" t="s">
        <v>563</v>
      </c>
      <c r="S193" s="191" t="s">
        <v>564</v>
      </c>
      <c r="T193" s="190" t="s">
        <v>565</v>
      </c>
      <c r="U193" s="25" t="s">
        <v>566</v>
      </c>
      <c r="V193" s="190" t="s">
        <v>282</v>
      </c>
      <c r="W193" s="192" t="s">
        <v>283</v>
      </c>
      <c r="X193" s="190" t="s">
        <v>284</v>
      </c>
      <c r="Y193" s="49" t="s">
        <v>285</v>
      </c>
      <c r="Z193" s="190" t="s">
        <v>286</v>
      </c>
      <c r="AA193" s="191" t="s">
        <v>286</v>
      </c>
      <c r="AB193" s="190" t="s">
        <v>287</v>
      </c>
      <c r="AC193" s="190" t="s">
        <v>288</v>
      </c>
      <c r="AD193" s="49" t="s">
        <v>289</v>
      </c>
      <c r="AE193" s="58" t="s">
        <v>290</v>
      </c>
      <c r="AF193" s="56" t="s">
        <v>291</v>
      </c>
      <c r="AG193" s="190" t="s">
        <v>292</v>
      </c>
      <c r="AH193" s="190" t="s">
        <v>293</v>
      </c>
      <c r="AI193" s="193" t="s">
        <v>215</v>
      </c>
      <c r="AJ193" s="190" t="s">
        <v>216</v>
      </c>
      <c r="AK193" s="194" t="s">
        <v>217</v>
      </c>
      <c r="AL193" s="195" t="s">
        <v>218</v>
      </c>
      <c r="AM193" s="196" t="s">
        <v>219</v>
      </c>
      <c r="AN193" s="197" t="s">
        <v>220</v>
      </c>
      <c r="AO193" s="198" t="s">
        <v>221</v>
      </c>
      <c r="AP193" s="51" t="s">
        <v>138</v>
      </c>
      <c r="AQ193" s="26" t="s">
        <v>139</v>
      </c>
      <c r="AR193" s="194" t="s">
        <v>140</v>
      </c>
      <c r="AS193" s="22" t="s">
        <v>141</v>
      </c>
      <c r="AT193" s="195" t="s">
        <v>142</v>
      </c>
      <c r="AU193" s="199" t="s">
        <v>143</v>
      </c>
      <c r="AV193" s="200" t="s">
        <v>144</v>
      </c>
      <c r="AW193" s="201" t="s">
        <v>145</v>
      </c>
      <c r="AX193" s="202" t="s">
        <v>146</v>
      </c>
      <c r="AY193" s="203" t="s">
        <v>147</v>
      </c>
      <c r="AZ193" s="200" t="s">
        <v>104</v>
      </c>
      <c r="BA193" s="41" t="s">
        <v>105</v>
      </c>
      <c r="BB193" s="591" t="str">
        <f t="shared" si="10"/>
        <v>TEMPLATE</v>
      </c>
      <c r="BC193" s="591" t="str">
        <f t="shared" si="11"/>
        <v>1. Ministries-MOENER-MOENER-LAW</v>
      </c>
      <c r="BD193" s="591" t="str">
        <f t="shared" si="12"/>
        <v>MOENER-MOENER-LAW</v>
      </c>
      <c r="BE193" s="591" t="str">
        <f t="shared" si="13"/>
        <v>NONE</v>
      </c>
      <c r="BF193" s="594">
        <f t="shared" si="14"/>
        <v>7</v>
      </c>
    </row>
    <row r="194" spans="1:58" ht="42" customHeight="1" x14ac:dyDescent="0.45">
      <c r="A194" s="204">
        <v>175</v>
      </c>
      <c r="B194" s="205" t="s">
        <v>1814</v>
      </c>
      <c r="C194" s="190" t="s">
        <v>1815</v>
      </c>
      <c r="D194" s="190" t="s">
        <v>1562</v>
      </c>
      <c r="E194" s="205" t="s">
        <v>557</v>
      </c>
      <c r="F194" s="192" t="s">
        <v>58</v>
      </c>
      <c r="G194" s="190" t="s">
        <v>59</v>
      </c>
      <c r="H194" s="190" t="s">
        <v>57</v>
      </c>
      <c r="I194" s="191" t="s">
        <v>61</v>
      </c>
      <c r="J194" s="191" t="s">
        <v>62</v>
      </c>
      <c r="K194" s="190" t="s">
        <v>558</v>
      </c>
      <c r="L194" s="66" t="s">
        <v>559</v>
      </c>
      <c r="M194" s="190" t="s">
        <v>1820</v>
      </c>
      <c r="N194" s="209" t="s">
        <v>275</v>
      </c>
      <c r="O194" s="207" t="s">
        <v>196</v>
      </c>
      <c r="P194" s="190" t="s">
        <v>561</v>
      </c>
      <c r="Q194" s="190" t="s">
        <v>562</v>
      </c>
      <c r="R194" s="190" t="s">
        <v>563</v>
      </c>
      <c r="S194" s="191" t="s">
        <v>564</v>
      </c>
      <c r="T194" s="190" t="s">
        <v>565</v>
      </c>
      <c r="U194" s="25" t="s">
        <v>566</v>
      </c>
      <c r="V194" s="190" t="s">
        <v>282</v>
      </c>
      <c r="W194" s="192" t="s">
        <v>283</v>
      </c>
      <c r="X194" s="190" t="s">
        <v>284</v>
      </c>
      <c r="Y194" s="49" t="s">
        <v>285</v>
      </c>
      <c r="Z194" s="190" t="s">
        <v>286</v>
      </c>
      <c r="AA194" s="191" t="s">
        <v>286</v>
      </c>
      <c r="AB194" s="190" t="s">
        <v>287</v>
      </c>
      <c r="AC194" s="190" t="s">
        <v>288</v>
      </c>
      <c r="AD194" s="49" t="s">
        <v>289</v>
      </c>
      <c r="AE194" s="58" t="s">
        <v>290</v>
      </c>
      <c r="AF194" s="56" t="s">
        <v>291</v>
      </c>
      <c r="AG194" s="190" t="s">
        <v>292</v>
      </c>
      <c r="AH194" s="190" t="s">
        <v>293</v>
      </c>
      <c r="AI194" s="193" t="s">
        <v>215</v>
      </c>
      <c r="AJ194" s="190" t="s">
        <v>216</v>
      </c>
      <c r="AK194" s="194" t="s">
        <v>217</v>
      </c>
      <c r="AL194" s="195" t="s">
        <v>218</v>
      </c>
      <c r="AM194" s="196" t="s">
        <v>219</v>
      </c>
      <c r="AN194" s="197" t="s">
        <v>220</v>
      </c>
      <c r="AO194" s="198" t="s">
        <v>221</v>
      </c>
      <c r="AP194" s="51" t="s">
        <v>138</v>
      </c>
      <c r="AQ194" s="26" t="s">
        <v>139</v>
      </c>
      <c r="AR194" s="194" t="s">
        <v>140</v>
      </c>
      <c r="AS194" s="22" t="s">
        <v>141</v>
      </c>
      <c r="AT194" s="195" t="s">
        <v>142</v>
      </c>
      <c r="AU194" s="199" t="s">
        <v>143</v>
      </c>
      <c r="AV194" s="200" t="s">
        <v>144</v>
      </c>
      <c r="AW194" s="201" t="s">
        <v>145</v>
      </c>
      <c r="AX194" s="202" t="s">
        <v>146</v>
      </c>
      <c r="AY194" s="203" t="s">
        <v>147</v>
      </c>
      <c r="AZ194" s="200" t="s">
        <v>567</v>
      </c>
      <c r="BA194" s="34" t="s">
        <v>320</v>
      </c>
      <c r="BB194" s="591" t="str">
        <f t="shared" si="10"/>
        <v>TEMPLATE</v>
      </c>
      <c r="BC194" s="591" t="str">
        <f t="shared" si="11"/>
        <v>1. Ministries-MOENER-NCA-ECC-2:2024</v>
      </c>
      <c r="BD194" s="591" t="str">
        <f t="shared" si="12"/>
        <v>MOENER-NCA-ECC-2-2024</v>
      </c>
      <c r="BE194" s="591" t="str">
        <f t="shared" si="13"/>
        <v>NCA-ECC-2-2024</v>
      </c>
      <c r="BF194" s="594">
        <f t="shared" si="14"/>
        <v>6</v>
      </c>
    </row>
    <row r="195" spans="1:58" ht="42" customHeight="1" x14ac:dyDescent="0.45">
      <c r="A195" s="42">
        <v>176</v>
      </c>
      <c r="B195" s="189" t="s">
        <v>1814</v>
      </c>
      <c r="C195" s="44" t="s">
        <v>1815</v>
      </c>
      <c r="D195" s="44" t="s">
        <v>1562</v>
      </c>
      <c r="E195" s="189" t="s">
        <v>382</v>
      </c>
      <c r="F195" s="45" t="s">
        <v>383</v>
      </c>
      <c r="G195" s="44" t="s">
        <v>384</v>
      </c>
      <c r="H195" s="44" t="s">
        <v>765</v>
      </c>
      <c r="I195" s="46" t="s">
        <v>250</v>
      </c>
      <c r="J195" s="46" t="s">
        <v>386</v>
      </c>
      <c r="K195" s="44" t="s">
        <v>558</v>
      </c>
      <c r="L195" s="66" t="s">
        <v>559</v>
      </c>
      <c r="M195" s="44" t="s">
        <v>1821</v>
      </c>
      <c r="N195" s="59" t="s">
        <v>275</v>
      </c>
      <c r="O195" s="48" t="s">
        <v>540</v>
      </c>
      <c r="P195" s="44" t="s">
        <v>380</v>
      </c>
      <c r="Q195" s="190" t="s">
        <v>390</v>
      </c>
      <c r="R195" s="190" t="s">
        <v>391</v>
      </c>
      <c r="S195" s="191" t="s">
        <v>392</v>
      </c>
      <c r="T195" s="190" t="s">
        <v>393</v>
      </c>
      <c r="U195" s="25" t="s">
        <v>394</v>
      </c>
      <c r="V195" s="190" t="s">
        <v>395</v>
      </c>
      <c r="W195" s="192" t="s">
        <v>396</v>
      </c>
      <c r="X195" s="190" t="s">
        <v>397</v>
      </c>
      <c r="Y195" s="49" t="s">
        <v>398</v>
      </c>
      <c r="Z195" s="190" t="s">
        <v>399</v>
      </c>
      <c r="AA195" s="191" t="s">
        <v>400</v>
      </c>
      <c r="AB195" s="190" t="s">
        <v>401</v>
      </c>
      <c r="AC195" s="190" t="s">
        <v>402</v>
      </c>
      <c r="AD195" s="49" t="s">
        <v>403</v>
      </c>
      <c r="AE195" s="50" t="s">
        <v>404</v>
      </c>
      <c r="AF195" s="60" t="s">
        <v>405</v>
      </c>
      <c r="AG195" s="190" t="s">
        <v>406</v>
      </c>
      <c r="AH195" s="190" t="s">
        <v>407</v>
      </c>
      <c r="AI195" s="193" t="s">
        <v>408</v>
      </c>
      <c r="AJ195" s="190" t="s">
        <v>409</v>
      </c>
      <c r="AK195" s="194" t="s">
        <v>410</v>
      </c>
      <c r="AL195" s="195" t="s">
        <v>411</v>
      </c>
      <c r="AM195" s="196" t="s">
        <v>412</v>
      </c>
      <c r="AN195" s="197" t="s">
        <v>413</v>
      </c>
      <c r="AO195" s="198" t="s">
        <v>414</v>
      </c>
      <c r="AP195" s="51" t="s">
        <v>415</v>
      </c>
      <c r="AQ195" s="26" t="s">
        <v>416</v>
      </c>
      <c r="AR195" s="194" t="s">
        <v>417</v>
      </c>
      <c r="AS195" s="22" t="s">
        <v>418</v>
      </c>
      <c r="AT195" s="195" t="s">
        <v>419</v>
      </c>
      <c r="AU195" s="199" t="s">
        <v>420</v>
      </c>
      <c r="AV195" s="200" t="s">
        <v>421</v>
      </c>
      <c r="AW195" s="201" t="s">
        <v>422</v>
      </c>
      <c r="AX195" s="202" t="s">
        <v>423</v>
      </c>
      <c r="AY195" s="203" t="s">
        <v>424</v>
      </c>
      <c r="AZ195" s="200" t="s">
        <v>425</v>
      </c>
      <c r="BA195" s="34" t="s">
        <v>320</v>
      </c>
      <c r="BB195" s="591" t="str">
        <f t="shared" si="10"/>
        <v>DEEP</v>
      </c>
      <c r="BC195" s="591" t="str">
        <f t="shared" si="11"/>
        <v>1. Ministries-MOENER-PDPL-2021</v>
      </c>
      <c r="BD195" s="591" t="str">
        <f t="shared" si="12"/>
        <v>MOENER-PDPL-2021</v>
      </c>
      <c r="BE195" s="591" t="str">
        <f t="shared" si="13"/>
        <v>NONE</v>
      </c>
      <c r="BF195" s="594">
        <f t="shared" si="14"/>
        <v>13</v>
      </c>
    </row>
    <row r="196" spans="1:58" ht="42" customHeight="1" x14ac:dyDescent="0.45">
      <c r="A196" s="204">
        <v>177</v>
      </c>
      <c r="B196" s="205" t="s">
        <v>1822</v>
      </c>
      <c r="C196" s="190" t="s">
        <v>1823</v>
      </c>
      <c r="D196" s="190" t="s">
        <v>1562</v>
      </c>
      <c r="E196" s="205" t="s">
        <v>1824</v>
      </c>
      <c r="F196" s="192" t="s">
        <v>1825</v>
      </c>
      <c r="G196" s="190" t="s">
        <v>1745</v>
      </c>
      <c r="H196" s="190" t="s">
        <v>1746</v>
      </c>
      <c r="I196" s="191" t="s">
        <v>1202</v>
      </c>
      <c r="J196" s="191" t="s">
        <v>310</v>
      </c>
      <c r="K196" s="190" t="s">
        <v>63</v>
      </c>
      <c r="L196" s="22" t="s">
        <v>64</v>
      </c>
      <c r="M196" s="190" t="s">
        <v>1748</v>
      </c>
      <c r="N196" s="208" t="s">
        <v>253</v>
      </c>
      <c r="O196" s="207" t="s">
        <v>1826</v>
      </c>
      <c r="P196" s="190" t="s">
        <v>1750</v>
      </c>
      <c r="Q196" s="190" t="s">
        <v>562</v>
      </c>
      <c r="R196" s="190" t="s">
        <v>563</v>
      </c>
      <c r="S196" s="191" t="s">
        <v>564</v>
      </c>
      <c r="T196" s="190" t="s">
        <v>565</v>
      </c>
      <c r="U196" s="25" t="s">
        <v>566</v>
      </c>
      <c r="V196" s="190" t="s">
        <v>282</v>
      </c>
      <c r="W196" s="192" t="s">
        <v>283</v>
      </c>
      <c r="X196" s="190" t="s">
        <v>284</v>
      </c>
      <c r="Y196" s="49" t="s">
        <v>285</v>
      </c>
      <c r="Z196" s="190" t="s">
        <v>286</v>
      </c>
      <c r="AA196" s="191" t="s">
        <v>286</v>
      </c>
      <c r="AB196" s="190" t="s">
        <v>287</v>
      </c>
      <c r="AC196" s="190" t="s">
        <v>288</v>
      </c>
      <c r="AD196" s="49" t="s">
        <v>289</v>
      </c>
      <c r="AE196" s="58" t="s">
        <v>290</v>
      </c>
      <c r="AF196" s="56" t="s">
        <v>291</v>
      </c>
      <c r="AG196" s="190" t="s">
        <v>292</v>
      </c>
      <c r="AH196" s="190" t="s">
        <v>293</v>
      </c>
      <c r="AI196" s="193" t="s">
        <v>215</v>
      </c>
      <c r="AJ196" s="190" t="s">
        <v>216</v>
      </c>
      <c r="AK196" s="194" t="s">
        <v>217</v>
      </c>
      <c r="AL196" s="195" t="s">
        <v>218</v>
      </c>
      <c r="AM196" s="196" t="s">
        <v>219</v>
      </c>
      <c r="AN196" s="197" t="s">
        <v>220</v>
      </c>
      <c r="AO196" s="198" t="s">
        <v>221</v>
      </c>
      <c r="AP196" s="51" t="s">
        <v>138</v>
      </c>
      <c r="AQ196" s="26" t="s">
        <v>139</v>
      </c>
      <c r="AR196" s="194" t="s">
        <v>140</v>
      </c>
      <c r="AS196" s="22" t="s">
        <v>141</v>
      </c>
      <c r="AT196" s="195" t="s">
        <v>142</v>
      </c>
      <c r="AU196" s="199" t="s">
        <v>143</v>
      </c>
      <c r="AV196" s="200" t="s">
        <v>144</v>
      </c>
      <c r="AW196" s="201" t="s">
        <v>145</v>
      </c>
      <c r="AX196" s="202" t="s">
        <v>146</v>
      </c>
      <c r="AY196" s="203" t="s">
        <v>147</v>
      </c>
      <c r="AZ196" s="200" t="s">
        <v>104</v>
      </c>
      <c r="BA196" s="41" t="s">
        <v>105</v>
      </c>
      <c r="BB196" s="591" t="str">
        <f t="shared" si="10"/>
        <v>TEMPLATE</v>
      </c>
      <c r="BC196" s="591" t="str">
        <f t="shared" si="11"/>
        <v>1. Ministries-MEP-MEP-LAW</v>
      </c>
      <c r="BD196" s="591" t="str">
        <f t="shared" si="12"/>
        <v>MEP-MEP-LAW</v>
      </c>
      <c r="BE196" s="591" t="str">
        <f t="shared" si="13"/>
        <v>NONE</v>
      </c>
      <c r="BF196" s="594">
        <f t="shared" si="14"/>
        <v>7</v>
      </c>
    </row>
    <row r="197" spans="1:58" ht="42" customHeight="1" x14ac:dyDescent="0.45">
      <c r="A197" s="42">
        <v>178</v>
      </c>
      <c r="B197" s="189" t="s">
        <v>1822</v>
      </c>
      <c r="C197" s="44" t="s">
        <v>1823</v>
      </c>
      <c r="D197" s="44" t="s">
        <v>1562</v>
      </c>
      <c r="E197" s="189" t="s">
        <v>557</v>
      </c>
      <c r="F197" s="45" t="s">
        <v>58</v>
      </c>
      <c r="G197" s="44" t="s">
        <v>59</v>
      </c>
      <c r="H197" s="44" t="s">
        <v>57</v>
      </c>
      <c r="I197" s="46" t="s">
        <v>61</v>
      </c>
      <c r="J197" s="46" t="s">
        <v>62</v>
      </c>
      <c r="K197" s="44" t="s">
        <v>558</v>
      </c>
      <c r="L197" s="66" t="s">
        <v>559</v>
      </c>
      <c r="M197" s="44" t="s">
        <v>1827</v>
      </c>
      <c r="N197" s="59" t="s">
        <v>275</v>
      </c>
      <c r="O197" s="48" t="s">
        <v>196</v>
      </c>
      <c r="P197" s="44" t="s">
        <v>561</v>
      </c>
      <c r="Q197" s="190" t="s">
        <v>562</v>
      </c>
      <c r="R197" s="190" t="s">
        <v>563</v>
      </c>
      <c r="S197" s="191" t="s">
        <v>564</v>
      </c>
      <c r="T197" s="190" t="s">
        <v>565</v>
      </c>
      <c r="U197" s="25" t="s">
        <v>566</v>
      </c>
      <c r="V197" s="190" t="s">
        <v>282</v>
      </c>
      <c r="W197" s="192" t="s">
        <v>283</v>
      </c>
      <c r="X197" s="190" t="s">
        <v>284</v>
      </c>
      <c r="Y197" s="49" t="s">
        <v>285</v>
      </c>
      <c r="Z197" s="190" t="s">
        <v>286</v>
      </c>
      <c r="AA197" s="191" t="s">
        <v>286</v>
      </c>
      <c r="AB197" s="190" t="s">
        <v>287</v>
      </c>
      <c r="AC197" s="190" t="s">
        <v>288</v>
      </c>
      <c r="AD197" s="49" t="s">
        <v>289</v>
      </c>
      <c r="AE197" s="58" t="s">
        <v>290</v>
      </c>
      <c r="AF197" s="56" t="s">
        <v>291</v>
      </c>
      <c r="AG197" s="190" t="s">
        <v>292</v>
      </c>
      <c r="AH197" s="190" t="s">
        <v>293</v>
      </c>
      <c r="AI197" s="193" t="s">
        <v>215</v>
      </c>
      <c r="AJ197" s="190" t="s">
        <v>216</v>
      </c>
      <c r="AK197" s="194" t="s">
        <v>217</v>
      </c>
      <c r="AL197" s="195" t="s">
        <v>218</v>
      </c>
      <c r="AM197" s="196" t="s">
        <v>219</v>
      </c>
      <c r="AN197" s="197" t="s">
        <v>220</v>
      </c>
      <c r="AO197" s="198" t="s">
        <v>221</v>
      </c>
      <c r="AP197" s="51" t="s">
        <v>138</v>
      </c>
      <c r="AQ197" s="26" t="s">
        <v>139</v>
      </c>
      <c r="AR197" s="194" t="s">
        <v>140</v>
      </c>
      <c r="AS197" s="22" t="s">
        <v>141</v>
      </c>
      <c r="AT197" s="195" t="s">
        <v>142</v>
      </c>
      <c r="AU197" s="199" t="s">
        <v>143</v>
      </c>
      <c r="AV197" s="200" t="s">
        <v>144</v>
      </c>
      <c r="AW197" s="201" t="s">
        <v>145</v>
      </c>
      <c r="AX197" s="202" t="s">
        <v>146</v>
      </c>
      <c r="AY197" s="203" t="s">
        <v>147</v>
      </c>
      <c r="AZ197" s="200" t="s">
        <v>567</v>
      </c>
      <c r="BA197" s="34" t="s">
        <v>320</v>
      </c>
      <c r="BB197" s="591" t="str">
        <f t="shared" ref="BB197:BB260" si="15">IF(E197="","",IF(ISNUMBER(SEARCH("Institutional theory and regulatory governance theory underpin",AI197)),"TEMPLATE",IF(LEN(AI197)&gt;100,"DEEP",IF(AI197="","SPARSE","SHALLOW"))))</f>
        <v>TEMPLATE</v>
      </c>
      <c r="BC197" s="591" t="str">
        <f t="shared" ref="BC197:BC260" si="16">IF(E197="","",D197&amp;"-"&amp;B197&amp;"-"&amp;E197)</f>
        <v>1. Ministries-MEP-NCA-ECC-2:2024</v>
      </c>
      <c r="BD197" s="591" t="str">
        <f t="shared" ref="BD197:BD260" si="17">IF(E197="","",SUBSTITUTE(SUBSTITUTE(B197&amp;"-"&amp;E197," ",""),":","-"))</f>
        <v>MEP-NCA-ECC-2-2024</v>
      </c>
      <c r="BE197" s="591" t="str">
        <f t="shared" ref="BE197:BE260" si="18">IF(E197="","",IF(ISNUMBER(SEARCH("ECC",E197)),"NCA-ECC-2-2024",IF(ISNUMBER(SEARCH("OTCC",E197)),"NCA-ECC-2-2024",IF(ISNUMBER(SEARCH("CCC",E197)),"NCA-ECC-2-2024",IF(ISNUMBER(SEARCH("DCC",E197)),"NCA-ECC-2-2024",IF(ISNUMBER(SEARCH("CSCC",E197)),"NCA-ECC-2-2024",IF(ISNUMBER(SEARCH("PDPL-IR",E197)),"PDPL-2021",IF(ISNUMBER(SEARCH("PDPL-DTR",E197)),"PDPL-2021","NONE"))))))))</f>
        <v>NCA-ECC-2-2024</v>
      </c>
      <c r="BF197" s="594">
        <f t="shared" ref="BF197:BF260" si="19">IF(E197="","",IF(BB197="DEEP",10,IF(BB197="SHALLOW",5,IF(BB197="TEMPLATE",3,1)))+IF(N197="HIGHEST",5,IF(N197="HIGH",3,IF(N197="MODERATE",1,0)))+IF(ISNUMBER(SEARCH("Mandatory",L197)),3,0))</f>
        <v>6</v>
      </c>
    </row>
    <row r="198" spans="1:58" ht="42" customHeight="1" x14ac:dyDescent="0.45">
      <c r="A198" s="204">
        <v>179</v>
      </c>
      <c r="B198" s="205" t="s">
        <v>1822</v>
      </c>
      <c r="C198" s="190" t="s">
        <v>1823</v>
      </c>
      <c r="D198" s="190" t="s">
        <v>1562</v>
      </c>
      <c r="E198" s="205" t="s">
        <v>382</v>
      </c>
      <c r="F198" s="192" t="s">
        <v>383</v>
      </c>
      <c r="G198" s="190" t="s">
        <v>384</v>
      </c>
      <c r="H198" s="190" t="s">
        <v>765</v>
      </c>
      <c r="I198" s="191" t="s">
        <v>250</v>
      </c>
      <c r="J198" s="191" t="s">
        <v>386</v>
      </c>
      <c r="K198" s="190" t="s">
        <v>558</v>
      </c>
      <c r="L198" s="66" t="s">
        <v>559</v>
      </c>
      <c r="M198" s="190" t="s">
        <v>1828</v>
      </c>
      <c r="N198" s="209" t="s">
        <v>275</v>
      </c>
      <c r="O198" s="207" t="s">
        <v>540</v>
      </c>
      <c r="P198" s="190" t="s">
        <v>380</v>
      </c>
      <c r="Q198" s="190" t="s">
        <v>390</v>
      </c>
      <c r="R198" s="190" t="s">
        <v>391</v>
      </c>
      <c r="S198" s="191" t="s">
        <v>392</v>
      </c>
      <c r="T198" s="190" t="s">
        <v>393</v>
      </c>
      <c r="U198" s="25" t="s">
        <v>394</v>
      </c>
      <c r="V198" s="190" t="s">
        <v>395</v>
      </c>
      <c r="W198" s="192" t="s">
        <v>396</v>
      </c>
      <c r="X198" s="190" t="s">
        <v>397</v>
      </c>
      <c r="Y198" s="49" t="s">
        <v>398</v>
      </c>
      <c r="Z198" s="190" t="s">
        <v>399</v>
      </c>
      <c r="AA198" s="191" t="s">
        <v>400</v>
      </c>
      <c r="AB198" s="190" t="s">
        <v>401</v>
      </c>
      <c r="AC198" s="190" t="s">
        <v>402</v>
      </c>
      <c r="AD198" s="49" t="s">
        <v>403</v>
      </c>
      <c r="AE198" s="50" t="s">
        <v>404</v>
      </c>
      <c r="AF198" s="60" t="s">
        <v>405</v>
      </c>
      <c r="AG198" s="190" t="s">
        <v>406</v>
      </c>
      <c r="AH198" s="190" t="s">
        <v>407</v>
      </c>
      <c r="AI198" s="193" t="s">
        <v>408</v>
      </c>
      <c r="AJ198" s="190" t="s">
        <v>409</v>
      </c>
      <c r="AK198" s="194" t="s">
        <v>410</v>
      </c>
      <c r="AL198" s="195" t="s">
        <v>411</v>
      </c>
      <c r="AM198" s="196" t="s">
        <v>412</v>
      </c>
      <c r="AN198" s="197" t="s">
        <v>413</v>
      </c>
      <c r="AO198" s="198" t="s">
        <v>414</v>
      </c>
      <c r="AP198" s="51" t="s">
        <v>415</v>
      </c>
      <c r="AQ198" s="26" t="s">
        <v>416</v>
      </c>
      <c r="AR198" s="194" t="s">
        <v>417</v>
      </c>
      <c r="AS198" s="22" t="s">
        <v>418</v>
      </c>
      <c r="AT198" s="195" t="s">
        <v>419</v>
      </c>
      <c r="AU198" s="199" t="s">
        <v>420</v>
      </c>
      <c r="AV198" s="200" t="s">
        <v>421</v>
      </c>
      <c r="AW198" s="201" t="s">
        <v>422</v>
      </c>
      <c r="AX198" s="202" t="s">
        <v>423</v>
      </c>
      <c r="AY198" s="203" t="s">
        <v>424</v>
      </c>
      <c r="AZ198" s="200" t="s">
        <v>425</v>
      </c>
      <c r="BA198" s="34" t="s">
        <v>320</v>
      </c>
      <c r="BB198" s="591" t="str">
        <f t="shared" si="15"/>
        <v>DEEP</v>
      </c>
      <c r="BC198" s="591" t="str">
        <f t="shared" si="16"/>
        <v>1. Ministries-MEP-PDPL-2021</v>
      </c>
      <c r="BD198" s="591" t="str">
        <f t="shared" si="17"/>
        <v>MEP-PDPL-2021</v>
      </c>
      <c r="BE198" s="591" t="str">
        <f t="shared" si="18"/>
        <v>NONE</v>
      </c>
      <c r="BF198" s="594">
        <f t="shared" si="19"/>
        <v>13</v>
      </c>
    </row>
    <row r="199" spans="1:58" ht="42" customHeight="1" x14ac:dyDescent="0.45">
      <c r="A199" s="42">
        <v>180</v>
      </c>
      <c r="B199" s="189" t="s">
        <v>1829</v>
      </c>
      <c r="C199" s="44" t="s">
        <v>1830</v>
      </c>
      <c r="D199" s="44" t="s">
        <v>1562</v>
      </c>
      <c r="E199" s="189" t="s">
        <v>1831</v>
      </c>
      <c r="F199" s="45" t="s">
        <v>1832</v>
      </c>
      <c r="G199" s="44" t="s">
        <v>1745</v>
      </c>
      <c r="H199" s="44" t="s">
        <v>1746</v>
      </c>
      <c r="I199" s="46" t="s">
        <v>1833</v>
      </c>
      <c r="J199" s="46" t="s">
        <v>310</v>
      </c>
      <c r="K199" s="44" t="s">
        <v>63</v>
      </c>
      <c r="L199" s="22" t="s">
        <v>64</v>
      </c>
      <c r="M199" s="44" t="s">
        <v>1748</v>
      </c>
      <c r="N199" s="55" t="s">
        <v>253</v>
      </c>
      <c r="O199" s="48" t="s">
        <v>1834</v>
      </c>
      <c r="P199" s="44" t="s">
        <v>1750</v>
      </c>
      <c r="Q199" s="190" t="s">
        <v>562</v>
      </c>
      <c r="R199" s="190" t="s">
        <v>563</v>
      </c>
      <c r="S199" s="191" t="s">
        <v>564</v>
      </c>
      <c r="T199" s="190" t="s">
        <v>565</v>
      </c>
      <c r="U199" s="25" t="s">
        <v>566</v>
      </c>
      <c r="V199" s="190" t="s">
        <v>282</v>
      </c>
      <c r="W199" s="192" t="s">
        <v>283</v>
      </c>
      <c r="X199" s="190" t="s">
        <v>284</v>
      </c>
      <c r="Y199" s="49" t="s">
        <v>285</v>
      </c>
      <c r="Z199" s="190" t="s">
        <v>286</v>
      </c>
      <c r="AA199" s="191" t="s">
        <v>286</v>
      </c>
      <c r="AB199" s="190" t="s">
        <v>287</v>
      </c>
      <c r="AC199" s="190" t="s">
        <v>288</v>
      </c>
      <c r="AD199" s="49" t="s">
        <v>289</v>
      </c>
      <c r="AE199" s="58" t="s">
        <v>290</v>
      </c>
      <c r="AF199" s="56" t="s">
        <v>291</v>
      </c>
      <c r="AG199" s="190" t="s">
        <v>292</v>
      </c>
      <c r="AH199" s="190" t="s">
        <v>293</v>
      </c>
      <c r="AI199" s="193" t="s">
        <v>215</v>
      </c>
      <c r="AJ199" s="190" t="s">
        <v>216</v>
      </c>
      <c r="AK199" s="194" t="s">
        <v>217</v>
      </c>
      <c r="AL199" s="195" t="s">
        <v>218</v>
      </c>
      <c r="AM199" s="196" t="s">
        <v>219</v>
      </c>
      <c r="AN199" s="197" t="s">
        <v>220</v>
      </c>
      <c r="AO199" s="198" t="s">
        <v>221</v>
      </c>
      <c r="AP199" s="51" t="s">
        <v>138</v>
      </c>
      <c r="AQ199" s="26" t="s">
        <v>139</v>
      </c>
      <c r="AR199" s="194" t="s">
        <v>140</v>
      </c>
      <c r="AS199" s="22" t="s">
        <v>141</v>
      </c>
      <c r="AT199" s="195" t="s">
        <v>142</v>
      </c>
      <c r="AU199" s="199" t="s">
        <v>143</v>
      </c>
      <c r="AV199" s="200" t="s">
        <v>144</v>
      </c>
      <c r="AW199" s="201" t="s">
        <v>145</v>
      </c>
      <c r="AX199" s="202" t="s">
        <v>146</v>
      </c>
      <c r="AY199" s="203" t="s">
        <v>147</v>
      </c>
      <c r="AZ199" s="200" t="s">
        <v>104</v>
      </c>
      <c r="BA199" s="41" t="s">
        <v>105</v>
      </c>
      <c r="BB199" s="591" t="str">
        <f t="shared" si="15"/>
        <v>TEMPLATE</v>
      </c>
      <c r="BC199" s="591" t="str">
        <f t="shared" si="16"/>
        <v>1. Ministries-MOMAH-MOMAH-LAW</v>
      </c>
      <c r="BD199" s="591" t="str">
        <f t="shared" si="17"/>
        <v>MOMAH-MOMAH-LAW</v>
      </c>
      <c r="BE199" s="591" t="str">
        <f t="shared" si="18"/>
        <v>NONE</v>
      </c>
      <c r="BF199" s="594">
        <f t="shared" si="19"/>
        <v>7</v>
      </c>
    </row>
    <row r="200" spans="1:58" ht="42" customHeight="1" x14ac:dyDescent="0.45">
      <c r="A200" s="204">
        <v>181</v>
      </c>
      <c r="B200" s="205" t="s">
        <v>1829</v>
      </c>
      <c r="C200" s="190" t="s">
        <v>1830</v>
      </c>
      <c r="D200" s="190" t="s">
        <v>1562</v>
      </c>
      <c r="E200" s="205" t="s">
        <v>557</v>
      </c>
      <c r="F200" s="192" t="s">
        <v>58</v>
      </c>
      <c r="G200" s="190" t="s">
        <v>59</v>
      </c>
      <c r="H200" s="190" t="s">
        <v>57</v>
      </c>
      <c r="I200" s="191" t="s">
        <v>61</v>
      </c>
      <c r="J200" s="191" t="s">
        <v>62</v>
      </c>
      <c r="K200" s="190" t="s">
        <v>558</v>
      </c>
      <c r="L200" s="66" t="s">
        <v>559</v>
      </c>
      <c r="M200" s="190" t="s">
        <v>1835</v>
      </c>
      <c r="N200" s="209" t="s">
        <v>275</v>
      </c>
      <c r="O200" s="207" t="s">
        <v>196</v>
      </c>
      <c r="P200" s="190" t="s">
        <v>561</v>
      </c>
      <c r="Q200" s="190" t="s">
        <v>562</v>
      </c>
      <c r="R200" s="190" t="s">
        <v>563</v>
      </c>
      <c r="S200" s="191" t="s">
        <v>564</v>
      </c>
      <c r="T200" s="190" t="s">
        <v>565</v>
      </c>
      <c r="U200" s="25" t="s">
        <v>566</v>
      </c>
      <c r="V200" s="190" t="s">
        <v>282</v>
      </c>
      <c r="W200" s="192" t="s">
        <v>283</v>
      </c>
      <c r="X200" s="190" t="s">
        <v>284</v>
      </c>
      <c r="Y200" s="49" t="s">
        <v>285</v>
      </c>
      <c r="Z200" s="190" t="s">
        <v>286</v>
      </c>
      <c r="AA200" s="191" t="s">
        <v>286</v>
      </c>
      <c r="AB200" s="190" t="s">
        <v>287</v>
      </c>
      <c r="AC200" s="190" t="s">
        <v>288</v>
      </c>
      <c r="AD200" s="49" t="s">
        <v>289</v>
      </c>
      <c r="AE200" s="58" t="s">
        <v>290</v>
      </c>
      <c r="AF200" s="56" t="s">
        <v>291</v>
      </c>
      <c r="AG200" s="190" t="s">
        <v>292</v>
      </c>
      <c r="AH200" s="190" t="s">
        <v>293</v>
      </c>
      <c r="AI200" s="193" t="s">
        <v>215</v>
      </c>
      <c r="AJ200" s="190" t="s">
        <v>216</v>
      </c>
      <c r="AK200" s="194" t="s">
        <v>217</v>
      </c>
      <c r="AL200" s="195" t="s">
        <v>218</v>
      </c>
      <c r="AM200" s="196" t="s">
        <v>219</v>
      </c>
      <c r="AN200" s="197" t="s">
        <v>220</v>
      </c>
      <c r="AO200" s="198" t="s">
        <v>221</v>
      </c>
      <c r="AP200" s="51" t="s">
        <v>138</v>
      </c>
      <c r="AQ200" s="26" t="s">
        <v>139</v>
      </c>
      <c r="AR200" s="194" t="s">
        <v>140</v>
      </c>
      <c r="AS200" s="22" t="s">
        <v>141</v>
      </c>
      <c r="AT200" s="195" t="s">
        <v>142</v>
      </c>
      <c r="AU200" s="199" t="s">
        <v>143</v>
      </c>
      <c r="AV200" s="200" t="s">
        <v>144</v>
      </c>
      <c r="AW200" s="201" t="s">
        <v>145</v>
      </c>
      <c r="AX200" s="202" t="s">
        <v>146</v>
      </c>
      <c r="AY200" s="203" t="s">
        <v>147</v>
      </c>
      <c r="AZ200" s="200" t="s">
        <v>567</v>
      </c>
      <c r="BA200" s="34" t="s">
        <v>320</v>
      </c>
      <c r="BB200" s="591" t="str">
        <f t="shared" si="15"/>
        <v>TEMPLATE</v>
      </c>
      <c r="BC200" s="591" t="str">
        <f t="shared" si="16"/>
        <v>1. Ministries-MOMAH-NCA-ECC-2:2024</v>
      </c>
      <c r="BD200" s="591" t="str">
        <f t="shared" si="17"/>
        <v>MOMAH-NCA-ECC-2-2024</v>
      </c>
      <c r="BE200" s="591" t="str">
        <f t="shared" si="18"/>
        <v>NCA-ECC-2-2024</v>
      </c>
      <c r="BF200" s="594">
        <f t="shared" si="19"/>
        <v>6</v>
      </c>
    </row>
    <row r="201" spans="1:58" ht="42" customHeight="1" x14ac:dyDescent="0.45">
      <c r="A201" s="42">
        <v>182</v>
      </c>
      <c r="B201" s="189" t="s">
        <v>1829</v>
      </c>
      <c r="C201" s="44" t="s">
        <v>1830</v>
      </c>
      <c r="D201" s="44" t="s">
        <v>1562</v>
      </c>
      <c r="E201" s="189" t="s">
        <v>382</v>
      </c>
      <c r="F201" s="45" t="s">
        <v>383</v>
      </c>
      <c r="G201" s="44" t="s">
        <v>384</v>
      </c>
      <c r="H201" s="44" t="s">
        <v>765</v>
      </c>
      <c r="I201" s="46" t="s">
        <v>250</v>
      </c>
      <c r="J201" s="46" t="s">
        <v>386</v>
      </c>
      <c r="K201" s="44" t="s">
        <v>558</v>
      </c>
      <c r="L201" s="66" t="s">
        <v>559</v>
      </c>
      <c r="M201" s="44" t="s">
        <v>1836</v>
      </c>
      <c r="N201" s="59" t="s">
        <v>275</v>
      </c>
      <c r="O201" s="48" t="s">
        <v>540</v>
      </c>
      <c r="P201" s="44" t="s">
        <v>380</v>
      </c>
      <c r="Q201" s="190" t="s">
        <v>390</v>
      </c>
      <c r="R201" s="190" t="s">
        <v>391</v>
      </c>
      <c r="S201" s="191" t="s">
        <v>392</v>
      </c>
      <c r="T201" s="190" t="s">
        <v>393</v>
      </c>
      <c r="U201" s="25" t="s">
        <v>394</v>
      </c>
      <c r="V201" s="190" t="s">
        <v>395</v>
      </c>
      <c r="W201" s="192" t="s">
        <v>396</v>
      </c>
      <c r="X201" s="190" t="s">
        <v>397</v>
      </c>
      <c r="Y201" s="49" t="s">
        <v>398</v>
      </c>
      <c r="Z201" s="190" t="s">
        <v>399</v>
      </c>
      <c r="AA201" s="191" t="s">
        <v>400</v>
      </c>
      <c r="AB201" s="190" t="s">
        <v>401</v>
      </c>
      <c r="AC201" s="190" t="s">
        <v>402</v>
      </c>
      <c r="AD201" s="49" t="s">
        <v>403</v>
      </c>
      <c r="AE201" s="50" t="s">
        <v>404</v>
      </c>
      <c r="AF201" s="60" t="s">
        <v>405</v>
      </c>
      <c r="AG201" s="190" t="s">
        <v>406</v>
      </c>
      <c r="AH201" s="190" t="s">
        <v>407</v>
      </c>
      <c r="AI201" s="193" t="s">
        <v>408</v>
      </c>
      <c r="AJ201" s="190" t="s">
        <v>409</v>
      </c>
      <c r="AK201" s="194" t="s">
        <v>410</v>
      </c>
      <c r="AL201" s="195" t="s">
        <v>411</v>
      </c>
      <c r="AM201" s="196" t="s">
        <v>412</v>
      </c>
      <c r="AN201" s="197" t="s">
        <v>413</v>
      </c>
      <c r="AO201" s="198" t="s">
        <v>414</v>
      </c>
      <c r="AP201" s="51" t="s">
        <v>415</v>
      </c>
      <c r="AQ201" s="26" t="s">
        <v>416</v>
      </c>
      <c r="AR201" s="194" t="s">
        <v>417</v>
      </c>
      <c r="AS201" s="22" t="s">
        <v>418</v>
      </c>
      <c r="AT201" s="195" t="s">
        <v>419</v>
      </c>
      <c r="AU201" s="199" t="s">
        <v>420</v>
      </c>
      <c r="AV201" s="200" t="s">
        <v>421</v>
      </c>
      <c r="AW201" s="201" t="s">
        <v>422</v>
      </c>
      <c r="AX201" s="202" t="s">
        <v>423</v>
      </c>
      <c r="AY201" s="203" t="s">
        <v>424</v>
      </c>
      <c r="AZ201" s="200" t="s">
        <v>425</v>
      </c>
      <c r="BA201" s="34" t="s">
        <v>320</v>
      </c>
      <c r="BB201" s="591" t="str">
        <f t="shared" si="15"/>
        <v>DEEP</v>
      </c>
      <c r="BC201" s="591" t="str">
        <f t="shared" si="16"/>
        <v>1. Ministries-MOMAH-PDPL-2021</v>
      </c>
      <c r="BD201" s="591" t="str">
        <f t="shared" si="17"/>
        <v>MOMAH-PDPL-2021</v>
      </c>
      <c r="BE201" s="591" t="str">
        <f t="shared" si="18"/>
        <v>NONE</v>
      </c>
      <c r="BF201" s="594">
        <f t="shared" si="19"/>
        <v>13</v>
      </c>
    </row>
    <row r="202" spans="1:58" ht="42" customHeight="1" x14ac:dyDescent="0.45">
      <c r="A202" s="204">
        <v>183</v>
      </c>
      <c r="B202" s="205" t="s">
        <v>1837</v>
      </c>
      <c r="C202" s="190" t="s">
        <v>1838</v>
      </c>
      <c r="D202" s="190" t="s">
        <v>1562</v>
      </c>
      <c r="E202" s="205" t="s">
        <v>1839</v>
      </c>
      <c r="F202" s="192" t="s">
        <v>1840</v>
      </c>
      <c r="G202" s="190" t="s">
        <v>1745</v>
      </c>
      <c r="H202" s="190" t="s">
        <v>1746</v>
      </c>
      <c r="I202" s="191" t="s">
        <v>1346</v>
      </c>
      <c r="J202" s="191" t="s">
        <v>310</v>
      </c>
      <c r="K202" s="190" t="s">
        <v>63</v>
      </c>
      <c r="L202" s="22" t="s">
        <v>64</v>
      </c>
      <c r="M202" s="190" t="s">
        <v>1748</v>
      </c>
      <c r="N202" s="208" t="s">
        <v>253</v>
      </c>
      <c r="O202" s="207" t="s">
        <v>1841</v>
      </c>
      <c r="P202" s="190" t="s">
        <v>1750</v>
      </c>
      <c r="Q202" s="190" t="s">
        <v>562</v>
      </c>
      <c r="R202" s="190" t="s">
        <v>563</v>
      </c>
      <c r="S202" s="191" t="s">
        <v>564</v>
      </c>
      <c r="T202" s="190" t="s">
        <v>565</v>
      </c>
      <c r="U202" s="25" t="s">
        <v>566</v>
      </c>
      <c r="V202" s="190" t="s">
        <v>282</v>
      </c>
      <c r="W202" s="192" t="s">
        <v>283</v>
      </c>
      <c r="X202" s="190" t="s">
        <v>284</v>
      </c>
      <c r="Y202" s="49" t="s">
        <v>285</v>
      </c>
      <c r="Z202" s="190" t="s">
        <v>286</v>
      </c>
      <c r="AA202" s="191" t="s">
        <v>286</v>
      </c>
      <c r="AB202" s="190" t="s">
        <v>287</v>
      </c>
      <c r="AC202" s="190" t="s">
        <v>288</v>
      </c>
      <c r="AD202" s="49" t="s">
        <v>289</v>
      </c>
      <c r="AE202" s="58" t="s">
        <v>290</v>
      </c>
      <c r="AF202" s="56" t="s">
        <v>291</v>
      </c>
      <c r="AG202" s="190" t="s">
        <v>292</v>
      </c>
      <c r="AH202" s="190" t="s">
        <v>293</v>
      </c>
      <c r="AI202" s="193" t="s">
        <v>215</v>
      </c>
      <c r="AJ202" s="190" t="s">
        <v>216</v>
      </c>
      <c r="AK202" s="194" t="s">
        <v>217</v>
      </c>
      <c r="AL202" s="195" t="s">
        <v>218</v>
      </c>
      <c r="AM202" s="196" t="s">
        <v>219</v>
      </c>
      <c r="AN202" s="197" t="s">
        <v>220</v>
      </c>
      <c r="AO202" s="198" t="s">
        <v>221</v>
      </c>
      <c r="AP202" s="51" t="s">
        <v>138</v>
      </c>
      <c r="AQ202" s="26" t="s">
        <v>139</v>
      </c>
      <c r="AR202" s="194" t="s">
        <v>140</v>
      </c>
      <c r="AS202" s="22" t="s">
        <v>141</v>
      </c>
      <c r="AT202" s="195" t="s">
        <v>142</v>
      </c>
      <c r="AU202" s="199" t="s">
        <v>143</v>
      </c>
      <c r="AV202" s="200" t="s">
        <v>144</v>
      </c>
      <c r="AW202" s="201" t="s">
        <v>145</v>
      </c>
      <c r="AX202" s="202" t="s">
        <v>146</v>
      </c>
      <c r="AY202" s="203" t="s">
        <v>147</v>
      </c>
      <c r="AZ202" s="200" t="s">
        <v>104</v>
      </c>
      <c r="BA202" s="41" t="s">
        <v>105</v>
      </c>
      <c r="BB202" s="591" t="str">
        <f t="shared" si="15"/>
        <v>TEMPLATE</v>
      </c>
      <c r="BC202" s="591" t="str">
        <f t="shared" si="16"/>
        <v>1. Ministries-MOIA-MOIA-LAW</v>
      </c>
      <c r="BD202" s="591" t="str">
        <f t="shared" si="17"/>
        <v>MOIA-MOIA-LAW</v>
      </c>
      <c r="BE202" s="591" t="str">
        <f t="shared" si="18"/>
        <v>NONE</v>
      </c>
      <c r="BF202" s="594">
        <f t="shared" si="19"/>
        <v>7</v>
      </c>
    </row>
    <row r="203" spans="1:58" ht="42" customHeight="1" x14ac:dyDescent="0.45">
      <c r="A203" s="42">
        <v>184</v>
      </c>
      <c r="B203" s="189" t="s">
        <v>1837</v>
      </c>
      <c r="C203" s="44" t="s">
        <v>1838</v>
      </c>
      <c r="D203" s="44" t="s">
        <v>1562</v>
      </c>
      <c r="E203" s="189" t="s">
        <v>557</v>
      </c>
      <c r="F203" s="45" t="s">
        <v>58</v>
      </c>
      <c r="G203" s="44" t="s">
        <v>59</v>
      </c>
      <c r="H203" s="44" t="s">
        <v>57</v>
      </c>
      <c r="I203" s="46" t="s">
        <v>61</v>
      </c>
      <c r="J203" s="46" t="s">
        <v>62</v>
      </c>
      <c r="K203" s="44" t="s">
        <v>558</v>
      </c>
      <c r="L203" s="66" t="s">
        <v>559</v>
      </c>
      <c r="M203" s="44" t="s">
        <v>1842</v>
      </c>
      <c r="N203" s="59" t="s">
        <v>275</v>
      </c>
      <c r="O203" s="48" t="s">
        <v>196</v>
      </c>
      <c r="P203" s="44" t="s">
        <v>561</v>
      </c>
      <c r="Q203" s="190" t="s">
        <v>562</v>
      </c>
      <c r="R203" s="190" t="s">
        <v>563</v>
      </c>
      <c r="S203" s="191" t="s">
        <v>564</v>
      </c>
      <c r="T203" s="190" t="s">
        <v>565</v>
      </c>
      <c r="U203" s="25" t="s">
        <v>566</v>
      </c>
      <c r="V203" s="190" t="s">
        <v>282</v>
      </c>
      <c r="W203" s="192" t="s">
        <v>283</v>
      </c>
      <c r="X203" s="190" t="s">
        <v>284</v>
      </c>
      <c r="Y203" s="49" t="s">
        <v>285</v>
      </c>
      <c r="Z203" s="190" t="s">
        <v>286</v>
      </c>
      <c r="AA203" s="191" t="s">
        <v>286</v>
      </c>
      <c r="AB203" s="190" t="s">
        <v>287</v>
      </c>
      <c r="AC203" s="190" t="s">
        <v>288</v>
      </c>
      <c r="AD203" s="49" t="s">
        <v>289</v>
      </c>
      <c r="AE203" s="58" t="s">
        <v>290</v>
      </c>
      <c r="AF203" s="56" t="s">
        <v>291</v>
      </c>
      <c r="AG203" s="190" t="s">
        <v>292</v>
      </c>
      <c r="AH203" s="190" t="s">
        <v>293</v>
      </c>
      <c r="AI203" s="193" t="s">
        <v>215</v>
      </c>
      <c r="AJ203" s="190" t="s">
        <v>216</v>
      </c>
      <c r="AK203" s="194" t="s">
        <v>217</v>
      </c>
      <c r="AL203" s="195" t="s">
        <v>218</v>
      </c>
      <c r="AM203" s="196" t="s">
        <v>219</v>
      </c>
      <c r="AN203" s="197" t="s">
        <v>220</v>
      </c>
      <c r="AO203" s="198" t="s">
        <v>221</v>
      </c>
      <c r="AP203" s="51" t="s">
        <v>138</v>
      </c>
      <c r="AQ203" s="26" t="s">
        <v>139</v>
      </c>
      <c r="AR203" s="194" t="s">
        <v>140</v>
      </c>
      <c r="AS203" s="22" t="s">
        <v>141</v>
      </c>
      <c r="AT203" s="195" t="s">
        <v>142</v>
      </c>
      <c r="AU203" s="199" t="s">
        <v>143</v>
      </c>
      <c r="AV203" s="200" t="s">
        <v>144</v>
      </c>
      <c r="AW203" s="201" t="s">
        <v>145</v>
      </c>
      <c r="AX203" s="202" t="s">
        <v>146</v>
      </c>
      <c r="AY203" s="203" t="s">
        <v>147</v>
      </c>
      <c r="AZ203" s="200" t="s">
        <v>567</v>
      </c>
      <c r="BA203" s="34" t="s">
        <v>320</v>
      </c>
      <c r="BB203" s="591" t="str">
        <f t="shared" si="15"/>
        <v>TEMPLATE</v>
      </c>
      <c r="BC203" s="591" t="str">
        <f t="shared" si="16"/>
        <v>1. Ministries-MOIA-NCA-ECC-2:2024</v>
      </c>
      <c r="BD203" s="591" t="str">
        <f t="shared" si="17"/>
        <v>MOIA-NCA-ECC-2-2024</v>
      </c>
      <c r="BE203" s="591" t="str">
        <f t="shared" si="18"/>
        <v>NCA-ECC-2-2024</v>
      </c>
      <c r="BF203" s="594">
        <f t="shared" si="19"/>
        <v>6</v>
      </c>
    </row>
    <row r="204" spans="1:58" ht="42" customHeight="1" x14ac:dyDescent="0.45">
      <c r="A204" s="204">
        <v>185</v>
      </c>
      <c r="B204" s="205" t="s">
        <v>1837</v>
      </c>
      <c r="C204" s="190" t="s">
        <v>1838</v>
      </c>
      <c r="D204" s="190" t="s">
        <v>1562</v>
      </c>
      <c r="E204" s="205" t="s">
        <v>382</v>
      </c>
      <c r="F204" s="192" t="s">
        <v>383</v>
      </c>
      <c r="G204" s="190" t="s">
        <v>384</v>
      </c>
      <c r="H204" s="190" t="s">
        <v>765</v>
      </c>
      <c r="I204" s="191" t="s">
        <v>250</v>
      </c>
      <c r="J204" s="191" t="s">
        <v>386</v>
      </c>
      <c r="K204" s="190" t="s">
        <v>558</v>
      </c>
      <c r="L204" s="66" t="s">
        <v>559</v>
      </c>
      <c r="M204" s="190" t="s">
        <v>1843</v>
      </c>
      <c r="N204" s="209" t="s">
        <v>275</v>
      </c>
      <c r="O204" s="207" t="s">
        <v>540</v>
      </c>
      <c r="P204" s="190" t="s">
        <v>380</v>
      </c>
      <c r="Q204" s="190" t="s">
        <v>390</v>
      </c>
      <c r="R204" s="190" t="s">
        <v>391</v>
      </c>
      <c r="S204" s="191" t="s">
        <v>392</v>
      </c>
      <c r="T204" s="190" t="s">
        <v>393</v>
      </c>
      <c r="U204" s="25" t="s">
        <v>394</v>
      </c>
      <c r="V204" s="190" t="s">
        <v>395</v>
      </c>
      <c r="W204" s="192" t="s">
        <v>396</v>
      </c>
      <c r="X204" s="190" t="s">
        <v>397</v>
      </c>
      <c r="Y204" s="49" t="s">
        <v>398</v>
      </c>
      <c r="Z204" s="190" t="s">
        <v>399</v>
      </c>
      <c r="AA204" s="191" t="s">
        <v>400</v>
      </c>
      <c r="AB204" s="190" t="s">
        <v>401</v>
      </c>
      <c r="AC204" s="190" t="s">
        <v>402</v>
      </c>
      <c r="AD204" s="49" t="s">
        <v>403</v>
      </c>
      <c r="AE204" s="50" t="s">
        <v>404</v>
      </c>
      <c r="AF204" s="60" t="s">
        <v>405</v>
      </c>
      <c r="AG204" s="190" t="s">
        <v>406</v>
      </c>
      <c r="AH204" s="190" t="s">
        <v>407</v>
      </c>
      <c r="AI204" s="193" t="s">
        <v>408</v>
      </c>
      <c r="AJ204" s="190" t="s">
        <v>409</v>
      </c>
      <c r="AK204" s="194" t="s">
        <v>410</v>
      </c>
      <c r="AL204" s="195" t="s">
        <v>411</v>
      </c>
      <c r="AM204" s="196" t="s">
        <v>412</v>
      </c>
      <c r="AN204" s="197" t="s">
        <v>413</v>
      </c>
      <c r="AO204" s="198" t="s">
        <v>414</v>
      </c>
      <c r="AP204" s="51" t="s">
        <v>415</v>
      </c>
      <c r="AQ204" s="26" t="s">
        <v>416</v>
      </c>
      <c r="AR204" s="194" t="s">
        <v>417</v>
      </c>
      <c r="AS204" s="22" t="s">
        <v>418</v>
      </c>
      <c r="AT204" s="195" t="s">
        <v>419</v>
      </c>
      <c r="AU204" s="199" t="s">
        <v>420</v>
      </c>
      <c r="AV204" s="200" t="s">
        <v>421</v>
      </c>
      <c r="AW204" s="201" t="s">
        <v>422</v>
      </c>
      <c r="AX204" s="202" t="s">
        <v>423</v>
      </c>
      <c r="AY204" s="203" t="s">
        <v>424</v>
      </c>
      <c r="AZ204" s="200" t="s">
        <v>425</v>
      </c>
      <c r="BA204" s="34" t="s">
        <v>320</v>
      </c>
      <c r="BB204" s="591" t="str">
        <f t="shared" si="15"/>
        <v>DEEP</v>
      </c>
      <c r="BC204" s="591" t="str">
        <f t="shared" si="16"/>
        <v>1. Ministries-MOIA-PDPL-2021</v>
      </c>
      <c r="BD204" s="591" t="str">
        <f t="shared" si="17"/>
        <v>MOIA-PDPL-2021</v>
      </c>
      <c r="BE204" s="591" t="str">
        <f t="shared" si="18"/>
        <v>NONE</v>
      </c>
      <c r="BF204" s="594">
        <f t="shared" si="19"/>
        <v>13</v>
      </c>
    </row>
    <row r="205" spans="1:58" ht="42" customHeight="1" x14ac:dyDescent="0.45">
      <c r="A205" s="42">
        <v>186</v>
      </c>
      <c r="B205" s="189" t="s">
        <v>1844</v>
      </c>
      <c r="C205" s="44" t="s">
        <v>1845</v>
      </c>
      <c r="D205" s="44" t="s">
        <v>1562</v>
      </c>
      <c r="E205" s="189" t="s">
        <v>1846</v>
      </c>
      <c r="F205" s="45" t="s">
        <v>1847</v>
      </c>
      <c r="G205" s="44" t="s">
        <v>1745</v>
      </c>
      <c r="H205" s="44" t="s">
        <v>1746</v>
      </c>
      <c r="I205" s="46" t="s">
        <v>61</v>
      </c>
      <c r="J205" s="46" t="s">
        <v>310</v>
      </c>
      <c r="K205" s="44" t="s">
        <v>63</v>
      </c>
      <c r="L205" s="22" t="s">
        <v>64</v>
      </c>
      <c r="M205" s="44" t="s">
        <v>1748</v>
      </c>
      <c r="N205" s="55" t="s">
        <v>253</v>
      </c>
      <c r="O205" s="48" t="s">
        <v>1848</v>
      </c>
      <c r="P205" s="44" t="s">
        <v>1750</v>
      </c>
      <c r="Q205" s="190" t="s">
        <v>562</v>
      </c>
      <c r="R205" s="190" t="s">
        <v>563</v>
      </c>
      <c r="S205" s="191" t="s">
        <v>564</v>
      </c>
      <c r="T205" s="190" t="s">
        <v>565</v>
      </c>
      <c r="U205" s="25" t="s">
        <v>566</v>
      </c>
      <c r="V205" s="190" t="s">
        <v>282</v>
      </c>
      <c r="W205" s="192" t="s">
        <v>283</v>
      </c>
      <c r="X205" s="190" t="s">
        <v>284</v>
      </c>
      <c r="Y205" s="49" t="s">
        <v>285</v>
      </c>
      <c r="Z205" s="190" t="s">
        <v>286</v>
      </c>
      <c r="AA205" s="191" t="s">
        <v>286</v>
      </c>
      <c r="AB205" s="190" t="s">
        <v>287</v>
      </c>
      <c r="AC205" s="190" t="s">
        <v>288</v>
      </c>
      <c r="AD205" s="49" t="s">
        <v>289</v>
      </c>
      <c r="AE205" s="58" t="s">
        <v>290</v>
      </c>
      <c r="AF205" s="56" t="s">
        <v>291</v>
      </c>
      <c r="AG205" s="190" t="s">
        <v>292</v>
      </c>
      <c r="AH205" s="190" t="s">
        <v>293</v>
      </c>
      <c r="AI205" s="193" t="s">
        <v>215</v>
      </c>
      <c r="AJ205" s="190" t="s">
        <v>216</v>
      </c>
      <c r="AK205" s="194" t="s">
        <v>217</v>
      </c>
      <c r="AL205" s="195" t="s">
        <v>218</v>
      </c>
      <c r="AM205" s="196" t="s">
        <v>219</v>
      </c>
      <c r="AN205" s="197" t="s">
        <v>220</v>
      </c>
      <c r="AO205" s="198" t="s">
        <v>221</v>
      </c>
      <c r="AP205" s="51" t="s">
        <v>138</v>
      </c>
      <c r="AQ205" s="26" t="s">
        <v>139</v>
      </c>
      <c r="AR205" s="194" t="s">
        <v>140</v>
      </c>
      <c r="AS205" s="22" t="s">
        <v>141</v>
      </c>
      <c r="AT205" s="195" t="s">
        <v>142</v>
      </c>
      <c r="AU205" s="199" t="s">
        <v>143</v>
      </c>
      <c r="AV205" s="200" t="s">
        <v>144</v>
      </c>
      <c r="AW205" s="201" t="s">
        <v>145</v>
      </c>
      <c r="AX205" s="202" t="s">
        <v>146</v>
      </c>
      <c r="AY205" s="203" t="s">
        <v>147</v>
      </c>
      <c r="AZ205" s="200" t="s">
        <v>104</v>
      </c>
      <c r="BA205" s="41" t="s">
        <v>105</v>
      </c>
      <c r="BB205" s="591" t="str">
        <f t="shared" si="15"/>
        <v>TEMPLATE</v>
      </c>
      <c r="BC205" s="591" t="str">
        <f t="shared" si="16"/>
        <v>1. Ministries-MOCult-MOCult-LAW</v>
      </c>
      <c r="BD205" s="591" t="str">
        <f t="shared" si="17"/>
        <v>MOCult-MOCult-LAW</v>
      </c>
      <c r="BE205" s="591" t="str">
        <f t="shared" si="18"/>
        <v>NONE</v>
      </c>
      <c r="BF205" s="594">
        <f t="shared" si="19"/>
        <v>7</v>
      </c>
    </row>
    <row r="206" spans="1:58" ht="42" customHeight="1" x14ac:dyDescent="0.45">
      <c r="A206" s="204">
        <v>187</v>
      </c>
      <c r="B206" s="205" t="s">
        <v>1844</v>
      </c>
      <c r="C206" s="190" t="s">
        <v>1845</v>
      </c>
      <c r="D206" s="190" t="s">
        <v>1562</v>
      </c>
      <c r="E206" s="205" t="s">
        <v>557</v>
      </c>
      <c r="F206" s="192" t="s">
        <v>58</v>
      </c>
      <c r="G206" s="190" t="s">
        <v>59</v>
      </c>
      <c r="H206" s="190" t="s">
        <v>57</v>
      </c>
      <c r="I206" s="191" t="s">
        <v>61</v>
      </c>
      <c r="J206" s="191" t="s">
        <v>62</v>
      </c>
      <c r="K206" s="190" t="s">
        <v>558</v>
      </c>
      <c r="L206" s="66" t="s">
        <v>559</v>
      </c>
      <c r="M206" s="190" t="s">
        <v>1849</v>
      </c>
      <c r="N206" s="209" t="s">
        <v>275</v>
      </c>
      <c r="O206" s="207" t="s">
        <v>196</v>
      </c>
      <c r="P206" s="190" t="s">
        <v>561</v>
      </c>
      <c r="Q206" s="190" t="s">
        <v>562</v>
      </c>
      <c r="R206" s="190" t="s">
        <v>563</v>
      </c>
      <c r="S206" s="191" t="s">
        <v>564</v>
      </c>
      <c r="T206" s="190" t="s">
        <v>565</v>
      </c>
      <c r="U206" s="25" t="s">
        <v>566</v>
      </c>
      <c r="V206" s="190" t="s">
        <v>282</v>
      </c>
      <c r="W206" s="192" t="s">
        <v>283</v>
      </c>
      <c r="X206" s="190" t="s">
        <v>284</v>
      </c>
      <c r="Y206" s="49" t="s">
        <v>285</v>
      </c>
      <c r="Z206" s="190" t="s">
        <v>286</v>
      </c>
      <c r="AA206" s="191" t="s">
        <v>286</v>
      </c>
      <c r="AB206" s="190" t="s">
        <v>287</v>
      </c>
      <c r="AC206" s="190" t="s">
        <v>288</v>
      </c>
      <c r="AD206" s="49" t="s">
        <v>289</v>
      </c>
      <c r="AE206" s="58" t="s">
        <v>290</v>
      </c>
      <c r="AF206" s="56" t="s">
        <v>291</v>
      </c>
      <c r="AG206" s="190" t="s">
        <v>292</v>
      </c>
      <c r="AH206" s="190" t="s">
        <v>293</v>
      </c>
      <c r="AI206" s="193" t="s">
        <v>215</v>
      </c>
      <c r="AJ206" s="190" t="s">
        <v>216</v>
      </c>
      <c r="AK206" s="194" t="s">
        <v>217</v>
      </c>
      <c r="AL206" s="195" t="s">
        <v>218</v>
      </c>
      <c r="AM206" s="196" t="s">
        <v>219</v>
      </c>
      <c r="AN206" s="197" t="s">
        <v>220</v>
      </c>
      <c r="AO206" s="198" t="s">
        <v>221</v>
      </c>
      <c r="AP206" s="51" t="s">
        <v>138</v>
      </c>
      <c r="AQ206" s="26" t="s">
        <v>139</v>
      </c>
      <c r="AR206" s="194" t="s">
        <v>140</v>
      </c>
      <c r="AS206" s="22" t="s">
        <v>141</v>
      </c>
      <c r="AT206" s="195" t="s">
        <v>142</v>
      </c>
      <c r="AU206" s="199" t="s">
        <v>143</v>
      </c>
      <c r="AV206" s="200" t="s">
        <v>144</v>
      </c>
      <c r="AW206" s="201" t="s">
        <v>145</v>
      </c>
      <c r="AX206" s="202" t="s">
        <v>146</v>
      </c>
      <c r="AY206" s="203" t="s">
        <v>147</v>
      </c>
      <c r="AZ206" s="200" t="s">
        <v>567</v>
      </c>
      <c r="BA206" s="34" t="s">
        <v>320</v>
      </c>
      <c r="BB206" s="591" t="str">
        <f t="shared" si="15"/>
        <v>TEMPLATE</v>
      </c>
      <c r="BC206" s="591" t="str">
        <f t="shared" si="16"/>
        <v>1. Ministries-MOCult-NCA-ECC-2:2024</v>
      </c>
      <c r="BD206" s="591" t="str">
        <f t="shared" si="17"/>
        <v>MOCult-NCA-ECC-2-2024</v>
      </c>
      <c r="BE206" s="591" t="str">
        <f t="shared" si="18"/>
        <v>NCA-ECC-2-2024</v>
      </c>
      <c r="BF206" s="594">
        <f t="shared" si="19"/>
        <v>6</v>
      </c>
    </row>
    <row r="207" spans="1:58" ht="42" customHeight="1" x14ac:dyDescent="0.45">
      <c r="A207" s="42">
        <v>188</v>
      </c>
      <c r="B207" s="189" t="s">
        <v>1844</v>
      </c>
      <c r="C207" s="44" t="s">
        <v>1845</v>
      </c>
      <c r="D207" s="44" t="s">
        <v>1562</v>
      </c>
      <c r="E207" s="189" t="s">
        <v>382</v>
      </c>
      <c r="F207" s="45" t="s">
        <v>383</v>
      </c>
      <c r="G207" s="44" t="s">
        <v>384</v>
      </c>
      <c r="H207" s="44" t="s">
        <v>765</v>
      </c>
      <c r="I207" s="46" t="s">
        <v>250</v>
      </c>
      <c r="J207" s="46" t="s">
        <v>386</v>
      </c>
      <c r="K207" s="44" t="s">
        <v>558</v>
      </c>
      <c r="L207" s="66" t="s">
        <v>559</v>
      </c>
      <c r="M207" s="44" t="s">
        <v>1850</v>
      </c>
      <c r="N207" s="59" t="s">
        <v>275</v>
      </c>
      <c r="O207" s="48" t="s">
        <v>540</v>
      </c>
      <c r="P207" s="44" t="s">
        <v>380</v>
      </c>
      <c r="Q207" s="190" t="s">
        <v>390</v>
      </c>
      <c r="R207" s="190" t="s">
        <v>391</v>
      </c>
      <c r="S207" s="191" t="s">
        <v>392</v>
      </c>
      <c r="T207" s="190" t="s">
        <v>393</v>
      </c>
      <c r="U207" s="25" t="s">
        <v>394</v>
      </c>
      <c r="V207" s="190" t="s">
        <v>395</v>
      </c>
      <c r="W207" s="192" t="s">
        <v>396</v>
      </c>
      <c r="X207" s="190" t="s">
        <v>397</v>
      </c>
      <c r="Y207" s="49" t="s">
        <v>398</v>
      </c>
      <c r="Z207" s="190" t="s">
        <v>399</v>
      </c>
      <c r="AA207" s="191" t="s">
        <v>400</v>
      </c>
      <c r="AB207" s="190" t="s">
        <v>401</v>
      </c>
      <c r="AC207" s="190" t="s">
        <v>402</v>
      </c>
      <c r="AD207" s="49" t="s">
        <v>403</v>
      </c>
      <c r="AE207" s="50" t="s">
        <v>404</v>
      </c>
      <c r="AF207" s="60" t="s">
        <v>405</v>
      </c>
      <c r="AG207" s="190" t="s">
        <v>406</v>
      </c>
      <c r="AH207" s="190" t="s">
        <v>407</v>
      </c>
      <c r="AI207" s="193" t="s">
        <v>408</v>
      </c>
      <c r="AJ207" s="190" t="s">
        <v>409</v>
      </c>
      <c r="AK207" s="194" t="s">
        <v>410</v>
      </c>
      <c r="AL207" s="195" t="s">
        <v>411</v>
      </c>
      <c r="AM207" s="196" t="s">
        <v>412</v>
      </c>
      <c r="AN207" s="197" t="s">
        <v>413</v>
      </c>
      <c r="AO207" s="198" t="s">
        <v>414</v>
      </c>
      <c r="AP207" s="51" t="s">
        <v>415</v>
      </c>
      <c r="AQ207" s="26" t="s">
        <v>416</v>
      </c>
      <c r="AR207" s="194" t="s">
        <v>417</v>
      </c>
      <c r="AS207" s="22" t="s">
        <v>418</v>
      </c>
      <c r="AT207" s="195" t="s">
        <v>419</v>
      </c>
      <c r="AU207" s="199" t="s">
        <v>420</v>
      </c>
      <c r="AV207" s="200" t="s">
        <v>421</v>
      </c>
      <c r="AW207" s="201" t="s">
        <v>422</v>
      </c>
      <c r="AX207" s="202" t="s">
        <v>423</v>
      </c>
      <c r="AY207" s="203" t="s">
        <v>424</v>
      </c>
      <c r="AZ207" s="200" t="s">
        <v>425</v>
      </c>
      <c r="BA207" s="34" t="s">
        <v>320</v>
      </c>
      <c r="BB207" s="591" t="str">
        <f t="shared" si="15"/>
        <v>DEEP</v>
      </c>
      <c r="BC207" s="591" t="str">
        <f t="shared" si="16"/>
        <v>1. Ministries-MOCult-PDPL-2021</v>
      </c>
      <c r="BD207" s="591" t="str">
        <f t="shared" si="17"/>
        <v>MOCult-PDPL-2021</v>
      </c>
      <c r="BE207" s="591" t="str">
        <f t="shared" si="18"/>
        <v>NONE</v>
      </c>
      <c r="BF207" s="594">
        <f t="shared" si="19"/>
        <v>13</v>
      </c>
    </row>
    <row r="208" spans="1:58" ht="42" customHeight="1" x14ac:dyDescent="0.45">
      <c r="A208" s="204">
        <v>189</v>
      </c>
      <c r="B208" s="205" t="s">
        <v>1851</v>
      </c>
      <c r="C208" s="190" t="s">
        <v>1852</v>
      </c>
      <c r="D208" s="190" t="s">
        <v>1562</v>
      </c>
      <c r="E208" s="205" t="s">
        <v>1853</v>
      </c>
      <c r="F208" s="192" t="s">
        <v>1854</v>
      </c>
      <c r="G208" s="190" t="s">
        <v>1745</v>
      </c>
      <c r="H208" s="190" t="s">
        <v>1746</v>
      </c>
      <c r="I208" s="191" t="s">
        <v>61</v>
      </c>
      <c r="J208" s="191" t="s">
        <v>310</v>
      </c>
      <c r="K208" s="190" t="s">
        <v>63</v>
      </c>
      <c r="L208" s="22" t="s">
        <v>64</v>
      </c>
      <c r="M208" s="190" t="s">
        <v>1748</v>
      </c>
      <c r="N208" s="208" t="s">
        <v>253</v>
      </c>
      <c r="O208" s="207" t="s">
        <v>1855</v>
      </c>
      <c r="P208" s="190" t="s">
        <v>1750</v>
      </c>
      <c r="Q208" s="190" t="s">
        <v>562</v>
      </c>
      <c r="R208" s="190" t="s">
        <v>563</v>
      </c>
      <c r="S208" s="191" t="s">
        <v>564</v>
      </c>
      <c r="T208" s="190" t="s">
        <v>565</v>
      </c>
      <c r="U208" s="25" t="s">
        <v>566</v>
      </c>
      <c r="V208" s="190" t="s">
        <v>282</v>
      </c>
      <c r="W208" s="192" t="s">
        <v>283</v>
      </c>
      <c r="X208" s="190" t="s">
        <v>284</v>
      </c>
      <c r="Y208" s="49" t="s">
        <v>285</v>
      </c>
      <c r="Z208" s="190" t="s">
        <v>286</v>
      </c>
      <c r="AA208" s="191" t="s">
        <v>286</v>
      </c>
      <c r="AB208" s="190" t="s">
        <v>287</v>
      </c>
      <c r="AC208" s="190" t="s">
        <v>288</v>
      </c>
      <c r="AD208" s="49" t="s">
        <v>289</v>
      </c>
      <c r="AE208" s="58" t="s">
        <v>290</v>
      </c>
      <c r="AF208" s="56" t="s">
        <v>291</v>
      </c>
      <c r="AG208" s="190" t="s">
        <v>292</v>
      </c>
      <c r="AH208" s="190" t="s">
        <v>293</v>
      </c>
      <c r="AI208" s="193" t="s">
        <v>215</v>
      </c>
      <c r="AJ208" s="190" t="s">
        <v>216</v>
      </c>
      <c r="AK208" s="194" t="s">
        <v>217</v>
      </c>
      <c r="AL208" s="195" t="s">
        <v>218</v>
      </c>
      <c r="AM208" s="196" t="s">
        <v>219</v>
      </c>
      <c r="AN208" s="197" t="s">
        <v>220</v>
      </c>
      <c r="AO208" s="198" t="s">
        <v>221</v>
      </c>
      <c r="AP208" s="51" t="s">
        <v>138</v>
      </c>
      <c r="AQ208" s="26" t="s">
        <v>139</v>
      </c>
      <c r="AR208" s="194" t="s">
        <v>140</v>
      </c>
      <c r="AS208" s="22" t="s">
        <v>141</v>
      </c>
      <c r="AT208" s="195" t="s">
        <v>142</v>
      </c>
      <c r="AU208" s="199" t="s">
        <v>143</v>
      </c>
      <c r="AV208" s="200" t="s">
        <v>144</v>
      </c>
      <c r="AW208" s="201" t="s">
        <v>145</v>
      </c>
      <c r="AX208" s="202" t="s">
        <v>146</v>
      </c>
      <c r="AY208" s="203" t="s">
        <v>147</v>
      </c>
      <c r="AZ208" s="200" t="s">
        <v>104</v>
      </c>
      <c r="BA208" s="41" t="s">
        <v>105</v>
      </c>
      <c r="BB208" s="591" t="str">
        <f t="shared" si="15"/>
        <v>TEMPLATE</v>
      </c>
      <c r="BC208" s="591" t="str">
        <f t="shared" si="16"/>
        <v>1. Ministries-MOMedia-MOMedia-LAW</v>
      </c>
      <c r="BD208" s="591" t="str">
        <f t="shared" si="17"/>
        <v>MOMedia-MOMedia-LAW</v>
      </c>
      <c r="BE208" s="591" t="str">
        <f t="shared" si="18"/>
        <v>NONE</v>
      </c>
      <c r="BF208" s="594">
        <f t="shared" si="19"/>
        <v>7</v>
      </c>
    </row>
    <row r="209" spans="1:58" ht="42" customHeight="1" x14ac:dyDescent="0.45">
      <c r="A209" s="42">
        <v>190</v>
      </c>
      <c r="B209" s="189" t="s">
        <v>1851</v>
      </c>
      <c r="C209" s="44" t="s">
        <v>1852</v>
      </c>
      <c r="D209" s="44" t="s">
        <v>1562</v>
      </c>
      <c r="E209" s="189" t="s">
        <v>557</v>
      </c>
      <c r="F209" s="45" t="s">
        <v>58</v>
      </c>
      <c r="G209" s="44" t="s">
        <v>59</v>
      </c>
      <c r="H209" s="44" t="s">
        <v>57</v>
      </c>
      <c r="I209" s="46" t="s">
        <v>61</v>
      </c>
      <c r="J209" s="46" t="s">
        <v>62</v>
      </c>
      <c r="K209" s="44" t="s">
        <v>558</v>
      </c>
      <c r="L209" s="66" t="s">
        <v>559</v>
      </c>
      <c r="M209" s="44" t="s">
        <v>1856</v>
      </c>
      <c r="N209" s="59" t="s">
        <v>275</v>
      </c>
      <c r="O209" s="48" t="s">
        <v>196</v>
      </c>
      <c r="P209" s="44" t="s">
        <v>561</v>
      </c>
      <c r="Q209" s="190" t="s">
        <v>562</v>
      </c>
      <c r="R209" s="190" t="s">
        <v>563</v>
      </c>
      <c r="S209" s="191" t="s">
        <v>564</v>
      </c>
      <c r="T209" s="190" t="s">
        <v>565</v>
      </c>
      <c r="U209" s="25" t="s">
        <v>566</v>
      </c>
      <c r="V209" s="190" t="s">
        <v>282</v>
      </c>
      <c r="W209" s="192" t="s">
        <v>283</v>
      </c>
      <c r="X209" s="190" t="s">
        <v>284</v>
      </c>
      <c r="Y209" s="49" t="s">
        <v>285</v>
      </c>
      <c r="Z209" s="190" t="s">
        <v>286</v>
      </c>
      <c r="AA209" s="191" t="s">
        <v>286</v>
      </c>
      <c r="AB209" s="190" t="s">
        <v>287</v>
      </c>
      <c r="AC209" s="190" t="s">
        <v>288</v>
      </c>
      <c r="AD209" s="49" t="s">
        <v>289</v>
      </c>
      <c r="AE209" s="58" t="s">
        <v>290</v>
      </c>
      <c r="AF209" s="56" t="s">
        <v>291</v>
      </c>
      <c r="AG209" s="190" t="s">
        <v>292</v>
      </c>
      <c r="AH209" s="190" t="s">
        <v>293</v>
      </c>
      <c r="AI209" s="193" t="s">
        <v>215</v>
      </c>
      <c r="AJ209" s="190" t="s">
        <v>216</v>
      </c>
      <c r="AK209" s="194" t="s">
        <v>217</v>
      </c>
      <c r="AL209" s="195" t="s">
        <v>218</v>
      </c>
      <c r="AM209" s="196" t="s">
        <v>219</v>
      </c>
      <c r="AN209" s="197" t="s">
        <v>220</v>
      </c>
      <c r="AO209" s="198" t="s">
        <v>221</v>
      </c>
      <c r="AP209" s="51" t="s">
        <v>138</v>
      </c>
      <c r="AQ209" s="26" t="s">
        <v>139</v>
      </c>
      <c r="AR209" s="194" t="s">
        <v>140</v>
      </c>
      <c r="AS209" s="22" t="s">
        <v>141</v>
      </c>
      <c r="AT209" s="195" t="s">
        <v>142</v>
      </c>
      <c r="AU209" s="199" t="s">
        <v>143</v>
      </c>
      <c r="AV209" s="200" t="s">
        <v>144</v>
      </c>
      <c r="AW209" s="201" t="s">
        <v>145</v>
      </c>
      <c r="AX209" s="202" t="s">
        <v>146</v>
      </c>
      <c r="AY209" s="203" t="s">
        <v>147</v>
      </c>
      <c r="AZ209" s="200" t="s">
        <v>567</v>
      </c>
      <c r="BA209" s="34" t="s">
        <v>320</v>
      </c>
      <c r="BB209" s="591" t="str">
        <f t="shared" si="15"/>
        <v>TEMPLATE</v>
      </c>
      <c r="BC209" s="591" t="str">
        <f t="shared" si="16"/>
        <v>1. Ministries-MOMedia-NCA-ECC-2:2024</v>
      </c>
      <c r="BD209" s="591" t="str">
        <f t="shared" si="17"/>
        <v>MOMedia-NCA-ECC-2-2024</v>
      </c>
      <c r="BE209" s="591" t="str">
        <f t="shared" si="18"/>
        <v>NCA-ECC-2-2024</v>
      </c>
      <c r="BF209" s="594">
        <f t="shared" si="19"/>
        <v>6</v>
      </c>
    </row>
    <row r="210" spans="1:58" ht="42" customHeight="1" x14ac:dyDescent="0.45">
      <c r="A210" s="204">
        <v>191</v>
      </c>
      <c r="B210" s="205" t="s">
        <v>1851</v>
      </c>
      <c r="C210" s="190" t="s">
        <v>1852</v>
      </c>
      <c r="D210" s="190" t="s">
        <v>1562</v>
      </c>
      <c r="E210" s="205" t="s">
        <v>382</v>
      </c>
      <c r="F210" s="192" t="s">
        <v>383</v>
      </c>
      <c r="G210" s="190" t="s">
        <v>384</v>
      </c>
      <c r="H210" s="190" t="s">
        <v>765</v>
      </c>
      <c r="I210" s="191" t="s">
        <v>250</v>
      </c>
      <c r="J210" s="191" t="s">
        <v>386</v>
      </c>
      <c r="K210" s="190" t="s">
        <v>558</v>
      </c>
      <c r="L210" s="66" t="s">
        <v>559</v>
      </c>
      <c r="M210" s="190" t="s">
        <v>1857</v>
      </c>
      <c r="N210" s="209" t="s">
        <v>275</v>
      </c>
      <c r="O210" s="207" t="s">
        <v>540</v>
      </c>
      <c r="P210" s="190" t="s">
        <v>380</v>
      </c>
      <c r="Q210" s="190" t="s">
        <v>390</v>
      </c>
      <c r="R210" s="190" t="s">
        <v>391</v>
      </c>
      <c r="S210" s="191" t="s">
        <v>392</v>
      </c>
      <c r="T210" s="190" t="s">
        <v>393</v>
      </c>
      <c r="U210" s="25" t="s">
        <v>394</v>
      </c>
      <c r="V210" s="190" t="s">
        <v>395</v>
      </c>
      <c r="W210" s="192" t="s">
        <v>396</v>
      </c>
      <c r="X210" s="190" t="s">
        <v>397</v>
      </c>
      <c r="Y210" s="49" t="s">
        <v>398</v>
      </c>
      <c r="Z210" s="190" t="s">
        <v>399</v>
      </c>
      <c r="AA210" s="191" t="s">
        <v>400</v>
      </c>
      <c r="AB210" s="190" t="s">
        <v>401</v>
      </c>
      <c r="AC210" s="190" t="s">
        <v>402</v>
      </c>
      <c r="AD210" s="49" t="s">
        <v>403</v>
      </c>
      <c r="AE210" s="50" t="s">
        <v>404</v>
      </c>
      <c r="AF210" s="60" t="s">
        <v>405</v>
      </c>
      <c r="AG210" s="190" t="s">
        <v>406</v>
      </c>
      <c r="AH210" s="190" t="s">
        <v>407</v>
      </c>
      <c r="AI210" s="193" t="s">
        <v>408</v>
      </c>
      <c r="AJ210" s="190" t="s">
        <v>409</v>
      </c>
      <c r="AK210" s="194" t="s">
        <v>410</v>
      </c>
      <c r="AL210" s="195" t="s">
        <v>411</v>
      </c>
      <c r="AM210" s="196" t="s">
        <v>412</v>
      </c>
      <c r="AN210" s="197" t="s">
        <v>413</v>
      </c>
      <c r="AO210" s="198" t="s">
        <v>414</v>
      </c>
      <c r="AP210" s="51" t="s">
        <v>415</v>
      </c>
      <c r="AQ210" s="26" t="s">
        <v>416</v>
      </c>
      <c r="AR210" s="194" t="s">
        <v>417</v>
      </c>
      <c r="AS210" s="22" t="s">
        <v>418</v>
      </c>
      <c r="AT210" s="195" t="s">
        <v>419</v>
      </c>
      <c r="AU210" s="199" t="s">
        <v>420</v>
      </c>
      <c r="AV210" s="200" t="s">
        <v>421</v>
      </c>
      <c r="AW210" s="201" t="s">
        <v>422</v>
      </c>
      <c r="AX210" s="202" t="s">
        <v>423</v>
      </c>
      <c r="AY210" s="203" t="s">
        <v>424</v>
      </c>
      <c r="AZ210" s="200" t="s">
        <v>425</v>
      </c>
      <c r="BA210" s="34" t="s">
        <v>320</v>
      </c>
      <c r="BB210" s="591" t="str">
        <f t="shared" si="15"/>
        <v>DEEP</v>
      </c>
      <c r="BC210" s="591" t="str">
        <f t="shared" si="16"/>
        <v>1. Ministries-MOMedia-PDPL-2021</v>
      </c>
      <c r="BD210" s="591" t="str">
        <f t="shared" si="17"/>
        <v>MOMedia-PDPL-2021</v>
      </c>
      <c r="BE210" s="591" t="str">
        <f t="shared" si="18"/>
        <v>NONE</v>
      </c>
      <c r="BF210" s="594">
        <f t="shared" si="19"/>
        <v>13</v>
      </c>
    </row>
    <row r="211" spans="1:58" ht="42" customHeight="1" x14ac:dyDescent="0.45">
      <c r="A211" s="42">
        <v>192</v>
      </c>
      <c r="B211" s="189" t="s">
        <v>1858</v>
      </c>
      <c r="C211" s="44" t="s">
        <v>1859</v>
      </c>
      <c r="D211" s="44" t="s">
        <v>1562</v>
      </c>
      <c r="E211" s="189" t="s">
        <v>1860</v>
      </c>
      <c r="F211" s="45" t="s">
        <v>1861</v>
      </c>
      <c r="G211" s="44" t="s">
        <v>1745</v>
      </c>
      <c r="H211" s="44" t="s">
        <v>1746</v>
      </c>
      <c r="I211" s="46" t="s">
        <v>1862</v>
      </c>
      <c r="J211" s="46" t="s">
        <v>310</v>
      </c>
      <c r="K211" s="44" t="s">
        <v>63</v>
      </c>
      <c r="L211" s="22" t="s">
        <v>64</v>
      </c>
      <c r="M211" s="44" t="s">
        <v>1748</v>
      </c>
      <c r="N211" s="55" t="s">
        <v>253</v>
      </c>
      <c r="O211" s="48" t="s">
        <v>1863</v>
      </c>
      <c r="P211" s="44" t="s">
        <v>1750</v>
      </c>
      <c r="Q211" s="190" t="s">
        <v>562</v>
      </c>
      <c r="R211" s="190" t="s">
        <v>563</v>
      </c>
      <c r="S211" s="191" t="s">
        <v>564</v>
      </c>
      <c r="T211" s="190" t="s">
        <v>565</v>
      </c>
      <c r="U211" s="25" t="s">
        <v>566</v>
      </c>
      <c r="V211" s="190" t="s">
        <v>282</v>
      </c>
      <c r="W211" s="192" t="s">
        <v>283</v>
      </c>
      <c r="X211" s="190" t="s">
        <v>284</v>
      </c>
      <c r="Y211" s="49" t="s">
        <v>285</v>
      </c>
      <c r="Z211" s="190" t="s">
        <v>286</v>
      </c>
      <c r="AA211" s="191" t="s">
        <v>286</v>
      </c>
      <c r="AB211" s="190" t="s">
        <v>287</v>
      </c>
      <c r="AC211" s="190" t="s">
        <v>288</v>
      </c>
      <c r="AD211" s="49" t="s">
        <v>289</v>
      </c>
      <c r="AE211" s="58" t="s">
        <v>290</v>
      </c>
      <c r="AF211" s="56" t="s">
        <v>291</v>
      </c>
      <c r="AG211" s="190" t="s">
        <v>292</v>
      </c>
      <c r="AH211" s="190" t="s">
        <v>293</v>
      </c>
      <c r="AI211" s="193" t="s">
        <v>215</v>
      </c>
      <c r="AJ211" s="190" t="s">
        <v>216</v>
      </c>
      <c r="AK211" s="194" t="s">
        <v>217</v>
      </c>
      <c r="AL211" s="195" t="s">
        <v>218</v>
      </c>
      <c r="AM211" s="196" t="s">
        <v>219</v>
      </c>
      <c r="AN211" s="197" t="s">
        <v>220</v>
      </c>
      <c r="AO211" s="198" t="s">
        <v>221</v>
      </c>
      <c r="AP211" s="51" t="s">
        <v>138</v>
      </c>
      <c r="AQ211" s="26" t="s">
        <v>139</v>
      </c>
      <c r="AR211" s="194" t="s">
        <v>140</v>
      </c>
      <c r="AS211" s="22" t="s">
        <v>141</v>
      </c>
      <c r="AT211" s="195" t="s">
        <v>142</v>
      </c>
      <c r="AU211" s="199" t="s">
        <v>143</v>
      </c>
      <c r="AV211" s="200" t="s">
        <v>144</v>
      </c>
      <c r="AW211" s="201" t="s">
        <v>145</v>
      </c>
      <c r="AX211" s="202" t="s">
        <v>146</v>
      </c>
      <c r="AY211" s="203" t="s">
        <v>147</v>
      </c>
      <c r="AZ211" s="200" t="s">
        <v>104</v>
      </c>
      <c r="BA211" s="41" t="s">
        <v>105</v>
      </c>
      <c r="BB211" s="591" t="str">
        <f t="shared" si="15"/>
        <v>TEMPLATE</v>
      </c>
      <c r="BC211" s="591" t="str">
        <f t="shared" si="16"/>
        <v>1. Ministries-MIM-MIM-LAW</v>
      </c>
      <c r="BD211" s="591" t="str">
        <f t="shared" si="17"/>
        <v>MIM-MIM-LAW</v>
      </c>
      <c r="BE211" s="591" t="str">
        <f t="shared" si="18"/>
        <v>NONE</v>
      </c>
      <c r="BF211" s="594">
        <f t="shared" si="19"/>
        <v>7</v>
      </c>
    </row>
    <row r="212" spans="1:58" ht="42" customHeight="1" x14ac:dyDescent="0.45">
      <c r="A212" s="204">
        <v>193</v>
      </c>
      <c r="B212" s="205" t="s">
        <v>1858</v>
      </c>
      <c r="C212" s="190" t="s">
        <v>1859</v>
      </c>
      <c r="D212" s="190" t="s">
        <v>1562</v>
      </c>
      <c r="E212" s="205" t="s">
        <v>557</v>
      </c>
      <c r="F212" s="192" t="s">
        <v>58</v>
      </c>
      <c r="G212" s="190" t="s">
        <v>59</v>
      </c>
      <c r="H212" s="190" t="s">
        <v>57</v>
      </c>
      <c r="I212" s="191" t="s">
        <v>61</v>
      </c>
      <c r="J212" s="191" t="s">
        <v>62</v>
      </c>
      <c r="K212" s="190" t="s">
        <v>558</v>
      </c>
      <c r="L212" s="66" t="s">
        <v>559</v>
      </c>
      <c r="M212" s="190" t="s">
        <v>1864</v>
      </c>
      <c r="N212" s="209" t="s">
        <v>275</v>
      </c>
      <c r="O212" s="207" t="s">
        <v>196</v>
      </c>
      <c r="P212" s="190" t="s">
        <v>561</v>
      </c>
      <c r="Q212" s="190" t="s">
        <v>562</v>
      </c>
      <c r="R212" s="190" t="s">
        <v>563</v>
      </c>
      <c r="S212" s="191" t="s">
        <v>564</v>
      </c>
      <c r="T212" s="190" t="s">
        <v>565</v>
      </c>
      <c r="U212" s="25" t="s">
        <v>566</v>
      </c>
      <c r="V212" s="190" t="s">
        <v>282</v>
      </c>
      <c r="W212" s="192" t="s">
        <v>283</v>
      </c>
      <c r="X212" s="190" t="s">
        <v>284</v>
      </c>
      <c r="Y212" s="49" t="s">
        <v>285</v>
      </c>
      <c r="Z212" s="190" t="s">
        <v>286</v>
      </c>
      <c r="AA212" s="191" t="s">
        <v>286</v>
      </c>
      <c r="AB212" s="190" t="s">
        <v>287</v>
      </c>
      <c r="AC212" s="190" t="s">
        <v>288</v>
      </c>
      <c r="AD212" s="49" t="s">
        <v>289</v>
      </c>
      <c r="AE212" s="58" t="s">
        <v>290</v>
      </c>
      <c r="AF212" s="56" t="s">
        <v>291</v>
      </c>
      <c r="AG212" s="190" t="s">
        <v>292</v>
      </c>
      <c r="AH212" s="190" t="s">
        <v>293</v>
      </c>
      <c r="AI212" s="193" t="s">
        <v>215</v>
      </c>
      <c r="AJ212" s="190" t="s">
        <v>216</v>
      </c>
      <c r="AK212" s="194" t="s">
        <v>217</v>
      </c>
      <c r="AL212" s="195" t="s">
        <v>218</v>
      </c>
      <c r="AM212" s="196" t="s">
        <v>219</v>
      </c>
      <c r="AN212" s="197" t="s">
        <v>220</v>
      </c>
      <c r="AO212" s="198" t="s">
        <v>221</v>
      </c>
      <c r="AP212" s="51" t="s">
        <v>138</v>
      </c>
      <c r="AQ212" s="26" t="s">
        <v>139</v>
      </c>
      <c r="AR212" s="194" t="s">
        <v>140</v>
      </c>
      <c r="AS212" s="22" t="s">
        <v>141</v>
      </c>
      <c r="AT212" s="195" t="s">
        <v>142</v>
      </c>
      <c r="AU212" s="199" t="s">
        <v>143</v>
      </c>
      <c r="AV212" s="200" t="s">
        <v>144</v>
      </c>
      <c r="AW212" s="201" t="s">
        <v>145</v>
      </c>
      <c r="AX212" s="202" t="s">
        <v>146</v>
      </c>
      <c r="AY212" s="203" t="s">
        <v>147</v>
      </c>
      <c r="AZ212" s="200" t="s">
        <v>567</v>
      </c>
      <c r="BA212" s="34" t="s">
        <v>320</v>
      </c>
      <c r="BB212" s="591" t="str">
        <f t="shared" si="15"/>
        <v>TEMPLATE</v>
      </c>
      <c r="BC212" s="591" t="str">
        <f t="shared" si="16"/>
        <v>1. Ministries-MIM-NCA-ECC-2:2024</v>
      </c>
      <c r="BD212" s="591" t="str">
        <f t="shared" si="17"/>
        <v>MIM-NCA-ECC-2-2024</v>
      </c>
      <c r="BE212" s="591" t="str">
        <f t="shared" si="18"/>
        <v>NCA-ECC-2-2024</v>
      </c>
      <c r="BF212" s="594">
        <f t="shared" si="19"/>
        <v>6</v>
      </c>
    </row>
    <row r="213" spans="1:58" ht="42" customHeight="1" x14ac:dyDescent="0.45">
      <c r="A213" s="42">
        <v>194</v>
      </c>
      <c r="B213" s="189" t="s">
        <v>1858</v>
      </c>
      <c r="C213" s="44" t="s">
        <v>1859</v>
      </c>
      <c r="D213" s="44" t="s">
        <v>1562</v>
      </c>
      <c r="E213" s="189" t="s">
        <v>382</v>
      </c>
      <c r="F213" s="45" t="s">
        <v>383</v>
      </c>
      <c r="G213" s="44" t="s">
        <v>384</v>
      </c>
      <c r="H213" s="44" t="s">
        <v>765</v>
      </c>
      <c r="I213" s="46" t="s">
        <v>250</v>
      </c>
      <c r="J213" s="46" t="s">
        <v>386</v>
      </c>
      <c r="K213" s="44" t="s">
        <v>558</v>
      </c>
      <c r="L213" s="66" t="s">
        <v>559</v>
      </c>
      <c r="M213" s="44" t="s">
        <v>1865</v>
      </c>
      <c r="N213" s="59" t="s">
        <v>275</v>
      </c>
      <c r="O213" s="48" t="s">
        <v>540</v>
      </c>
      <c r="P213" s="44" t="s">
        <v>380</v>
      </c>
      <c r="Q213" s="190" t="s">
        <v>390</v>
      </c>
      <c r="R213" s="190" t="s">
        <v>391</v>
      </c>
      <c r="S213" s="191" t="s">
        <v>392</v>
      </c>
      <c r="T213" s="190" t="s">
        <v>393</v>
      </c>
      <c r="U213" s="25" t="s">
        <v>394</v>
      </c>
      <c r="V213" s="190" t="s">
        <v>395</v>
      </c>
      <c r="W213" s="192" t="s">
        <v>396</v>
      </c>
      <c r="X213" s="190" t="s">
        <v>397</v>
      </c>
      <c r="Y213" s="49" t="s">
        <v>398</v>
      </c>
      <c r="Z213" s="190" t="s">
        <v>399</v>
      </c>
      <c r="AA213" s="191" t="s">
        <v>400</v>
      </c>
      <c r="AB213" s="190" t="s">
        <v>401</v>
      </c>
      <c r="AC213" s="190" t="s">
        <v>402</v>
      </c>
      <c r="AD213" s="49" t="s">
        <v>403</v>
      </c>
      <c r="AE213" s="50" t="s">
        <v>404</v>
      </c>
      <c r="AF213" s="60" t="s">
        <v>405</v>
      </c>
      <c r="AG213" s="190" t="s">
        <v>406</v>
      </c>
      <c r="AH213" s="190" t="s">
        <v>407</v>
      </c>
      <c r="AI213" s="193" t="s">
        <v>408</v>
      </c>
      <c r="AJ213" s="190" t="s">
        <v>409</v>
      </c>
      <c r="AK213" s="194" t="s">
        <v>410</v>
      </c>
      <c r="AL213" s="195" t="s">
        <v>411</v>
      </c>
      <c r="AM213" s="196" t="s">
        <v>412</v>
      </c>
      <c r="AN213" s="197" t="s">
        <v>413</v>
      </c>
      <c r="AO213" s="198" t="s">
        <v>414</v>
      </c>
      <c r="AP213" s="51" t="s">
        <v>415</v>
      </c>
      <c r="AQ213" s="26" t="s">
        <v>416</v>
      </c>
      <c r="AR213" s="194" t="s">
        <v>417</v>
      </c>
      <c r="AS213" s="22" t="s">
        <v>418</v>
      </c>
      <c r="AT213" s="195" t="s">
        <v>419</v>
      </c>
      <c r="AU213" s="199" t="s">
        <v>420</v>
      </c>
      <c r="AV213" s="200" t="s">
        <v>421</v>
      </c>
      <c r="AW213" s="201" t="s">
        <v>422</v>
      </c>
      <c r="AX213" s="202" t="s">
        <v>423</v>
      </c>
      <c r="AY213" s="203" t="s">
        <v>424</v>
      </c>
      <c r="AZ213" s="200" t="s">
        <v>425</v>
      </c>
      <c r="BA213" s="34" t="s">
        <v>320</v>
      </c>
      <c r="BB213" s="591" t="str">
        <f t="shared" si="15"/>
        <v>DEEP</v>
      </c>
      <c r="BC213" s="591" t="str">
        <f t="shared" si="16"/>
        <v>1. Ministries-MIM-PDPL-2021</v>
      </c>
      <c r="BD213" s="591" t="str">
        <f t="shared" si="17"/>
        <v>MIM-PDPL-2021</v>
      </c>
      <c r="BE213" s="591" t="str">
        <f t="shared" si="18"/>
        <v>NONE</v>
      </c>
      <c r="BF213" s="594">
        <f t="shared" si="19"/>
        <v>13</v>
      </c>
    </row>
    <row r="214" spans="1:58" ht="42" customHeight="1" x14ac:dyDescent="0.45">
      <c r="A214" s="204">
        <v>195</v>
      </c>
      <c r="B214" s="205" t="s">
        <v>1866</v>
      </c>
      <c r="C214" s="190" t="s">
        <v>1867</v>
      </c>
      <c r="D214" s="190" t="s">
        <v>1562</v>
      </c>
      <c r="E214" s="205" t="s">
        <v>1868</v>
      </c>
      <c r="F214" s="192" t="s">
        <v>1869</v>
      </c>
      <c r="G214" s="190" t="s">
        <v>1745</v>
      </c>
      <c r="H214" s="190" t="s">
        <v>1746</v>
      </c>
      <c r="I214" s="191" t="s">
        <v>754</v>
      </c>
      <c r="J214" s="191" t="s">
        <v>310</v>
      </c>
      <c r="K214" s="190" t="s">
        <v>63</v>
      </c>
      <c r="L214" s="22" t="s">
        <v>64</v>
      </c>
      <c r="M214" s="190" t="s">
        <v>1748</v>
      </c>
      <c r="N214" s="208" t="s">
        <v>253</v>
      </c>
      <c r="O214" s="207" t="s">
        <v>1870</v>
      </c>
      <c r="P214" s="190" t="s">
        <v>1750</v>
      </c>
      <c r="Q214" s="190" t="s">
        <v>562</v>
      </c>
      <c r="R214" s="190" t="s">
        <v>563</v>
      </c>
      <c r="S214" s="191" t="s">
        <v>564</v>
      </c>
      <c r="T214" s="190" t="s">
        <v>565</v>
      </c>
      <c r="U214" s="25" t="s">
        <v>566</v>
      </c>
      <c r="V214" s="190" t="s">
        <v>282</v>
      </c>
      <c r="W214" s="192" t="s">
        <v>283</v>
      </c>
      <c r="X214" s="190" t="s">
        <v>284</v>
      </c>
      <c r="Y214" s="49" t="s">
        <v>285</v>
      </c>
      <c r="Z214" s="190" t="s">
        <v>286</v>
      </c>
      <c r="AA214" s="191" t="s">
        <v>286</v>
      </c>
      <c r="AB214" s="190" t="s">
        <v>287</v>
      </c>
      <c r="AC214" s="190" t="s">
        <v>288</v>
      </c>
      <c r="AD214" s="49" t="s">
        <v>289</v>
      </c>
      <c r="AE214" s="58" t="s">
        <v>290</v>
      </c>
      <c r="AF214" s="56" t="s">
        <v>291</v>
      </c>
      <c r="AG214" s="190" t="s">
        <v>292</v>
      </c>
      <c r="AH214" s="190" t="s">
        <v>293</v>
      </c>
      <c r="AI214" s="193" t="s">
        <v>215</v>
      </c>
      <c r="AJ214" s="190" t="s">
        <v>216</v>
      </c>
      <c r="AK214" s="194" t="s">
        <v>217</v>
      </c>
      <c r="AL214" s="195" t="s">
        <v>218</v>
      </c>
      <c r="AM214" s="196" t="s">
        <v>219</v>
      </c>
      <c r="AN214" s="197" t="s">
        <v>220</v>
      </c>
      <c r="AO214" s="198" t="s">
        <v>221</v>
      </c>
      <c r="AP214" s="51" t="s">
        <v>138</v>
      </c>
      <c r="AQ214" s="26" t="s">
        <v>139</v>
      </c>
      <c r="AR214" s="194" t="s">
        <v>140</v>
      </c>
      <c r="AS214" s="22" t="s">
        <v>141</v>
      </c>
      <c r="AT214" s="195" t="s">
        <v>142</v>
      </c>
      <c r="AU214" s="199" t="s">
        <v>143</v>
      </c>
      <c r="AV214" s="200" t="s">
        <v>144</v>
      </c>
      <c r="AW214" s="201" t="s">
        <v>145</v>
      </c>
      <c r="AX214" s="202" t="s">
        <v>146</v>
      </c>
      <c r="AY214" s="203" t="s">
        <v>147</v>
      </c>
      <c r="AZ214" s="200" t="s">
        <v>104</v>
      </c>
      <c r="BA214" s="41" t="s">
        <v>105</v>
      </c>
      <c r="BB214" s="591" t="str">
        <f t="shared" si="15"/>
        <v>TEMPLATE</v>
      </c>
      <c r="BC214" s="591" t="str">
        <f t="shared" si="16"/>
        <v>1. Ministries-MISA-MISA-LAW</v>
      </c>
      <c r="BD214" s="591" t="str">
        <f t="shared" si="17"/>
        <v>MISA-MISA-LAW</v>
      </c>
      <c r="BE214" s="591" t="str">
        <f t="shared" si="18"/>
        <v>NONE</v>
      </c>
      <c r="BF214" s="594">
        <f t="shared" si="19"/>
        <v>7</v>
      </c>
    </row>
    <row r="215" spans="1:58" ht="42" customHeight="1" x14ac:dyDescent="0.45">
      <c r="A215" s="42">
        <v>196</v>
      </c>
      <c r="B215" s="189" t="s">
        <v>1866</v>
      </c>
      <c r="C215" s="44" t="s">
        <v>1867</v>
      </c>
      <c r="D215" s="44" t="s">
        <v>1562</v>
      </c>
      <c r="E215" s="189" t="s">
        <v>557</v>
      </c>
      <c r="F215" s="45" t="s">
        <v>58</v>
      </c>
      <c r="G215" s="44" t="s">
        <v>59</v>
      </c>
      <c r="H215" s="44" t="s">
        <v>57</v>
      </c>
      <c r="I215" s="46" t="s">
        <v>61</v>
      </c>
      <c r="J215" s="46" t="s">
        <v>62</v>
      </c>
      <c r="K215" s="44" t="s">
        <v>558</v>
      </c>
      <c r="L215" s="66" t="s">
        <v>559</v>
      </c>
      <c r="M215" s="44" t="s">
        <v>1871</v>
      </c>
      <c r="N215" s="59" t="s">
        <v>275</v>
      </c>
      <c r="O215" s="48" t="s">
        <v>196</v>
      </c>
      <c r="P215" s="44" t="s">
        <v>561</v>
      </c>
      <c r="Q215" s="190" t="s">
        <v>562</v>
      </c>
      <c r="R215" s="190" t="s">
        <v>563</v>
      </c>
      <c r="S215" s="191" t="s">
        <v>564</v>
      </c>
      <c r="T215" s="190" t="s">
        <v>565</v>
      </c>
      <c r="U215" s="25" t="s">
        <v>566</v>
      </c>
      <c r="V215" s="190" t="s">
        <v>282</v>
      </c>
      <c r="W215" s="192" t="s">
        <v>283</v>
      </c>
      <c r="X215" s="190" t="s">
        <v>284</v>
      </c>
      <c r="Y215" s="49" t="s">
        <v>285</v>
      </c>
      <c r="Z215" s="190" t="s">
        <v>286</v>
      </c>
      <c r="AA215" s="191" t="s">
        <v>286</v>
      </c>
      <c r="AB215" s="190" t="s">
        <v>287</v>
      </c>
      <c r="AC215" s="190" t="s">
        <v>288</v>
      </c>
      <c r="AD215" s="49" t="s">
        <v>289</v>
      </c>
      <c r="AE215" s="58" t="s">
        <v>290</v>
      </c>
      <c r="AF215" s="56" t="s">
        <v>291</v>
      </c>
      <c r="AG215" s="190" t="s">
        <v>292</v>
      </c>
      <c r="AH215" s="190" t="s">
        <v>293</v>
      </c>
      <c r="AI215" s="193" t="s">
        <v>215</v>
      </c>
      <c r="AJ215" s="190" t="s">
        <v>216</v>
      </c>
      <c r="AK215" s="194" t="s">
        <v>217</v>
      </c>
      <c r="AL215" s="195" t="s">
        <v>218</v>
      </c>
      <c r="AM215" s="196" t="s">
        <v>219</v>
      </c>
      <c r="AN215" s="197" t="s">
        <v>220</v>
      </c>
      <c r="AO215" s="198" t="s">
        <v>221</v>
      </c>
      <c r="AP215" s="51" t="s">
        <v>138</v>
      </c>
      <c r="AQ215" s="26" t="s">
        <v>139</v>
      </c>
      <c r="AR215" s="194" t="s">
        <v>140</v>
      </c>
      <c r="AS215" s="22" t="s">
        <v>141</v>
      </c>
      <c r="AT215" s="195" t="s">
        <v>142</v>
      </c>
      <c r="AU215" s="199" t="s">
        <v>143</v>
      </c>
      <c r="AV215" s="200" t="s">
        <v>144</v>
      </c>
      <c r="AW215" s="201" t="s">
        <v>145</v>
      </c>
      <c r="AX215" s="202" t="s">
        <v>146</v>
      </c>
      <c r="AY215" s="203" t="s">
        <v>147</v>
      </c>
      <c r="AZ215" s="200" t="s">
        <v>567</v>
      </c>
      <c r="BA215" s="34" t="s">
        <v>320</v>
      </c>
      <c r="BB215" s="591" t="str">
        <f t="shared" si="15"/>
        <v>TEMPLATE</v>
      </c>
      <c r="BC215" s="591" t="str">
        <f t="shared" si="16"/>
        <v>1. Ministries-MISA-NCA-ECC-2:2024</v>
      </c>
      <c r="BD215" s="591" t="str">
        <f t="shared" si="17"/>
        <v>MISA-NCA-ECC-2-2024</v>
      </c>
      <c r="BE215" s="591" t="str">
        <f t="shared" si="18"/>
        <v>NCA-ECC-2-2024</v>
      </c>
      <c r="BF215" s="594">
        <f t="shared" si="19"/>
        <v>6</v>
      </c>
    </row>
    <row r="216" spans="1:58" ht="42" customHeight="1" x14ac:dyDescent="0.45">
      <c r="A216" s="204">
        <v>197</v>
      </c>
      <c r="B216" s="205" t="s">
        <v>1866</v>
      </c>
      <c r="C216" s="190" t="s">
        <v>1867</v>
      </c>
      <c r="D216" s="190" t="s">
        <v>1562</v>
      </c>
      <c r="E216" s="205" t="s">
        <v>382</v>
      </c>
      <c r="F216" s="192" t="s">
        <v>383</v>
      </c>
      <c r="G216" s="190" t="s">
        <v>384</v>
      </c>
      <c r="H216" s="190" t="s">
        <v>765</v>
      </c>
      <c r="I216" s="191" t="s">
        <v>250</v>
      </c>
      <c r="J216" s="191" t="s">
        <v>386</v>
      </c>
      <c r="K216" s="190" t="s">
        <v>558</v>
      </c>
      <c r="L216" s="66" t="s">
        <v>559</v>
      </c>
      <c r="M216" s="190" t="s">
        <v>1872</v>
      </c>
      <c r="N216" s="209" t="s">
        <v>275</v>
      </c>
      <c r="O216" s="207" t="s">
        <v>540</v>
      </c>
      <c r="P216" s="190" t="s">
        <v>380</v>
      </c>
      <c r="Q216" s="190" t="s">
        <v>390</v>
      </c>
      <c r="R216" s="190" t="s">
        <v>391</v>
      </c>
      <c r="S216" s="191" t="s">
        <v>392</v>
      </c>
      <c r="T216" s="190" t="s">
        <v>393</v>
      </c>
      <c r="U216" s="25" t="s">
        <v>394</v>
      </c>
      <c r="V216" s="190" t="s">
        <v>395</v>
      </c>
      <c r="W216" s="192" t="s">
        <v>396</v>
      </c>
      <c r="X216" s="190" t="s">
        <v>397</v>
      </c>
      <c r="Y216" s="49" t="s">
        <v>398</v>
      </c>
      <c r="Z216" s="190" t="s">
        <v>399</v>
      </c>
      <c r="AA216" s="191" t="s">
        <v>400</v>
      </c>
      <c r="AB216" s="190" t="s">
        <v>401</v>
      </c>
      <c r="AC216" s="190" t="s">
        <v>402</v>
      </c>
      <c r="AD216" s="49" t="s">
        <v>403</v>
      </c>
      <c r="AE216" s="50" t="s">
        <v>404</v>
      </c>
      <c r="AF216" s="60" t="s">
        <v>405</v>
      </c>
      <c r="AG216" s="190" t="s">
        <v>406</v>
      </c>
      <c r="AH216" s="190" t="s">
        <v>407</v>
      </c>
      <c r="AI216" s="193" t="s">
        <v>408</v>
      </c>
      <c r="AJ216" s="190" t="s">
        <v>409</v>
      </c>
      <c r="AK216" s="194" t="s">
        <v>410</v>
      </c>
      <c r="AL216" s="195" t="s">
        <v>411</v>
      </c>
      <c r="AM216" s="196" t="s">
        <v>412</v>
      </c>
      <c r="AN216" s="197" t="s">
        <v>413</v>
      </c>
      <c r="AO216" s="198" t="s">
        <v>414</v>
      </c>
      <c r="AP216" s="51" t="s">
        <v>415</v>
      </c>
      <c r="AQ216" s="26" t="s">
        <v>416</v>
      </c>
      <c r="AR216" s="194" t="s">
        <v>417</v>
      </c>
      <c r="AS216" s="22" t="s">
        <v>418</v>
      </c>
      <c r="AT216" s="195" t="s">
        <v>419</v>
      </c>
      <c r="AU216" s="199" t="s">
        <v>420</v>
      </c>
      <c r="AV216" s="200" t="s">
        <v>421</v>
      </c>
      <c r="AW216" s="201" t="s">
        <v>422</v>
      </c>
      <c r="AX216" s="202" t="s">
        <v>423</v>
      </c>
      <c r="AY216" s="203" t="s">
        <v>424</v>
      </c>
      <c r="AZ216" s="200" t="s">
        <v>425</v>
      </c>
      <c r="BA216" s="34" t="s">
        <v>320</v>
      </c>
      <c r="BB216" s="591" t="str">
        <f t="shared" si="15"/>
        <v>DEEP</v>
      </c>
      <c r="BC216" s="591" t="str">
        <f t="shared" si="16"/>
        <v>1. Ministries-MISA-PDPL-2021</v>
      </c>
      <c r="BD216" s="591" t="str">
        <f t="shared" si="17"/>
        <v>MISA-PDPL-2021</v>
      </c>
      <c r="BE216" s="591" t="str">
        <f t="shared" si="18"/>
        <v>NONE</v>
      </c>
      <c r="BF216" s="594">
        <f t="shared" si="19"/>
        <v>13</v>
      </c>
    </row>
    <row r="217" spans="1:58" ht="42" customHeight="1" x14ac:dyDescent="0.45">
      <c r="A217" s="42">
        <v>198</v>
      </c>
      <c r="B217" s="189" t="s">
        <v>1873</v>
      </c>
      <c r="C217" s="44" t="s">
        <v>1874</v>
      </c>
      <c r="D217" s="44" t="s">
        <v>1562</v>
      </c>
      <c r="E217" s="189" t="s">
        <v>1875</v>
      </c>
      <c r="F217" s="45" t="s">
        <v>1876</v>
      </c>
      <c r="G217" s="44" t="s">
        <v>1745</v>
      </c>
      <c r="H217" s="44" t="s">
        <v>1746</v>
      </c>
      <c r="I217" s="46" t="s">
        <v>151</v>
      </c>
      <c r="J217" s="46" t="s">
        <v>310</v>
      </c>
      <c r="K217" s="44" t="s">
        <v>63</v>
      </c>
      <c r="L217" s="22" t="s">
        <v>64</v>
      </c>
      <c r="M217" s="44" t="s">
        <v>1748</v>
      </c>
      <c r="N217" s="55" t="s">
        <v>253</v>
      </c>
      <c r="O217" s="48" t="s">
        <v>1877</v>
      </c>
      <c r="P217" s="44" t="s">
        <v>1750</v>
      </c>
      <c r="Q217" s="190" t="s">
        <v>562</v>
      </c>
      <c r="R217" s="190" t="s">
        <v>563</v>
      </c>
      <c r="S217" s="191" t="s">
        <v>564</v>
      </c>
      <c r="T217" s="190" t="s">
        <v>565</v>
      </c>
      <c r="U217" s="25" t="s">
        <v>566</v>
      </c>
      <c r="V217" s="190" t="s">
        <v>282</v>
      </c>
      <c r="W217" s="192" t="s">
        <v>283</v>
      </c>
      <c r="X217" s="190" t="s">
        <v>284</v>
      </c>
      <c r="Y217" s="49" t="s">
        <v>285</v>
      </c>
      <c r="Z217" s="190" t="s">
        <v>286</v>
      </c>
      <c r="AA217" s="191" t="s">
        <v>286</v>
      </c>
      <c r="AB217" s="190" t="s">
        <v>287</v>
      </c>
      <c r="AC217" s="190" t="s">
        <v>288</v>
      </c>
      <c r="AD217" s="49" t="s">
        <v>289</v>
      </c>
      <c r="AE217" s="58" t="s">
        <v>290</v>
      </c>
      <c r="AF217" s="56" t="s">
        <v>291</v>
      </c>
      <c r="AG217" s="190" t="s">
        <v>292</v>
      </c>
      <c r="AH217" s="190" t="s">
        <v>293</v>
      </c>
      <c r="AI217" s="193" t="s">
        <v>215</v>
      </c>
      <c r="AJ217" s="190" t="s">
        <v>216</v>
      </c>
      <c r="AK217" s="194" t="s">
        <v>217</v>
      </c>
      <c r="AL217" s="195" t="s">
        <v>218</v>
      </c>
      <c r="AM217" s="196" t="s">
        <v>219</v>
      </c>
      <c r="AN217" s="197" t="s">
        <v>220</v>
      </c>
      <c r="AO217" s="198" t="s">
        <v>221</v>
      </c>
      <c r="AP217" s="51" t="s">
        <v>138</v>
      </c>
      <c r="AQ217" s="26" t="s">
        <v>139</v>
      </c>
      <c r="AR217" s="194" t="s">
        <v>140</v>
      </c>
      <c r="AS217" s="22" t="s">
        <v>141</v>
      </c>
      <c r="AT217" s="195" t="s">
        <v>142</v>
      </c>
      <c r="AU217" s="199" t="s">
        <v>143</v>
      </c>
      <c r="AV217" s="200" t="s">
        <v>144</v>
      </c>
      <c r="AW217" s="201" t="s">
        <v>145</v>
      </c>
      <c r="AX217" s="202" t="s">
        <v>146</v>
      </c>
      <c r="AY217" s="203" t="s">
        <v>147</v>
      </c>
      <c r="AZ217" s="200" t="s">
        <v>104</v>
      </c>
      <c r="BA217" s="41" t="s">
        <v>105</v>
      </c>
      <c r="BB217" s="591" t="str">
        <f t="shared" si="15"/>
        <v>TEMPLATE</v>
      </c>
      <c r="BC217" s="591" t="str">
        <f t="shared" si="16"/>
        <v>1. Ministries-MOSPORT-MOSPORT-LAW</v>
      </c>
      <c r="BD217" s="591" t="str">
        <f t="shared" si="17"/>
        <v>MOSPORT-MOSPORT-LAW</v>
      </c>
      <c r="BE217" s="591" t="str">
        <f t="shared" si="18"/>
        <v>NONE</v>
      </c>
      <c r="BF217" s="594">
        <f t="shared" si="19"/>
        <v>7</v>
      </c>
    </row>
    <row r="218" spans="1:58" ht="42" customHeight="1" x14ac:dyDescent="0.45">
      <c r="A218" s="204">
        <v>199</v>
      </c>
      <c r="B218" s="205" t="s">
        <v>1873</v>
      </c>
      <c r="C218" s="190" t="s">
        <v>1874</v>
      </c>
      <c r="D218" s="190" t="s">
        <v>1562</v>
      </c>
      <c r="E218" s="205" t="s">
        <v>557</v>
      </c>
      <c r="F218" s="192" t="s">
        <v>58</v>
      </c>
      <c r="G218" s="190" t="s">
        <v>59</v>
      </c>
      <c r="H218" s="190" t="s">
        <v>57</v>
      </c>
      <c r="I218" s="191" t="s">
        <v>61</v>
      </c>
      <c r="J218" s="191" t="s">
        <v>62</v>
      </c>
      <c r="K218" s="190" t="s">
        <v>558</v>
      </c>
      <c r="L218" s="66" t="s">
        <v>559</v>
      </c>
      <c r="M218" s="190" t="s">
        <v>1878</v>
      </c>
      <c r="N218" s="209" t="s">
        <v>275</v>
      </c>
      <c r="O218" s="207" t="s">
        <v>196</v>
      </c>
      <c r="P218" s="190" t="s">
        <v>561</v>
      </c>
      <c r="Q218" s="190" t="s">
        <v>562</v>
      </c>
      <c r="R218" s="190" t="s">
        <v>563</v>
      </c>
      <c r="S218" s="191" t="s">
        <v>564</v>
      </c>
      <c r="T218" s="190" t="s">
        <v>565</v>
      </c>
      <c r="U218" s="25" t="s">
        <v>566</v>
      </c>
      <c r="V218" s="190" t="s">
        <v>282</v>
      </c>
      <c r="W218" s="192" t="s">
        <v>283</v>
      </c>
      <c r="X218" s="190" t="s">
        <v>284</v>
      </c>
      <c r="Y218" s="49" t="s">
        <v>285</v>
      </c>
      <c r="Z218" s="190" t="s">
        <v>286</v>
      </c>
      <c r="AA218" s="191" t="s">
        <v>286</v>
      </c>
      <c r="AB218" s="190" t="s">
        <v>287</v>
      </c>
      <c r="AC218" s="190" t="s">
        <v>288</v>
      </c>
      <c r="AD218" s="49" t="s">
        <v>289</v>
      </c>
      <c r="AE218" s="58" t="s">
        <v>290</v>
      </c>
      <c r="AF218" s="56" t="s">
        <v>291</v>
      </c>
      <c r="AG218" s="190" t="s">
        <v>292</v>
      </c>
      <c r="AH218" s="190" t="s">
        <v>293</v>
      </c>
      <c r="AI218" s="193" t="s">
        <v>215</v>
      </c>
      <c r="AJ218" s="190" t="s">
        <v>216</v>
      </c>
      <c r="AK218" s="194" t="s">
        <v>217</v>
      </c>
      <c r="AL218" s="195" t="s">
        <v>218</v>
      </c>
      <c r="AM218" s="196" t="s">
        <v>219</v>
      </c>
      <c r="AN218" s="197" t="s">
        <v>220</v>
      </c>
      <c r="AO218" s="198" t="s">
        <v>221</v>
      </c>
      <c r="AP218" s="51" t="s">
        <v>138</v>
      </c>
      <c r="AQ218" s="26" t="s">
        <v>139</v>
      </c>
      <c r="AR218" s="194" t="s">
        <v>140</v>
      </c>
      <c r="AS218" s="22" t="s">
        <v>141</v>
      </c>
      <c r="AT218" s="195" t="s">
        <v>142</v>
      </c>
      <c r="AU218" s="199" t="s">
        <v>143</v>
      </c>
      <c r="AV218" s="200" t="s">
        <v>144</v>
      </c>
      <c r="AW218" s="201" t="s">
        <v>145</v>
      </c>
      <c r="AX218" s="202" t="s">
        <v>146</v>
      </c>
      <c r="AY218" s="203" t="s">
        <v>147</v>
      </c>
      <c r="AZ218" s="200" t="s">
        <v>567</v>
      </c>
      <c r="BA218" s="34" t="s">
        <v>320</v>
      </c>
      <c r="BB218" s="591" t="str">
        <f t="shared" si="15"/>
        <v>TEMPLATE</v>
      </c>
      <c r="BC218" s="591" t="str">
        <f t="shared" si="16"/>
        <v>1. Ministries-MOSPORT-NCA-ECC-2:2024</v>
      </c>
      <c r="BD218" s="591" t="str">
        <f t="shared" si="17"/>
        <v>MOSPORT-NCA-ECC-2-2024</v>
      </c>
      <c r="BE218" s="591" t="str">
        <f t="shared" si="18"/>
        <v>NCA-ECC-2-2024</v>
      </c>
      <c r="BF218" s="594">
        <f t="shared" si="19"/>
        <v>6</v>
      </c>
    </row>
    <row r="219" spans="1:58" ht="42" customHeight="1" x14ac:dyDescent="0.45">
      <c r="A219" s="42">
        <v>200</v>
      </c>
      <c r="B219" s="189" t="s">
        <v>1873</v>
      </c>
      <c r="C219" s="44" t="s">
        <v>1874</v>
      </c>
      <c r="D219" s="44" t="s">
        <v>1562</v>
      </c>
      <c r="E219" s="189" t="s">
        <v>382</v>
      </c>
      <c r="F219" s="45" t="s">
        <v>383</v>
      </c>
      <c r="G219" s="44" t="s">
        <v>384</v>
      </c>
      <c r="H219" s="44" t="s">
        <v>765</v>
      </c>
      <c r="I219" s="46" t="s">
        <v>250</v>
      </c>
      <c r="J219" s="46" t="s">
        <v>386</v>
      </c>
      <c r="K219" s="44" t="s">
        <v>558</v>
      </c>
      <c r="L219" s="66" t="s">
        <v>559</v>
      </c>
      <c r="M219" s="44" t="s">
        <v>1879</v>
      </c>
      <c r="N219" s="59" t="s">
        <v>275</v>
      </c>
      <c r="O219" s="48" t="s">
        <v>540</v>
      </c>
      <c r="P219" s="44" t="s">
        <v>380</v>
      </c>
      <c r="Q219" s="190" t="s">
        <v>390</v>
      </c>
      <c r="R219" s="190" t="s">
        <v>391</v>
      </c>
      <c r="S219" s="191" t="s">
        <v>392</v>
      </c>
      <c r="T219" s="190" t="s">
        <v>393</v>
      </c>
      <c r="U219" s="25" t="s">
        <v>394</v>
      </c>
      <c r="V219" s="190" t="s">
        <v>395</v>
      </c>
      <c r="W219" s="192" t="s">
        <v>396</v>
      </c>
      <c r="X219" s="190" t="s">
        <v>397</v>
      </c>
      <c r="Y219" s="49" t="s">
        <v>398</v>
      </c>
      <c r="Z219" s="190" t="s">
        <v>399</v>
      </c>
      <c r="AA219" s="191" t="s">
        <v>400</v>
      </c>
      <c r="AB219" s="190" t="s">
        <v>401</v>
      </c>
      <c r="AC219" s="190" t="s">
        <v>402</v>
      </c>
      <c r="AD219" s="49" t="s">
        <v>403</v>
      </c>
      <c r="AE219" s="50" t="s">
        <v>404</v>
      </c>
      <c r="AF219" s="60" t="s">
        <v>405</v>
      </c>
      <c r="AG219" s="190" t="s">
        <v>406</v>
      </c>
      <c r="AH219" s="190" t="s">
        <v>407</v>
      </c>
      <c r="AI219" s="193" t="s">
        <v>408</v>
      </c>
      <c r="AJ219" s="190" t="s">
        <v>409</v>
      </c>
      <c r="AK219" s="194" t="s">
        <v>410</v>
      </c>
      <c r="AL219" s="195" t="s">
        <v>411</v>
      </c>
      <c r="AM219" s="196" t="s">
        <v>412</v>
      </c>
      <c r="AN219" s="197" t="s">
        <v>413</v>
      </c>
      <c r="AO219" s="198" t="s">
        <v>414</v>
      </c>
      <c r="AP219" s="51" t="s">
        <v>415</v>
      </c>
      <c r="AQ219" s="26" t="s">
        <v>416</v>
      </c>
      <c r="AR219" s="194" t="s">
        <v>417</v>
      </c>
      <c r="AS219" s="22" t="s">
        <v>418</v>
      </c>
      <c r="AT219" s="195" t="s">
        <v>419</v>
      </c>
      <c r="AU219" s="199" t="s">
        <v>420</v>
      </c>
      <c r="AV219" s="200" t="s">
        <v>421</v>
      </c>
      <c r="AW219" s="201" t="s">
        <v>422</v>
      </c>
      <c r="AX219" s="202" t="s">
        <v>423</v>
      </c>
      <c r="AY219" s="203" t="s">
        <v>424</v>
      </c>
      <c r="AZ219" s="200" t="s">
        <v>425</v>
      </c>
      <c r="BA219" s="34" t="s">
        <v>320</v>
      </c>
      <c r="BB219" s="591" t="str">
        <f t="shared" si="15"/>
        <v>DEEP</v>
      </c>
      <c r="BC219" s="591" t="str">
        <f t="shared" si="16"/>
        <v>1. Ministries-MOSPORT-PDPL-2021</v>
      </c>
      <c r="BD219" s="591" t="str">
        <f t="shared" si="17"/>
        <v>MOSPORT-PDPL-2021</v>
      </c>
      <c r="BE219" s="591" t="str">
        <f t="shared" si="18"/>
        <v>NONE</v>
      </c>
      <c r="BF219" s="594">
        <f t="shared" si="19"/>
        <v>13</v>
      </c>
    </row>
    <row r="220" spans="1:58" ht="42" customHeight="1" x14ac:dyDescent="0.45">
      <c r="A220" s="204">
        <v>201</v>
      </c>
      <c r="B220" s="205" t="s">
        <v>1880</v>
      </c>
      <c r="C220" s="190" t="s">
        <v>1881</v>
      </c>
      <c r="D220" s="190" t="s">
        <v>1562</v>
      </c>
      <c r="E220" s="205" t="s">
        <v>1882</v>
      </c>
      <c r="F220" s="192" t="s">
        <v>1883</v>
      </c>
      <c r="G220" s="190" t="s">
        <v>1745</v>
      </c>
      <c r="H220" s="190" t="s">
        <v>1746</v>
      </c>
      <c r="I220" s="191" t="s">
        <v>151</v>
      </c>
      <c r="J220" s="191" t="s">
        <v>310</v>
      </c>
      <c r="K220" s="190" t="s">
        <v>63</v>
      </c>
      <c r="L220" s="22" t="s">
        <v>64</v>
      </c>
      <c r="M220" s="190" t="s">
        <v>1748</v>
      </c>
      <c r="N220" s="208" t="s">
        <v>253</v>
      </c>
      <c r="O220" s="207" t="s">
        <v>1884</v>
      </c>
      <c r="P220" s="190" t="s">
        <v>1750</v>
      </c>
      <c r="Q220" s="190" t="s">
        <v>562</v>
      </c>
      <c r="R220" s="190" t="s">
        <v>563</v>
      </c>
      <c r="S220" s="191" t="s">
        <v>564</v>
      </c>
      <c r="T220" s="190" t="s">
        <v>565</v>
      </c>
      <c r="U220" s="25" t="s">
        <v>566</v>
      </c>
      <c r="V220" s="190" t="s">
        <v>282</v>
      </c>
      <c r="W220" s="192" t="s">
        <v>283</v>
      </c>
      <c r="X220" s="190" t="s">
        <v>284</v>
      </c>
      <c r="Y220" s="49" t="s">
        <v>285</v>
      </c>
      <c r="Z220" s="190" t="s">
        <v>286</v>
      </c>
      <c r="AA220" s="191" t="s">
        <v>286</v>
      </c>
      <c r="AB220" s="190" t="s">
        <v>287</v>
      </c>
      <c r="AC220" s="190" t="s">
        <v>288</v>
      </c>
      <c r="AD220" s="49" t="s">
        <v>289</v>
      </c>
      <c r="AE220" s="58" t="s">
        <v>290</v>
      </c>
      <c r="AF220" s="56" t="s">
        <v>291</v>
      </c>
      <c r="AG220" s="190" t="s">
        <v>292</v>
      </c>
      <c r="AH220" s="190" t="s">
        <v>293</v>
      </c>
      <c r="AI220" s="193" t="s">
        <v>215</v>
      </c>
      <c r="AJ220" s="190" t="s">
        <v>216</v>
      </c>
      <c r="AK220" s="194" t="s">
        <v>217</v>
      </c>
      <c r="AL220" s="195" t="s">
        <v>218</v>
      </c>
      <c r="AM220" s="196" t="s">
        <v>219</v>
      </c>
      <c r="AN220" s="197" t="s">
        <v>220</v>
      </c>
      <c r="AO220" s="198" t="s">
        <v>221</v>
      </c>
      <c r="AP220" s="51" t="s">
        <v>138</v>
      </c>
      <c r="AQ220" s="26" t="s">
        <v>139</v>
      </c>
      <c r="AR220" s="194" t="s">
        <v>140</v>
      </c>
      <c r="AS220" s="22" t="s">
        <v>141</v>
      </c>
      <c r="AT220" s="195" t="s">
        <v>142</v>
      </c>
      <c r="AU220" s="199" t="s">
        <v>143</v>
      </c>
      <c r="AV220" s="200" t="s">
        <v>144</v>
      </c>
      <c r="AW220" s="201" t="s">
        <v>145</v>
      </c>
      <c r="AX220" s="202" t="s">
        <v>146</v>
      </c>
      <c r="AY220" s="203" t="s">
        <v>147</v>
      </c>
      <c r="AZ220" s="200" t="s">
        <v>104</v>
      </c>
      <c r="BA220" s="41" t="s">
        <v>105</v>
      </c>
      <c r="BB220" s="591" t="str">
        <f t="shared" si="15"/>
        <v>TEMPLATE</v>
      </c>
      <c r="BC220" s="591" t="str">
        <f t="shared" si="16"/>
        <v>1. Ministries-MOTour-MOTour-LAW</v>
      </c>
      <c r="BD220" s="591" t="str">
        <f t="shared" si="17"/>
        <v>MOTour-MOTour-LAW</v>
      </c>
      <c r="BE220" s="591" t="str">
        <f t="shared" si="18"/>
        <v>NONE</v>
      </c>
      <c r="BF220" s="594">
        <f t="shared" si="19"/>
        <v>7</v>
      </c>
    </row>
    <row r="221" spans="1:58" ht="42" customHeight="1" x14ac:dyDescent="0.45">
      <c r="A221" s="42">
        <v>202</v>
      </c>
      <c r="B221" s="189" t="s">
        <v>1880</v>
      </c>
      <c r="C221" s="44" t="s">
        <v>1881</v>
      </c>
      <c r="D221" s="44" t="s">
        <v>1562</v>
      </c>
      <c r="E221" s="189" t="s">
        <v>557</v>
      </c>
      <c r="F221" s="45" t="s">
        <v>58</v>
      </c>
      <c r="G221" s="44" t="s">
        <v>59</v>
      </c>
      <c r="H221" s="44" t="s">
        <v>57</v>
      </c>
      <c r="I221" s="46" t="s">
        <v>61</v>
      </c>
      <c r="J221" s="46" t="s">
        <v>62</v>
      </c>
      <c r="K221" s="44" t="s">
        <v>558</v>
      </c>
      <c r="L221" s="66" t="s">
        <v>559</v>
      </c>
      <c r="M221" s="44" t="s">
        <v>1885</v>
      </c>
      <c r="N221" s="59" t="s">
        <v>275</v>
      </c>
      <c r="O221" s="48" t="s">
        <v>196</v>
      </c>
      <c r="P221" s="44" t="s">
        <v>561</v>
      </c>
      <c r="Q221" s="190" t="s">
        <v>562</v>
      </c>
      <c r="R221" s="190" t="s">
        <v>563</v>
      </c>
      <c r="S221" s="191" t="s">
        <v>564</v>
      </c>
      <c r="T221" s="190" t="s">
        <v>565</v>
      </c>
      <c r="U221" s="25" t="s">
        <v>566</v>
      </c>
      <c r="V221" s="190" t="s">
        <v>282</v>
      </c>
      <c r="W221" s="192" t="s">
        <v>283</v>
      </c>
      <c r="X221" s="190" t="s">
        <v>284</v>
      </c>
      <c r="Y221" s="49" t="s">
        <v>285</v>
      </c>
      <c r="Z221" s="190" t="s">
        <v>286</v>
      </c>
      <c r="AA221" s="191" t="s">
        <v>286</v>
      </c>
      <c r="AB221" s="190" t="s">
        <v>287</v>
      </c>
      <c r="AC221" s="190" t="s">
        <v>288</v>
      </c>
      <c r="AD221" s="49" t="s">
        <v>289</v>
      </c>
      <c r="AE221" s="58" t="s">
        <v>290</v>
      </c>
      <c r="AF221" s="56" t="s">
        <v>291</v>
      </c>
      <c r="AG221" s="190" t="s">
        <v>292</v>
      </c>
      <c r="AH221" s="190" t="s">
        <v>293</v>
      </c>
      <c r="AI221" s="193" t="s">
        <v>215</v>
      </c>
      <c r="AJ221" s="190" t="s">
        <v>216</v>
      </c>
      <c r="AK221" s="194" t="s">
        <v>217</v>
      </c>
      <c r="AL221" s="195" t="s">
        <v>218</v>
      </c>
      <c r="AM221" s="196" t="s">
        <v>219</v>
      </c>
      <c r="AN221" s="197" t="s">
        <v>220</v>
      </c>
      <c r="AO221" s="198" t="s">
        <v>221</v>
      </c>
      <c r="AP221" s="51" t="s">
        <v>138</v>
      </c>
      <c r="AQ221" s="26" t="s">
        <v>139</v>
      </c>
      <c r="AR221" s="194" t="s">
        <v>140</v>
      </c>
      <c r="AS221" s="22" t="s">
        <v>141</v>
      </c>
      <c r="AT221" s="195" t="s">
        <v>142</v>
      </c>
      <c r="AU221" s="199" t="s">
        <v>143</v>
      </c>
      <c r="AV221" s="200" t="s">
        <v>144</v>
      </c>
      <c r="AW221" s="201" t="s">
        <v>145</v>
      </c>
      <c r="AX221" s="202" t="s">
        <v>146</v>
      </c>
      <c r="AY221" s="203" t="s">
        <v>147</v>
      </c>
      <c r="AZ221" s="200" t="s">
        <v>567</v>
      </c>
      <c r="BA221" s="34" t="s">
        <v>320</v>
      </c>
      <c r="BB221" s="591" t="str">
        <f t="shared" si="15"/>
        <v>TEMPLATE</v>
      </c>
      <c r="BC221" s="591" t="str">
        <f t="shared" si="16"/>
        <v>1. Ministries-MOTour-NCA-ECC-2:2024</v>
      </c>
      <c r="BD221" s="591" t="str">
        <f t="shared" si="17"/>
        <v>MOTour-NCA-ECC-2-2024</v>
      </c>
      <c r="BE221" s="591" t="str">
        <f t="shared" si="18"/>
        <v>NCA-ECC-2-2024</v>
      </c>
      <c r="BF221" s="594">
        <f t="shared" si="19"/>
        <v>6</v>
      </c>
    </row>
    <row r="222" spans="1:58" ht="42" customHeight="1" x14ac:dyDescent="0.45">
      <c r="A222" s="204">
        <v>203</v>
      </c>
      <c r="B222" s="205" t="s">
        <v>1880</v>
      </c>
      <c r="C222" s="190" t="s">
        <v>1881</v>
      </c>
      <c r="D222" s="190" t="s">
        <v>1562</v>
      </c>
      <c r="E222" s="205" t="s">
        <v>382</v>
      </c>
      <c r="F222" s="192" t="s">
        <v>383</v>
      </c>
      <c r="G222" s="190" t="s">
        <v>384</v>
      </c>
      <c r="H222" s="190" t="s">
        <v>765</v>
      </c>
      <c r="I222" s="191" t="s">
        <v>250</v>
      </c>
      <c r="J222" s="191" t="s">
        <v>386</v>
      </c>
      <c r="K222" s="190" t="s">
        <v>558</v>
      </c>
      <c r="L222" s="66" t="s">
        <v>559</v>
      </c>
      <c r="M222" s="190" t="s">
        <v>1886</v>
      </c>
      <c r="N222" s="209" t="s">
        <v>275</v>
      </c>
      <c r="O222" s="207" t="s">
        <v>540</v>
      </c>
      <c r="P222" s="190" t="s">
        <v>380</v>
      </c>
      <c r="Q222" s="190" t="s">
        <v>390</v>
      </c>
      <c r="R222" s="190" t="s">
        <v>391</v>
      </c>
      <c r="S222" s="191" t="s">
        <v>392</v>
      </c>
      <c r="T222" s="190" t="s">
        <v>393</v>
      </c>
      <c r="U222" s="25" t="s">
        <v>394</v>
      </c>
      <c r="V222" s="190" t="s">
        <v>395</v>
      </c>
      <c r="W222" s="192" t="s">
        <v>396</v>
      </c>
      <c r="X222" s="190" t="s">
        <v>397</v>
      </c>
      <c r="Y222" s="49" t="s">
        <v>398</v>
      </c>
      <c r="Z222" s="190" t="s">
        <v>399</v>
      </c>
      <c r="AA222" s="191" t="s">
        <v>400</v>
      </c>
      <c r="AB222" s="190" t="s">
        <v>401</v>
      </c>
      <c r="AC222" s="190" t="s">
        <v>402</v>
      </c>
      <c r="AD222" s="49" t="s">
        <v>403</v>
      </c>
      <c r="AE222" s="50" t="s">
        <v>404</v>
      </c>
      <c r="AF222" s="60" t="s">
        <v>405</v>
      </c>
      <c r="AG222" s="190" t="s">
        <v>406</v>
      </c>
      <c r="AH222" s="190" t="s">
        <v>407</v>
      </c>
      <c r="AI222" s="193" t="s">
        <v>408</v>
      </c>
      <c r="AJ222" s="190" t="s">
        <v>409</v>
      </c>
      <c r="AK222" s="194" t="s">
        <v>410</v>
      </c>
      <c r="AL222" s="195" t="s">
        <v>411</v>
      </c>
      <c r="AM222" s="196" t="s">
        <v>412</v>
      </c>
      <c r="AN222" s="197" t="s">
        <v>413</v>
      </c>
      <c r="AO222" s="198" t="s">
        <v>414</v>
      </c>
      <c r="AP222" s="51" t="s">
        <v>415</v>
      </c>
      <c r="AQ222" s="26" t="s">
        <v>416</v>
      </c>
      <c r="AR222" s="194" t="s">
        <v>417</v>
      </c>
      <c r="AS222" s="22" t="s">
        <v>418</v>
      </c>
      <c r="AT222" s="195" t="s">
        <v>419</v>
      </c>
      <c r="AU222" s="199" t="s">
        <v>420</v>
      </c>
      <c r="AV222" s="200" t="s">
        <v>421</v>
      </c>
      <c r="AW222" s="201" t="s">
        <v>422</v>
      </c>
      <c r="AX222" s="202" t="s">
        <v>423</v>
      </c>
      <c r="AY222" s="203" t="s">
        <v>424</v>
      </c>
      <c r="AZ222" s="200" t="s">
        <v>425</v>
      </c>
      <c r="BA222" s="34" t="s">
        <v>320</v>
      </c>
      <c r="BB222" s="591" t="str">
        <f t="shared" si="15"/>
        <v>DEEP</v>
      </c>
      <c r="BC222" s="591" t="str">
        <f t="shared" si="16"/>
        <v>1. Ministries-MOTour-PDPL-2021</v>
      </c>
      <c r="BD222" s="591" t="str">
        <f t="shared" si="17"/>
        <v>MOTour-PDPL-2021</v>
      </c>
      <c r="BE222" s="591" t="str">
        <f t="shared" si="18"/>
        <v>NONE</v>
      </c>
      <c r="BF222" s="594">
        <f t="shared" si="19"/>
        <v>13</v>
      </c>
    </row>
    <row r="223" spans="1:58" ht="42" customHeight="1" x14ac:dyDescent="0.45">
      <c r="A223" s="42">
        <v>204</v>
      </c>
      <c r="B223" s="189" t="s">
        <v>1887</v>
      </c>
      <c r="C223" s="44" t="s">
        <v>1888</v>
      </c>
      <c r="D223" s="44" t="s">
        <v>1562</v>
      </c>
      <c r="E223" s="189" t="s">
        <v>1889</v>
      </c>
      <c r="F223" s="45" t="s">
        <v>1890</v>
      </c>
      <c r="G223" s="44" t="s">
        <v>1745</v>
      </c>
      <c r="H223" s="44" t="s">
        <v>1746</v>
      </c>
      <c r="I223" s="46" t="s">
        <v>1346</v>
      </c>
      <c r="J223" s="46" t="s">
        <v>310</v>
      </c>
      <c r="K223" s="44" t="s">
        <v>63</v>
      </c>
      <c r="L223" s="22" t="s">
        <v>64</v>
      </c>
      <c r="M223" s="44" t="s">
        <v>1748</v>
      </c>
      <c r="N223" s="55" t="s">
        <v>253</v>
      </c>
      <c r="O223" s="48" t="s">
        <v>1891</v>
      </c>
      <c r="P223" s="44" t="s">
        <v>1750</v>
      </c>
      <c r="Q223" s="190" t="s">
        <v>562</v>
      </c>
      <c r="R223" s="190" t="s">
        <v>563</v>
      </c>
      <c r="S223" s="191" t="s">
        <v>564</v>
      </c>
      <c r="T223" s="190" t="s">
        <v>565</v>
      </c>
      <c r="U223" s="25" t="s">
        <v>566</v>
      </c>
      <c r="V223" s="190" t="s">
        <v>282</v>
      </c>
      <c r="W223" s="192" t="s">
        <v>283</v>
      </c>
      <c r="X223" s="190" t="s">
        <v>284</v>
      </c>
      <c r="Y223" s="49" t="s">
        <v>285</v>
      </c>
      <c r="Z223" s="190" t="s">
        <v>286</v>
      </c>
      <c r="AA223" s="191" t="s">
        <v>286</v>
      </c>
      <c r="AB223" s="190" t="s">
        <v>287</v>
      </c>
      <c r="AC223" s="190" t="s">
        <v>288</v>
      </c>
      <c r="AD223" s="49" t="s">
        <v>289</v>
      </c>
      <c r="AE223" s="58" t="s">
        <v>290</v>
      </c>
      <c r="AF223" s="56" t="s">
        <v>291</v>
      </c>
      <c r="AG223" s="190" t="s">
        <v>292</v>
      </c>
      <c r="AH223" s="190" t="s">
        <v>293</v>
      </c>
      <c r="AI223" s="193" t="s">
        <v>215</v>
      </c>
      <c r="AJ223" s="190" t="s">
        <v>216</v>
      </c>
      <c r="AK223" s="194" t="s">
        <v>217</v>
      </c>
      <c r="AL223" s="195" t="s">
        <v>218</v>
      </c>
      <c r="AM223" s="196" t="s">
        <v>219</v>
      </c>
      <c r="AN223" s="197" t="s">
        <v>220</v>
      </c>
      <c r="AO223" s="198" t="s">
        <v>221</v>
      </c>
      <c r="AP223" s="51" t="s">
        <v>138</v>
      </c>
      <c r="AQ223" s="26" t="s">
        <v>139</v>
      </c>
      <c r="AR223" s="194" t="s">
        <v>140</v>
      </c>
      <c r="AS223" s="22" t="s">
        <v>141</v>
      </c>
      <c r="AT223" s="195" t="s">
        <v>142</v>
      </c>
      <c r="AU223" s="199" t="s">
        <v>143</v>
      </c>
      <c r="AV223" s="200" t="s">
        <v>144</v>
      </c>
      <c r="AW223" s="201" t="s">
        <v>145</v>
      </c>
      <c r="AX223" s="202" t="s">
        <v>146</v>
      </c>
      <c r="AY223" s="203" t="s">
        <v>147</v>
      </c>
      <c r="AZ223" s="200" t="s">
        <v>104</v>
      </c>
      <c r="BA223" s="41" t="s">
        <v>105</v>
      </c>
      <c r="BB223" s="591" t="str">
        <f t="shared" si="15"/>
        <v>TEMPLATE</v>
      </c>
      <c r="BC223" s="591" t="str">
        <f t="shared" si="16"/>
        <v>1. Ministries-MOJ-MOJ-LAW</v>
      </c>
      <c r="BD223" s="591" t="str">
        <f t="shared" si="17"/>
        <v>MOJ-MOJ-LAW</v>
      </c>
      <c r="BE223" s="591" t="str">
        <f t="shared" si="18"/>
        <v>NONE</v>
      </c>
      <c r="BF223" s="594">
        <f t="shared" si="19"/>
        <v>7</v>
      </c>
    </row>
    <row r="224" spans="1:58" ht="42" customHeight="1" x14ac:dyDescent="0.45">
      <c r="A224" s="204">
        <v>205</v>
      </c>
      <c r="B224" s="205" t="s">
        <v>1887</v>
      </c>
      <c r="C224" s="190" t="s">
        <v>1888</v>
      </c>
      <c r="D224" s="190" t="s">
        <v>1562</v>
      </c>
      <c r="E224" s="205" t="s">
        <v>557</v>
      </c>
      <c r="F224" s="192" t="s">
        <v>58</v>
      </c>
      <c r="G224" s="190" t="s">
        <v>59</v>
      </c>
      <c r="H224" s="190" t="s">
        <v>57</v>
      </c>
      <c r="I224" s="191" t="s">
        <v>61</v>
      </c>
      <c r="J224" s="191" t="s">
        <v>62</v>
      </c>
      <c r="K224" s="190" t="s">
        <v>558</v>
      </c>
      <c r="L224" s="66" t="s">
        <v>559</v>
      </c>
      <c r="M224" s="190" t="s">
        <v>1892</v>
      </c>
      <c r="N224" s="209" t="s">
        <v>275</v>
      </c>
      <c r="O224" s="207" t="s">
        <v>196</v>
      </c>
      <c r="P224" s="190" t="s">
        <v>561</v>
      </c>
      <c r="Q224" s="190" t="s">
        <v>562</v>
      </c>
      <c r="R224" s="190" t="s">
        <v>563</v>
      </c>
      <c r="S224" s="191" t="s">
        <v>564</v>
      </c>
      <c r="T224" s="190" t="s">
        <v>565</v>
      </c>
      <c r="U224" s="25" t="s">
        <v>566</v>
      </c>
      <c r="V224" s="190" t="s">
        <v>282</v>
      </c>
      <c r="W224" s="192" t="s">
        <v>283</v>
      </c>
      <c r="X224" s="190" t="s">
        <v>284</v>
      </c>
      <c r="Y224" s="49" t="s">
        <v>285</v>
      </c>
      <c r="Z224" s="190" t="s">
        <v>286</v>
      </c>
      <c r="AA224" s="191" t="s">
        <v>286</v>
      </c>
      <c r="AB224" s="190" t="s">
        <v>287</v>
      </c>
      <c r="AC224" s="190" t="s">
        <v>288</v>
      </c>
      <c r="AD224" s="49" t="s">
        <v>289</v>
      </c>
      <c r="AE224" s="58" t="s">
        <v>290</v>
      </c>
      <c r="AF224" s="56" t="s">
        <v>291</v>
      </c>
      <c r="AG224" s="190" t="s">
        <v>292</v>
      </c>
      <c r="AH224" s="190" t="s">
        <v>293</v>
      </c>
      <c r="AI224" s="193" t="s">
        <v>215</v>
      </c>
      <c r="AJ224" s="190" t="s">
        <v>216</v>
      </c>
      <c r="AK224" s="194" t="s">
        <v>217</v>
      </c>
      <c r="AL224" s="195" t="s">
        <v>218</v>
      </c>
      <c r="AM224" s="196" t="s">
        <v>219</v>
      </c>
      <c r="AN224" s="197" t="s">
        <v>220</v>
      </c>
      <c r="AO224" s="198" t="s">
        <v>221</v>
      </c>
      <c r="AP224" s="51" t="s">
        <v>138</v>
      </c>
      <c r="AQ224" s="26" t="s">
        <v>139</v>
      </c>
      <c r="AR224" s="194" t="s">
        <v>140</v>
      </c>
      <c r="AS224" s="22" t="s">
        <v>141</v>
      </c>
      <c r="AT224" s="195" t="s">
        <v>142</v>
      </c>
      <c r="AU224" s="199" t="s">
        <v>143</v>
      </c>
      <c r="AV224" s="200" t="s">
        <v>144</v>
      </c>
      <c r="AW224" s="201" t="s">
        <v>145</v>
      </c>
      <c r="AX224" s="202" t="s">
        <v>146</v>
      </c>
      <c r="AY224" s="203" t="s">
        <v>147</v>
      </c>
      <c r="AZ224" s="200" t="s">
        <v>567</v>
      </c>
      <c r="BA224" s="34" t="s">
        <v>320</v>
      </c>
      <c r="BB224" s="591" t="str">
        <f t="shared" si="15"/>
        <v>TEMPLATE</v>
      </c>
      <c r="BC224" s="591" t="str">
        <f t="shared" si="16"/>
        <v>1. Ministries-MOJ-NCA-ECC-2:2024</v>
      </c>
      <c r="BD224" s="591" t="str">
        <f t="shared" si="17"/>
        <v>MOJ-NCA-ECC-2-2024</v>
      </c>
      <c r="BE224" s="591" t="str">
        <f t="shared" si="18"/>
        <v>NCA-ECC-2-2024</v>
      </c>
      <c r="BF224" s="594">
        <f t="shared" si="19"/>
        <v>6</v>
      </c>
    </row>
    <row r="225" spans="1:58" ht="42" customHeight="1" x14ac:dyDescent="0.45">
      <c r="A225" s="42">
        <v>206</v>
      </c>
      <c r="B225" s="189" t="s">
        <v>1887</v>
      </c>
      <c r="C225" s="44" t="s">
        <v>1888</v>
      </c>
      <c r="D225" s="44" t="s">
        <v>1562</v>
      </c>
      <c r="E225" s="189" t="s">
        <v>382</v>
      </c>
      <c r="F225" s="45" t="s">
        <v>383</v>
      </c>
      <c r="G225" s="44" t="s">
        <v>384</v>
      </c>
      <c r="H225" s="44" t="s">
        <v>765</v>
      </c>
      <c r="I225" s="46" t="s">
        <v>250</v>
      </c>
      <c r="J225" s="46" t="s">
        <v>386</v>
      </c>
      <c r="K225" s="44" t="s">
        <v>558</v>
      </c>
      <c r="L225" s="66" t="s">
        <v>559</v>
      </c>
      <c r="M225" s="44" t="s">
        <v>1893</v>
      </c>
      <c r="N225" s="59" t="s">
        <v>275</v>
      </c>
      <c r="O225" s="48" t="s">
        <v>540</v>
      </c>
      <c r="P225" s="44" t="s">
        <v>380</v>
      </c>
      <c r="Q225" s="190" t="s">
        <v>390</v>
      </c>
      <c r="R225" s="190" t="s">
        <v>391</v>
      </c>
      <c r="S225" s="191" t="s">
        <v>392</v>
      </c>
      <c r="T225" s="190" t="s">
        <v>393</v>
      </c>
      <c r="U225" s="25" t="s">
        <v>394</v>
      </c>
      <c r="V225" s="190" t="s">
        <v>395</v>
      </c>
      <c r="W225" s="192" t="s">
        <v>396</v>
      </c>
      <c r="X225" s="190" t="s">
        <v>397</v>
      </c>
      <c r="Y225" s="49" t="s">
        <v>398</v>
      </c>
      <c r="Z225" s="190" t="s">
        <v>399</v>
      </c>
      <c r="AA225" s="191" t="s">
        <v>400</v>
      </c>
      <c r="AB225" s="190" t="s">
        <v>401</v>
      </c>
      <c r="AC225" s="190" t="s">
        <v>402</v>
      </c>
      <c r="AD225" s="49" t="s">
        <v>403</v>
      </c>
      <c r="AE225" s="50" t="s">
        <v>404</v>
      </c>
      <c r="AF225" s="60" t="s">
        <v>405</v>
      </c>
      <c r="AG225" s="190" t="s">
        <v>406</v>
      </c>
      <c r="AH225" s="190" t="s">
        <v>407</v>
      </c>
      <c r="AI225" s="193" t="s">
        <v>408</v>
      </c>
      <c r="AJ225" s="190" t="s">
        <v>409</v>
      </c>
      <c r="AK225" s="194" t="s">
        <v>410</v>
      </c>
      <c r="AL225" s="195" t="s">
        <v>411</v>
      </c>
      <c r="AM225" s="196" t="s">
        <v>412</v>
      </c>
      <c r="AN225" s="197" t="s">
        <v>413</v>
      </c>
      <c r="AO225" s="198" t="s">
        <v>414</v>
      </c>
      <c r="AP225" s="51" t="s">
        <v>415</v>
      </c>
      <c r="AQ225" s="26" t="s">
        <v>416</v>
      </c>
      <c r="AR225" s="194" t="s">
        <v>417</v>
      </c>
      <c r="AS225" s="22" t="s">
        <v>418</v>
      </c>
      <c r="AT225" s="195" t="s">
        <v>419</v>
      </c>
      <c r="AU225" s="199" t="s">
        <v>420</v>
      </c>
      <c r="AV225" s="200" t="s">
        <v>421</v>
      </c>
      <c r="AW225" s="201" t="s">
        <v>422</v>
      </c>
      <c r="AX225" s="202" t="s">
        <v>423</v>
      </c>
      <c r="AY225" s="203" t="s">
        <v>424</v>
      </c>
      <c r="AZ225" s="200" t="s">
        <v>425</v>
      </c>
      <c r="BA225" s="34" t="s">
        <v>320</v>
      </c>
      <c r="BB225" s="591" t="str">
        <f t="shared" si="15"/>
        <v>DEEP</v>
      </c>
      <c r="BC225" s="591" t="str">
        <f t="shared" si="16"/>
        <v>1. Ministries-MOJ-PDPL-2021</v>
      </c>
      <c r="BD225" s="591" t="str">
        <f t="shared" si="17"/>
        <v>MOJ-PDPL-2021</v>
      </c>
      <c r="BE225" s="591" t="str">
        <f t="shared" si="18"/>
        <v>NONE</v>
      </c>
      <c r="BF225" s="594">
        <f t="shared" si="19"/>
        <v>13</v>
      </c>
    </row>
    <row r="226" spans="1:58" x14ac:dyDescent="0.45">
      <c r="BB226" s="591" t="str">
        <f t="shared" si="15"/>
        <v/>
      </c>
      <c r="BC226" s="591" t="str">
        <f t="shared" si="16"/>
        <v/>
      </c>
      <c r="BD226" s="591" t="str">
        <f t="shared" si="17"/>
        <v/>
      </c>
      <c r="BE226" s="591" t="str">
        <f t="shared" si="18"/>
        <v/>
      </c>
      <c r="BF226" s="594" t="str">
        <f t="shared" si="19"/>
        <v/>
      </c>
    </row>
    <row r="227" spans="1:58" ht="19.5" customHeight="1" x14ac:dyDescent="0.45">
      <c r="A227" s="94"/>
      <c r="B227" s="95" t="s">
        <v>1285</v>
      </c>
      <c r="C227" s="94"/>
      <c r="D227" s="94"/>
      <c r="E227" s="94"/>
      <c r="F227" s="94"/>
      <c r="G227" s="94"/>
      <c r="H227" s="94"/>
      <c r="I227" s="94"/>
      <c r="J227" s="94"/>
      <c r="K227" s="94"/>
      <c r="L227" s="94"/>
      <c r="M227" s="94"/>
      <c r="N227" s="94"/>
      <c r="O227" s="94"/>
      <c r="P227" s="94"/>
      <c r="BB227" s="591" t="str">
        <f t="shared" si="15"/>
        <v/>
      </c>
      <c r="BC227" s="591" t="str">
        <f t="shared" si="16"/>
        <v/>
      </c>
      <c r="BD227" s="591" t="str">
        <f t="shared" si="17"/>
        <v/>
      </c>
      <c r="BE227" s="591" t="str">
        <f t="shared" si="18"/>
        <v/>
      </c>
      <c r="BF227" s="594" t="str">
        <f t="shared" si="19"/>
        <v/>
      </c>
    </row>
    <row r="228" spans="1:58" ht="42" customHeight="1" x14ac:dyDescent="0.45">
      <c r="A228" s="96">
        <v>207</v>
      </c>
      <c r="B228" s="97" t="s">
        <v>1894</v>
      </c>
      <c r="C228" s="98" t="s">
        <v>1895</v>
      </c>
      <c r="D228" s="98" t="s">
        <v>1288</v>
      </c>
      <c r="E228" s="97" t="s">
        <v>1896</v>
      </c>
      <c r="F228" s="99" t="s">
        <v>1897</v>
      </c>
      <c r="G228" s="98" t="s">
        <v>1898</v>
      </c>
      <c r="H228" s="98" t="s">
        <v>1746</v>
      </c>
      <c r="I228" s="100" t="s">
        <v>1899</v>
      </c>
      <c r="J228" s="100" t="s">
        <v>310</v>
      </c>
      <c r="K228" s="98" t="s">
        <v>63</v>
      </c>
      <c r="L228" s="22" t="s">
        <v>64</v>
      </c>
      <c r="M228" s="98" t="s">
        <v>1900</v>
      </c>
      <c r="N228" s="101" t="s">
        <v>253</v>
      </c>
      <c r="O228" s="102" t="s">
        <v>1901</v>
      </c>
      <c r="P228" s="98" t="s">
        <v>1902</v>
      </c>
      <c r="Q228" s="98" t="s">
        <v>562</v>
      </c>
      <c r="R228" s="98" t="s">
        <v>563</v>
      </c>
      <c r="S228" s="100" t="s">
        <v>564</v>
      </c>
      <c r="T228" s="98" t="s">
        <v>565</v>
      </c>
      <c r="U228" s="25" t="s">
        <v>566</v>
      </c>
      <c r="V228" s="98" t="s">
        <v>282</v>
      </c>
      <c r="W228" s="99" t="s">
        <v>283</v>
      </c>
      <c r="X228" s="98" t="s">
        <v>284</v>
      </c>
      <c r="Y228" s="49" t="s">
        <v>285</v>
      </c>
      <c r="Z228" s="98" t="s">
        <v>286</v>
      </c>
      <c r="AA228" s="100" t="s">
        <v>286</v>
      </c>
      <c r="AB228" s="98" t="s">
        <v>287</v>
      </c>
      <c r="AC228" s="98" t="s">
        <v>288</v>
      </c>
      <c r="AD228" s="49" t="s">
        <v>289</v>
      </c>
      <c r="AE228" s="58" t="s">
        <v>290</v>
      </c>
      <c r="AF228" s="56" t="s">
        <v>291</v>
      </c>
      <c r="AG228" s="98" t="s">
        <v>292</v>
      </c>
      <c r="AH228" s="98" t="s">
        <v>293</v>
      </c>
      <c r="AI228" s="103" t="s">
        <v>215</v>
      </c>
      <c r="AJ228" s="98" t="s">
        <v>216</v>
      </c>
      <c r="AK228" s="104" t="s">
        <v>217</v>
      </c>
      <c r="AL228" s="105" t="s">
        <v>218</v>
      </c>
      <c r="AM228" s="106" t="s">
        <v>219</v>
      </c>
      <c r="AN228" s="107" t="s">
        <v>220</v>
      </c>
      <c r="AO228" s="108" t="s">
        <v>221</v>
      </c>
      <c r="AP228" s="51" t="s">
        <v>138</v>
      </c>
      <c r="AQ228" s="109" t="s">
        <v>139</v>
      </c>
      <c r="AR228" s="104" t="s">
        <v>140</v>
      </c>
      <c r="AS228" s="22" t="s">
        <v>141</v>
      </c>
      <c r="AT228" s="105" t="s">
        <v>142</v>
      </c>
      <c r="AU228" s="110" t="s">
        <v>143</v>
      </c>
      <c r="AV228" s="111" t="s">
        <v>144</v>
      </c>
      <c r="AW228" s="112" t="s">
        <v>145</v>
      </c>
      <c r="AX228" s="113" t="s">
        <v>146</v>
      </c>
      <c r="AY228" s="114" t="s">
        <v>147</v>
      </c>
      <c r="AZ228" s="111" t="s">
        <v>104</v>
      </c>
      <c r="BA228" s="41" t="s">
        <v>105</v>
      </c>
      <c r="BB228" s="591" t="str">
        <f t="shared" si="15"/>
        <v>TEMPLATE</v>
      </c>
      <c r="BC228" s="591" t="str">
        <f t="shared" si="16"/>
        <v>5. Financial Regulators-PPA-PPA-FW</v>
      </c>
      <c r="BD228" s="591" t="str">
        <f t="shared" si="17"/>
        <v>PPA-PPA-FW</v>
      </c>
      <c r="BE228" s="591" t="str">
        <f t="shared" si="18"/>
        <v>NONE</v>
      </c>
      <c r="BF228" s="594">
        <f t="shared" si="19"/>
        <v>7</v>
      </c>
    </row>
    <row r="229" spans="1:58" ht="42" customHeight="1" x14ac:dyDescent="0.45">
      <c r="A229" s="42">
        <v>208</v>
      </c>
      <c r="B229" s="115" t="s">
        <v>1894</v>
      </c>
      <c r="C229" s="44" t="s">
        <v>1895</v>
      </c>
      <c r="D229" s="44" t="s">
        <v>1288</v>
      </c>
      <c r="E229" s="115" t="s">
        <v>557</v>
      </c>
      <c r="F229" s="45" t="s">
        <v>58</v>
      </c>
      <c r="G229" s="44" t="s">
        <v>59</v>
      </c>
      <c r="H229" s="44" t="s">
        <v>57</v>
      </c>
      <c r="I229" s="46" t="s">
        <v>61</v>
      </c>
      <c r="J229" s="46" t="s">
        <v>62</v>
      </c>
      <c r="K229" s="44" t="s">
        <v>558</v>
      </c>
      <c r="L229" s="66" t="s">
        <v>559</v>
      </c>
      <c r="M229" s="44" t="s">
        <v>1903</v>
      </c>
      <c r="N229" s="59" t="s">
        <v>275</v>
      </c>
      <c r="O229" s="48" t="s">
        <v>196</v>
      </c>
      <c r="P229" s="44" t="s">
        <v>561</v>
      </c>
      <c r="Q229" s="98" t="s">
        <v>562</v>
      </c>
      <c r="R229" s="98" t="s">
        <v>563</v>
      </c>
      <c r="S229" s="100" t="s">
        <v>564</v>
      </c>
      <c r="T229" s="98" t="s">
        <v>565</v>
      </c>
      <c r="U229" s="25" t="s">
        <v>566</v>
      </c>
      <c r="V229" s="98" t="s">
        <v>282</v>
      </c>
      <c r="W229" s="99" t="s">
        <v>283</v>
      </c>
      <c r="X229" s="98" t="s">
        <v>284</v>
      </c>
      <c r="Y229" s="49" t="s">
        <v>285</v>
      </c>
      <c r="Z229" s="98" t="s">
        <v>286</v>
      </c>
      <c r="AA229" s="100" t="s">
        <v>286</v>
      </c>
      <c r="AB229" s="98" t="s">
        <v>287</v>
      </c>
      <c r="AC229" s="98" t="s">
        <v>288</v>
      </c>
      <c r="AD229" s="49" t="s">
        <v>289</v>
      </c>
      <c r="AE229" s="58" t="s">
        <v>290</v>
      </c>
      <c r="AF229" s="56" t="s">
        <v>291</v>
      </c>
      <c r="AG229" s="98" t="s">
        <v>292</v>
      </c>
      <c r="AH229" s="98" t="s">
        <v>293</v>
      </c>
      <c r="AI229" s="103" t="s">
        <v>215</v>
      </c>
      <c r="AJ229" s="98" t="s">
        <v>216</v>
      </c>
      <c r="AK229" s="104" t="s">
        <v>217</v>
      </c>
      <c r="AL229" s="105" t="s">
        <v>218</v>
      </c>
      <c r="AM229" s="106" t="s">
        <v>219</v>
      </c>
      <c r="AN229" s="107" t="s">
        <v>220</v>
      </c>
      <c r="AO229" s="108" t="s">
        <v>221</v>
      </c>
      <c r="AP229" s="51" t="s">
        <v>138</v>
      </c>
      <c r="AQ229" s="109" t="s">
        <v>139</v>
      </c>
      <c r="AR229" s="104" t="s">
        <v>140</v>
      </c>
      <c r="AS229" s="22" t="s">
        <v>141</v>
      </c>
      <c r="AT229" s="105" t="s">
        <v>142</v>
      </c>
      <c r="AU229" s="110" t="s">
        <v>143</v>
      </c>
      <c r="AV229" s="111" t="s">
        <v>144</v>
      </c>
      <c r="AW229" s="112" t="s">
        <v>145</v>
      </c>
      <c r="AX229" s="113" t="s">
        <v>146</v>
      </c>
      <c r="AY229" s="114" t="s">
        <v>147</v>
      </c>
      <c r="AZ229" s="111" t="s">
        <v>567</v>
      </c>
      <c r="BA229" s="34" t="s">
        <v>320</v>
      </c>
      <c r="BB229" s="591" t="str">
        <f t="shared" si="15"/>
        <v>TEMPLATE</v>
      </c>
      <c r="BC229" s="591" t="str">
        <f t="shared" si="16"/>
        <v>5. Financial Regulators-PPA-NCA-ECC-2:2024</v>
      </c>
      <c r="BD229" s="591" t="str">
        <f t="shared" si="17"/>
        <v>PPA-NCA-ECC-2-2024</v>
      </c>
      <c r="BE229" s="591" t="str">
        <f t="shared" si="18"/>
        <v>NCA-ECC-2-2024</v>
      </c>
      <c r="BF229" s="594">
        <f t="shared" si="19"/>
        <v>6</v>
      </c>
    </row>
    <row r="230" spans="1:58" ht="42" customHeight="1" x14ac:dyDescent="0.45">
      <c r="A230" s="96">
        <v>209</v>
      </c>
      <c r="B230" s="97" t="s">
        <v>1904</v>
      </c>
      <c r="C230" s="98" t="s">
        <v>1905</v>
      </c>
      <c r="D230" s="98" t="s">
        <v>1288</v>
      </c>
      <c r="E230" s="97" t="s">
        <v>1906</v>
      </c>
      <c r="F230" s="99" t="s">
        <v>1907</v>
      </c>
      <c r="G230" s="98" t="s">
        <v>1898</v>
      </c>
      <c r="H230" s="98" t="s">
        <v>1746</v>
      </c>
      <c r="I230" s="100" t="s">
        <v>1202</v>
      </c>
      <c r="J230" s="100" t="s">
        <v>310</v>
      </c>
      <c r="K230" s="98" t="s">
        <v>63</v>
      </c>
      <c r="L230" s="22" t="s">
        <v>64</v>
      </c>
      <c r="M230" s="98" t="s">
        <v>1900</v>
      </c>
      <c r="N230" s="101" t="s">
        <v>253</v>
      </c>
      <c r="O230" s="102" t="s">
        <v>1901</v>
      </c>
      <c r="P230" s="98" t="s">
        <v>1902</v>
      </c>
      <c r="Q230" s="98" t="s">
        <v>562</v>
      </c>
      <c r="R230" s="98" t="s">
        <v>563</v>
      </c>
      <c r="S230" s="100" t="s">
        <v>564</v>
      </c>
      <c r="T230" s="98" t="s">
        <v>565</v>
      </c>
      <c r="U230" s="25" t="s">
        <v>566</v>
      </c>
      <c r="V230" s="98" t="s">
        <v>282</v>
      </c>
      <c r="W230" s="99" t="s">
        <v>283</v>
      </c>
      <c r="X230" s="98" t="s">
        <v>284</v>
      </c>
      <c r="Y230" s="49" t="s">
        <v>285</v>
      </c>
      <c r="Z230" s="98" t="s">
        <v>286</v>
      </c>
      <c r="AA230" s="100" t="s">
        <v>286</v>
      </c>
      <c r="AB230" s="98" t="s">
        <v>287</v>
      </c>
      <c r="AC230" s="98" t="s">
        <v>288</v>
      </c>
      <c r="AD230" s="49" t="s">
        <v>289</v>
      </c>
      <c r="AE230" s="58" t="s">
        <v>290</v>
      </c>
      <c r="AF230" s="56" t="s">
        <v>291</v>
      </c>
      <c r="AG230" s="98" t="s">
        <v>292</v>
      </c>
      <c r="AH230" s="98" t="s">
        <v>293</v>
      </c>
      <c r="AI230" s="103" t="s">
        <v>215</v>
      </c>
      <c r="AJ230" s="98" t="s">
        <v>216</v>
      </c>
      <c r="AK230" s="104" t="s">
        <v>217</v>
      </c>
      <c r="AL230" s="105" t="s">
        <v>218</v>
      </c>
      <c r="AM230" s="106" t="s">
        <v>219</v>
      </c>
      <c r="AN230" s="107" t="s">
        <v>220</v>
      </c>
      <c r="AO230" s="108" t="s">
        <v>221</v>
      </c>
      <c r="AP230" s="51" t="s">
        <v>138</v>
      </c>
      <c r="AQ230" s="109" t="s">
        <v>139</v>
      </c>
      <c r="AR230" s="104" t="s">
        <v>140</v>
      </c>
      <c r="AS230" s="22" t="s">
        <v>141</v>
      </c>
      <c r="AT230" s="105" t="s">
        <v>142</v>
      </c>
      <c r="AU230" s="110" t="s">
        <v>143</v>
      </c>
      <c r="AV230" s="111" t="s">
        <v>144</v>
      </c>
      <c r="AW230" s="112" t="s">
        <v>145</v>
      </c>
      <c r="AX230" s="113" t="s">
        <v>146</v>
      </c>
      <c r="AY230" s="114" t="s">
        <v>147</v>
      </c>
      <c r="AZ230" s="111" t="s">
        <v>104</v>
      </c>
      <c r="BA230" s="41" t="s">
        <v>105</v>
      </c>
      <c r="BB230" s="591" t="str">
        <f t="shared" si="15"/>
        <v>TEMPLATE</v>
      </c>
      <c r="BC230" s="591" t="str">
        <f t="shared" si="16"/>
        <v>5. Financial Regulators-PIF-PIF-FW</v>
      </c>
      <c r="BD230" s="591" t="str">
        <f t="shared" si="17"/>
        <v>PIF-PIF-FW</v>
      </c>
      <c r="BE230" s="591" t="str">
        <f t="shared" si="18"/>
        <v>NONE</v>
      </c>
      <c r="BF230" s="594">
        <f t="shared" si="19"/>
        <v>7</v>
      </c>
    </row>
    <row r="231" spans="1:58" ht="42" customHeight="1" x14ac:dyDescent="0.45">
      <c r="A231" s="42">
        <v>210</v>
      </c>
      <c r="B231" s="115" t="s">
        <v>1904</v>
      </c>
      <c r="C231" s="44" t="s">
        <v>1905</v>
      </c>
      <c r="D231" s="44" t="s">
        <v>1288</v>
      </c>
      <c r="E231" s="115" t="s">
        <v>557</v>
      </c>
      <c r="F231" s="45" t="s">
        <v>58</v>
      </c>
      <c r="G231" s="44" t="s">
        <v>59</v>
      </c>
      <c r="H231" s="44" t="s">
        <v>57</v>
      </c>
      <c r="I231" s="46" t="s">
        <v>61</v>
      </c>
      <c r="J231" s="46" t="s">
        <v>62</v>
      </c>
      <c r="K231" s="44" t="s">
        <v>558</v>
      </c>
      <c r="L231" s="66" t="s">
        <v>559</v>
      </c>
      <c r="M231" s="44" t="s">
        <v>1908</v>
      </c>
      <c r="N231" s="59" t="s">
        <v>275</v>
      </c>
      <c r="O231" s="48" t="s">
        <v>196</v>
      </c>
      <c r="P231" s="44" t="s">
        <v>561</v>
      </c>
      <c r="Q231" s="98" t="s">
        <v>562</v>
      </c>
      <c r="R231" s="98" t="s">
        <v>563</v>
      </c>
      <c r="S231" s="100" t="s">
        <v>564</v>
      </c>
      <c r="T231" s="98" t="s">
        <v>565</v>
      </c>
      <c r="U231" s="25" t="s">
        <v>566</v>
      </c>
      <c r="V231" s="98" t="s">
        <v>282</v>
      </c>
      <c r="W231" s="99" t="s">
        <v>283</v>
      </c>
      <c r="X231" s="98" t="s">
        <v>284</v>
      </c>
      <c r="Y231" s="49" t="s">
        <v>285</v>
      </c>
      <c r="Z231" s="98" t="s">
        <v>286</v>
      </c>
      <c r="AA231" s="100" t="s">
        <v>286</v>
      </c>
      <c r="AB231" s="98" t="s">
        <v>287</v>
      </c>
      <c r="AC231" s="98" t="s">
        <v>288</v>
      </c>
      <c r="AD231" s="49" t="s">
        <v>289</v>
      </c>
      <c r="AE231" s="58" t="s">
        <v>290</v>
      </c>
      <c r="AF231" s="56" t="s">
        <v>291</v>
      </c>
      <c r="AG231" s="98" t="s">
        <v>292</v>
      </c>
      <c r="AH231" s="98" t="s">
        <v>293</v>
      </c>
      <c r="AI231" s="103" t="s">
        <v>215</v>
      </c>
      <c r="AJ231" s="98" t="s">
        <v>216</v>
      </c>
      <c r="AK231" s="104" t="s">
        <v>217</v>
      </c>
      <c r="AL231" s="105" t="s">
        <v>218</v>
      </c>
      <c r="AM231" s="106" t="s">
        <v>219</v>
      </c>
      <c r="AN231" s="107" t="s">
        <v>220</v>
      </c>
      <c r="AO231" s="108" t="s">
        <v>221</v>
      </c>
      <c r="AP231" s="51" t="s">
        <v>138</v>
      </c>
      <c r="AQ231" s="109" t="s">
        <v>139</v>
      </c>
      <c r="AR231" s="104" t="s">
        <v>140</v>
      </c>
      <c r="AS231" s="22" t="s">
        <v>141</v>
      </c>
      <c r="AT231" s="105" t="s">
        <v>142</v>
      </c>
      <c r="AU231" s="110" t="s">
        <v>143</v>
      </c>
      <c r="AV231" s="111" t="s">
        <v>144</v>
      </c>
      <c r="AW231" s="112" t="s">
        <v>145</v>
      </c>
      <c r="AX231" s="113" t="s">
        <v>146</v>
      </c>
      <c r="AY231" s="114" t="s">
        <v>147</v>
      </c>
      <c r="AZ231" s="111" t="s">
        <v>567</v>
      </c>
      <c r="BA231" s="34" t="s">
        <v>320</v>
      </c>
      <c r="BB231" s="591" t="str">
        <f t="shared" si="15"/>
        <v>TEMPLATE</v>
      </c>
      <c r="BC231" s="591" t="str">
        <f t="shared" si="16"/>
        <v>5. Financial Regulators-PIF-NCA-ECC-2:2024</v>
      </c>
      <c r="BD231" s="591" t="str">
        <f t="shared" si="17"/>
        <v>PIF-NCA-ECC-2-2024</v>
      </c>
      <c r="BE231" s="591" t="str">
        <f t="shared" si="18"/>
        <v>NCA-ECC-2-2024</v>
      </c>
      <c r="BF231" s="594">
        <f t="shared" si="19"/>
        <v>6</v>
      </c>
    </row>
    <row r="232" spans="1:58" ht="42" customHeight="1" x14ac:dyDescent="0.45">
      <c r="A232" s="96">
        <v>211</v>
      </c>
      <c r="B232" s="97" t="s">
        <v>1909</v>
      </c>
      <c r="C232" s="98" t="s">
        <v>1910</v>
      </c>
      <c r="D232" s="98" t="s">
        <v>1288</v>
      </c>
      <c r="E232" s="97" t="s">
        <v>1911</v>
      </c>
      <c r="F232" s="99" t="s">
        <v>1912</v>
      </c>
      <c r="G232" s="98" t="s">
        <v>1898</v>
      </c>
      <c r="H232" s="98" t="s">
        <v>1746</v>
      </c>
      <c r="I232" s="100" t="s">
        <v>1899</v>
      </c>
      <c r="J232" s="100" t="s">
        <v>310</v>
      </c>
      <c r="K232" s="98" t="s">
        <v>63</v>
      </c>
      <c r="L232" s="22" t="s">
        <v>64</v>
      </c>
      <c r="M232" s="98" t="s">
        <v>1900</v>
      </c>
      <c r="N232" s="101" t="s">
        <v>253</v>
      </c>
      <c r="O232" s="102" t="s">
        <v>1901</v>
      </c>
      <c r="P232" s="98" t="s">
        <v>1902</v>
      </c>
      <c r="Q232" s="98" t="s">
        <v>562</v>
      </c>
      <c r="R232" s="98" t="s">
        <v>563</v>
      </c>
      <c r="S232" s="100" t="s">
        <v>564</v>
      </c>
      <c r="T232" s="98" t="s">
        <v>565</v>
      </c>
      <c r="U232" s="25" t="s">
        <v>566</v>
      </c>
      <c r="V232" s="98" t="s">
        <v>282</v>
      </c>
      <c r="W232" s="99" t="s">
        <v>283</v>
      </c>
      <c r="X232" s="98" t="s">
        <v>284</v>
      </c>
      <c r="Y232" s="49" t="s">
        <v>285</v>
      </c>
      <c r="Z232" s="98" t="s">
        <v>286</v>
      </c>
      <c r="AA232" s="100" t="s">
        <v>286</v>
      </c>
      <c r="AB232" s="98" t="s">
        <v>287</v>
      </c>
      <c r="AC232" s="98" t="s">
        <v>288</v>
      </c>
      <c r="AD232" s="49" t="s">
        <v>289</v>
      </c>
      <c r="AE232" s="58" t="s">
        <v>290</v>
      </c>
      <c r="AF232" s="56" t="s">
        <v>291</v>
      </c>
      <c r="AG232" s="98" t="s">
        <v>292</v>
      </c>
      <c r="AH232" s="98" t="s">
        <v>293</v>
      </c>
      <c r="AI232" s="103" t="s">
        <v>215</v>
      </c>
      <c r="AJ232" s="98" t="s">
        <v>216</v>
      </c>
      <c r="AK232" s="104" t="s">
        <v>217</v>
      </c>
      <c r="AL232" s="105" t="s">
        <v>218</v>
      </c>
      <c r="AM232" s="106" t="s">
        <v>219</v>
      </c>
      <c r="AN232" s="107" t="s">
        <v>220</v>
      </c>
      <c r="AO232" s="108" t="s">
        <v>221</v>
      </c>
      <c r="AP232" s="51" t="s">
        <v>138</v>
      </c>
      <c r="AQ232" s="109" t="s">
        <v>139</v>
      </c>
      <c r="AR232" s="104" t="s">
        <v>140</v>
      </c>
      <c r="AS232" s="22" t="s">
        <v>141</v>
      </c>
      <c r="AT232" s="105" t="s">
        <v>142</v>
      </c>
      <c r="AU232" s="110" t="s">
        <v>143</v>
      </c>
      <c r="AV232" s="111" t="s">
        <v>144</v>
      </c>
      <c r="AW232" s="112" t="s">
        <v>145</v>
      </c>
      <c r="AX232" s="113" t="s">
        <v>146</v>
      </c>
      <c r="AY232" s="114" t="s">
        <v>147</v>
      </c>
      <c r="AZ232" s="111" t="s">
        <v>104</v>
      </c>
      <c r="BA232" s="41" t="s">
        <v>105</v>
      </c>
      <c r="BB232" s="591" t="str">
        <f t="shared" si="15"/>
        <v>TEMPLATE</v>
      </c>
      <c r="BC232" s="591" t="str">
        <f t="shared" si="16"/>
        <v>5. Financial Regulators-SIDF-SIDF-FW</v>
      </c>
      <c r="BD232" s="591" t="str">
        <f t="shared" si="17"/>
        <v>SIDF-SIDF-FW</v>
      </c>
      <c r="BE232" s="591" t="str">
        <f t="shared" si="18"/>
        <v>NONE</v>
      </c>
      <c r="BF232" s="594">
        <f t="shared" si="19"/>
        <v>7</v>
      </c>
    </row>
    <row r="233" spans="1:58" ht="42" customHeight="1" x14ac:dyDescent="0.45">
      <c r="A233" s="42">
        <v>212</v>
      </c>
      <c r="B233" s="115" t="s">
        <v>1909</v>
      </c>
      <c r="C233" s="44" t="s">
        <v>1910</v>
      </c>
      <c r="D233" s="44" t="s">
        <v>1288</v>
      </c>
      <c r="E233" s="115" t="s">
        <v>557</v>
      </c>
      <c r="F233" s="45" t="s">
        <v>58</v>
      </c>
      <c r="G233" s="44" t="s">
        <v>59</v>
      </c>
      <c r="H233" s="44" t="s">
        <v>57</v>
      </c>
      <c r="I233" s="46" t="s">
        <v>61</v>
      </c>
      <c r="J233" s="46" t="s">
        <v>62</v>
      </c>
      <c r="K233" s="44" t="s">
        <v>558</v>
      </c>
      <c r="L233" s="66" t="s">
        <v>559</v>
      </c>
      <c r="M233" s="44" t="s">
        <v>1913</v>
      </c>
      <c r="N233" s="59" t="s">
        <v>275</v>
      </c>
      <c r="O233" s="48" t="s">
        <v>196</v>
      </c>
      <c r="P233" s="44" t="s">
        <v>561</v>
      </c>
      <c r="Q233" s="98" t="s">
        <v>562</v>
      </c>
      <c r="R233" s="98" t="s">
        <v>563</v>
      </c>
      <c r="S233" s="100" t="s">
        <v>564</v>
      </c>
      <c r="T233" s="98" t="s">
        <v>565</v>
      </c>
      <c r="U233" s="25" t="s">
        <v>566</v>
      </c>
      <c r="V233" s="98" t="s">
        <v>282</v>
      </c>
      <c r="W233" s="99" t="s">
        <v>283</v>
      </c>
      <c r="X233" s="98" t="s">
        <v>284</v>
      </c>
      <c r="Y233" s="49" t="s">
        <v>285</v>
      </c>
      <c r="Z233" s="98" t="s">
        <v>286</v>
      </c>
      <c r="AA233" s="100" t="s">
        <v>286</v>
      </c>
      <c r="AB233" s="98" t="s">
        <v>287</v>
      </c>
      <c r="AC233" s="98" t="s">
        <v>288</v>
      </c>
      <c r="AD233" s="49" t="s">
        <v>289</v>
      </c>
      <c r="AE233" s="58" t="s">
        <v>290</v>
      </c>
      <c r="AF233" s="56" t="s">
        <v>291</v>
      </c>
      <c r="AG233" s="98" t="s">
        <v>292</v>
      </c>
      <c r="AH233" s="98" t="s">
        <v>293</v>
      </c>
      <c r="AI233" s="103" t="s">
        <v>215</v>
      </c>
      <c r="AJ233" s="98" t="s">
        <v>216</v>
      </c>
      <c r="AK233" s="104" t="s">
        <v>217</v>
      </c>
      <c r="AL233" s="105" t="s">
        <v>218</v>
      </c>
      <c r="AM233" s="106" t="s">
        <v>219</v>
      </c>
      <c r="AN233" s="107" t="s">
        <v>220</v>
      </c>
      <c r="AO233" s="108" t="s">
        <v>221</v>
      </c>
      <c r="AP233" s="51" t="s">
        <v>138</v>
      </c>
      <c r="AQ233" s="109" t="s">
        <v>139</v>
      </c>
      <c r="AR233" s="104" t="s">
        <v>140</v>
      </c>
      <c r="AS233" s="22" t="s">
        <v>141</v>
      </c>
      <c r="AT233" s="105" t="s">
        <v>142</v>
      </c>
      <c r="AU233" s="110" t="s">
        <v>143</v>
      </c>
      <c r="AV233" s="111" t="s">
        <v>144</v>
      </c>
      <c r="AW233" s="112" t="s">
        <v>145</v>
      </c>
      <c r="AX233" s="113" t="s">
        <v>146</v>
      </c>
      <c r="AY233" s="114" t="s">
        <v>147</v>
      </c>
      <c r="AZ233" s="111" t="s">
        <v>567</v>
      </c>
      <c r="BA233" s="34" t="s">
        <v>320</v>
      </c>
      <c r="BB233" s="591" t="str">
        <f t="shared" si="15"/>
        <v>TEMPLATE</v>
      </c>
      <c r="BC233" s="591" t="str">
        <f t="shared" si="16"/>
        <v>5. Financial Regulators-SIDF-NCA-ECC-2:2024</v>
      </c>
      <c r="BD233" s="591" t="str">
        <f t="shared" si="17"/>
        <v>SIDF-NCA-ECC-2-2024</v>
      </c>
      <c r="BE233" s="591" t="str">
        <f t="shared" si="18"/>
        <v>NCA-ECC-2-2024</v>
      </c>
      <c r="BF233" s="594">
        <f t="shared" si="19"/>
        <v>6</v>
      </c>
    </row>
    <row r="234" spans="1:58" ht="42" customHeight="1" x14ac:dyDescent="0.45">
      <c r="A234" s="96">
        <v>213</v>
      </c>
      <c r="B234" s="97" t="s">
        <v>1914</v>
      </c>
      <c r="C234" s="98" t="s">
        <v>1915</v>
      </c>
      <c r="D234" s="98" t="s">
        <v>1288</v>
      </c>
      <c r="E234" s="97" t="s">
        <v>1916</v>
      </c>
      <c r="F234" s="99" t="s">
        <v>1917</v>
      </c>
      <c r="G234" s="98" t="s">
        <v>1898</v>
      </c>
      <c r="H234" s="98" t="s">
        <v>1746</v>
      </c>
      <c r="I234" s="100" t="s">
        <v>1899</v>
      </c>
      <c r="J234" s="100" t="s">
        <v>310</v>
      </c>
      <c r="K234" s="98" t="s">
        <v>63</v>
      </c>
      <c r="L234" s="22" t="s">
        <v>64</v>
      </c>
      <c r="M234" s="98" t="s">
        <v>1900</v>
      </c>
      <c r="N234" s="101" t="s">
        <v>253</v>
      </c>
      <c r="O234" s="102" t="s">
        <v>1901</v>
      </c>
      <c r="P234" s="98" t="s">
        <v>1902</v>
      </c>
      <c r="Q234" s="98" t="s">
        <v>562</v>
      </c>
      <c r="R234" s="98" t="s">
        <v>563</v>
      </c>
      <c r="S234" s="100" t="s">
        <v>564</v>
      </c>
      <c r="T234" s="98" t="s">
        <v>565</v>
      </c>
      <c r="U234" s="25" t="s">
        <v>566</v>
      </c>
      <c r="V234" s="98" t="s">
        <v>282</v>
      </c>
      <c r="W234" s="99" t="s">
        <v>283</v>
      </c>
      <c r="X234" s="98" t="s">
        <v>284</v>
      </c>
      <c r="Y234" s="49" t="s">
        <v>285</v>
      </c>
      <c r="Z234" s="98" t="s">
        <v>286</v>
      </c>
      <c r="AA234" s="100" t="s">
        <v>286</v>
      </c>
      <c r="AB234" s="98" t="s">
        <v>287</v>
      </c>
      <c r="AC234" s="98" t="s">
        <v>288</v>
      </c>
      <c r="AD234" s="49" t="s">
        <v>289</v>
      </c>
      <c r="AE234" s="58" t="s">
        <v>290</v>
      </c>
      <c r="AF234" s="56" t="s">
        <v>291</v>
      </c>
      <c r="AG234" s="98" t="s">
        <v>292</v>
      </c>
      <c r="AH234" s="98" t="s">
        <v>293</v>
      </c>
      <c r="AI234" s="103" t="s">
        <v>215</v>
      </c>
      <c r="AJ234" s="98" t="s">
        <v>216</v>
      </c>
      <c r="AK234" s="104" t="s">
        <v>217</v>
      </c>
      <c r="AL234" s="105" t="s">
        <v>218</v>
      </c>
      <c r="AM234" s="106" t="s">
        <v>219</v>
      </c>
      <c r="AN234" s="107" t="s">
        <v>220</v>
      </c>
      <c r="AO234" s="108" t="s">
        <v>221</v>
      </c>
      <c r="AP234" s="51" t="s">
        <v>138</v>
      </c>
      <c r="AQ234" s="109" t="s">
        <v>139</v>
      </c>
      <c r="AR234" s="104" t="s">
        <v>140</v>
      </c>
      <c r="AS234" s="22" t="s">
        <v>141</v>
      </c>
      <c r="AT234" s="105" t="s">
        <v>142</v>
      </c>
      <c r="AU234" s="110" t="s">
        <v>143</v>
      </c>
      <c r="AV234" s="111" t="s">
        <v>144</v>
      </c>
      <c r="AW234" s="112" t="s">
        <v>145</v>
      </c>
      <c r="AX234" s="113" t="s">
        <v>146</v>
      </c>
      <c r="AY234" s="114" t="s">
        <v>147</v>
      </c>
      <c r="AZ234" s="111" t="s">
        <v>104</v>
      </c>
      <c r="BA234" s="41" t="s">
        <v>105</v>
      </c>
      <c r="BB234" s="591" t="str">
        <f t="shared" si="15"/>
        <v>TEMPLATE</v>
      </c>
      <c r="BC234" s="591" t="str">
        <f t="shared" si="16"/>
        <v>5. Financial Regulators-SFD-SFD-FW</v>
      </c>
      <c r="BD234" s="591" t="str">
        <f t="shared" si="17"/>
        <v>SFD-SFD-FW</v>
      </c>
      <c r="BE234" s="591" t="str">
        <f t="shared" si="18"/>
        <v>NONE</v>
      </c>
      <c r="BF234" s="594">
        <f t="shared" si="19"/>
        <v>7</v>
      </c>
    </row>
    <row r="235" spans="1:58" ht="42" customHeight="1" x14ac:dyDescent="0.45">
      <c r="A235" s="42">
        <v>214</v>
      </c>
      <c r="B235" s="115" t="s">
        <v>1914</v>
      </c>
      <c r="C235" s="44" t="s">
        <v>1915</v>
      </c>
      <c r="D235" s="44" t="s">
        <v>1288</v>
      </c>
      <c r="E235" s="115" t="s">
        <v>557</v>
      </c>
      <c r="F235" s="45" t="s">
        <v>58</v>
      </c>
      <c r="G235" s="44" t="s">
        <v>59</v>
      </c>
      <c r="H235" s="44" t="s">
        <v>57</v>
      </c>
      <c r="I235" s="46" t="s">
        <v>61</v>
      </c>
      <c r="J235" s="46" t="s">
        <v>62</v>
      </c>
      <c r="K235" s="44" t="s">
        <v>558</v>
      </c>
      <c r="L235" s="66" t="s">
        <v>559</v>
      </c>
      <c r="M235" s="44" t="s">
        <v>1918</v>
      </c>
      <c r="N235" s="59" t="s">
        <v>275</v>
      </c>
      <c r="O235" s="48" t="s">
        <v>196</v>
      </c>
      <c r="P235" s="44" t="s">
        <v>561</v>
      </c>
      <c r="Q235" s="98" t="s">
        <v>562</v>
      </c>
      <c r="R235" s="98" t="s">
        <v>563</v>
      </c>
      <c r="S235" s="100" t="s">
        <v>564</v>
      </c>
      <c r="T235" s="98" t="s">
        <v>565</v>
      </c>
      <c r="U235" s="25" t="s">
        <v>566</v>
      </c>
      <c r="V235" s="98" t="s">
        <v>282</v>
      </c>
      <c r="W235" s="99" t="s">
        <v>283</v>
      </c>
      <c r="X235" s="98" t="s">
        <v>284</v>
      </c>
      <c r="Y235" s="49" t="s">
        <v>285</v>
      </c>
      <c r="Z235" s="98" t="s">
        <v>286</v>
      </c>
      <c r="AA235" s="100" t="s">
        <v>286</v>
      </c>
      <c r="AB235" s="98" t="s">
        <v>287</v>
      </c>
      <c r="AC235" s="98" t="s">
        <v>288</v>
      </c>
      <c r="AD235" s="49" t="s">
        <v>289</v>
      </c>
      <c r="AE235" s="58" t="s">
        <v>290</v>
      </c>
      <c r="AF235" s="56" t="s">
        <v>291</v>
      </c>
      <c r="AG235" s="98" t="s">
        <v>292</v>
      </c>
      <c r="AH235" s="98" t="s">
        <v>293</v>
      </c>
      <c r="AI235" s="103" t="s">
        <v>215</v>
      </c>
      <c r="AJ235" s="98" t="s">
        <v>216</v>
      </c>
      <c r="AK235" s="104" t="s">
        <v>217</v>
      </c>
      <c r="AL235" s="105" t="s">
        <v>218</v>
      </c>
      <c r="AM235" s="106" t="s">
        <v>219</v>
      </c>
      <c r="AN235" s="107" t="s">
        <v>220</v>
      </c>
      <c r="AO235" s="108" t="s">
        <v>221</v>
      </c>
      <c r="AP235" s="51" t="s">
        <v>138</v>
      </c>
      <c r="AQ235" s="109" t="s">
        <v>139</v>
      </c>
      <c r="AR235" s="104" t="s">
        <v>140</v>
      </c>
      <c r="AS235" s="22" t="s">
        <v>141</v>
      </c>
      <c r="AT235" s="105" t="s">
        <v>142</v>
      </c>
      <c r="AU235" s="110" t="s">
        <v>143</v>
      </c>
      <c r="AV235" s="111" t="s">
        <v>144</v>
      </c>
      <c r="AW235" s="112" t="s">
        <v>145</v>
      </c>
      <c r="AX235" s="113" t="s">
        <v>146</v>
      </c>
      <c r="AY235" s="114" t="s">
        <v>147</v>
      </c>
      <c r="AZ235" s="111" t="s">
        <v>567</v>
      </c>
      <c r="BA235" s="34" t="s">
        <v>320</v>
      </c>
      <c r="BB235" s="591" t="str">
        <f t="shared" si="15"/>
        <v>TEMPLATE</v>
      </c>
      <c r="BC235" s="591" t="str">
        <f t="shared" si="16"/>
        <v>5. Financial Regulators-SFD-NCA-ECC-2:2024</v>
      </c>
      <c r="BD235" s="591" t="str">
        <f t="shared" si="17"/>
        <v>SFD-NCA-ECC-2-2024</v>
      </c>
      <c r="BE235" s="591" t="str">
        <f t="shared" si="18"/>
        <v>NCA-ECC-2-2024</v>
      </c>
      <c r="BF235" s="594">
        <f t="shared" si="19"/>
        <v>6</v>
      </c>
    </row>
    <row r="236" spans="1:58" ht="42" customHeight="1" x14ac:dyDescent="0.45">
      <c r="A236" s="96">
        <v>215</v>
      </c>
      <c r="B236" s="97" t="s">
        <v>1919</v>
      </c>
      <c r="C236" s="98" t="s">
        <v>1920</v>
      </c>
      <c r="D236" s="98" t="s">
        <v>1288</v>
      </c>
      <c r="E236" s="97" t="s">
        <v>1921</v>
      </c>
      <c r="F236" s="99" t="s">
        <v>1922</v>
      </c>
      <c r="G236" s="98" t="s">
        <v>1898</v>
      </c>
      <c r="H236" s="98" t="s">
        <v>1746</v>
      </c>
      <c r="I236" s="100" t="s">
        <v>1155</v>
      </c>
      <c r="J236" s="100" t="s">
        <v>310</v>
      </c>
      <c r="K236" s="98" t="s">
        <v>63</v>
      </c>
      <c r="L236" s="22" t="s">
        <v>64</v>
      </c>
      <c r="M236" s="98" t="s">
        <v>1900</v>
      </c>
      <c r="N236" s="101" t="s">
        <v>253</v>
      </c>
      <c r="O236" s="102" t="s">
        <v>1901</v>
      </c>
      <c r="P236" s="98" t="s">
        <v>1902</v>
      </c>
      <c r="Q236" s="98" t="s">
        <v>562</v>
      </c>
      <c r="R236" s="98" t="s">
        <v>563</v>
      </c>
      <c r="S236" s="100" t="s">
        <v>564</v>
      </c>
      <c r="T236" s="98" t="s">
        <v>565</v>
      </c>
      <c r="U236" s="25" t="s">
        <v>566</v>
      </c>
      <c r="V236" s="98" t="s">
        <v>282</v>
      </c>
      <c r="W236" s="99" t="s">
        <v>283</v>
      </c>
      <c r="X236" s="98" t="s">
        <v>284</v>
      </c>
      <c r="Y236" s="49" t="s">
        <v>285</v>
      </c>
      <c r="Z236" s="98" t="s">
        <v>286</v>
      </c>
      <c r="AA236" s="100" t="s">
        <v>286</v>
      </c>
      <c r="AB236" s="98" t="s">
        <v>287</v>
      </c>
      <c r="AC236" s="98" t="s">
        <v>288</v>
      </c>
      <c r="AD236" s="49" t="s">
        <v>289</v>
      </c>
      <c r="AE236" s="58" t="s">
        <v>290</v>
      </c>
      <c r="AF236" s="56" t="s">
        <v>291</v>
      </c>
      <c r="AG236" s="98" t="s">
        <v>292</v>
      </c>
      <c r="AH236" s="98" t="s">
        <v>293</v>
      </c>
      <c r="AI236" s="103" t="s">
        <v>215</v>
      </c>
      <c r="AJ236" s="98" t="s">
        <v>216</v>
      </c>
      <c r="AK236" s="104" t="s">
        <v>217</v>
      </c>
      <c r="AL236" s="105" t="s">
        <v>218</v>
      </c>
      <c r="AM236" s="106" t="s">
        <v>219</v>
      </c>
      <c r="AN236" s="107" t="s">
        <v>220</v>
      </c>
      <c r="AO236" s="108" t="s">
        <v>221</v>
      </c>
      <c r="AP236" s="51" t="s">
        <v>138</v>
      </c>
      <c r="AQ236" s="109" t="s">
        <v>139</v>
      </c>
      <c r="AR236" s="104" t="s">
        <v>140</v>
      </c>
      <c r="AS236" s="22" t="s">
        <v>141</v>
      </c>
      <c r="AT236" s="105" t="s">
        <v>142</v>
      </c>
      <c r="AU236" s="110" t="s">
        <v>143</v>
      </c>
      <c r="AV236" s="111" t="s">
        <v>144</v>
      </c>
      <c r="AW236" s="112" t="s">
        <v>145</v>
      </c>
      <c r="AX236" s="113" t="s">
        <v>146</v>
      </c>
      <c r="AY236" s="114" t="s">
        <v>147</v>
      </c>
      <c r="AZ236" s="111" t="s">
        <v>104</v>
      </c>
      <c r="BA236" s="41" t="s">
        <v>105</v>
      </c>
      <c r="BB236" s="591" t="str">
        <f t="shared" si="15"/>
        <v>TEMPLATE</v>
      </c>
      <c r="BC236" s="591" t="str">
        <f t="shared" si="16"/>
        <v>5. Financial Regulators-REDF-REDF-FW</v>
      </c>
      <c r="BD236" s="591" t="str">
        <f t="shared" si="17"/>
        <v>REDF-REDF-FW</v>
      </c>
      <c r="BE236" s="591" t="str">
        <f t="shared" si="18"/>
        <v>NONE</v>
      </c>
      <c r="BF236" s="594">
        <f t="shared" si="19"/>
        <v>7</v>
      </c>
    </row>
    <row r="237" spans="1:58" ht="42" customHeight="1" x14ac:dyDescent="0.45">
      <c r="A237" s="42">
        <v>216</v>
      </c>
      <c r="B237" s="115" t="s">
        <v>1919</v>
      </c>
      <c r="C237" s="44" t="s">
        <v>1920</v>
      </c>
      <c r="D237" s="44" t="s">
        <v>1288</v>
      </c>
      <c r="E237" s="115" t="s">
        <v>557</v>
      </c>
      <c r="F237" s="45" t="s">
        <v>58</v>
      </c>
      <c r="G237" s="44" t="s">
        <v>59</v>
      </c>
      <c r="H237" s="44" t="s">
        <v>57</v>
      </c>
      <c r="I237" s="46" t="s">
        <v>61</v>
      </c>
      <c r="J237" s="46" t="s">
        <v>62</v>
      </c>
      <c r="K237" s="44" t="s">
        <v>558</v>
      </c>
      <c r="L237" s="66" t="s">
        <v>559</v>
      </c>
      <c r="M237" s="44" t="s">
        <v>1923</v>
      </c>
      <c r="N237" s="59" t="s">
        <v>275</v>
      </c>
      <c r="O237" s="48" t="s">
        <v>196</v>
      </c>
      <c r="P237" s="44" t="s">
        <v>561</v>
      </c>
      <c r="Q237" s="98" t="s">
        <v>562</v>
      </c>
      <c r="R237" s="98" t="s">
        <v>563</v>
      </c>
      <c r="S237" s="100" t="s">
        <v>564</v>
      </c>
      <c r="T237" s="98" t="s">
        <v>565</v>
      </c>
      <c r="U237" s="25" t="s">
        <v>566</v>
      </c>
      <c r="V237" s="98" t="s">
        <v>282</v>
      </c>
      <c r="W237" s="99" t="s">
        <v>283</v>
      </c>
      <c r="X237" s="98" t="s">
        <v>284</v>
      </c>
      <c r="Y237" s="49" t="s">
        <v>285</v>
      </c>
      <c r="Z237" s="98" t="s">
        <v>286</v>
      </c>
      <c r="AA237" s="100" t="s">
        <v>286</v>
      </c>
      <c r="AB237" s="98" t="s">
        <v>287</v>
      </c>
      <c r="AC237" s="98" t="s">
        <v>288</v>
      </c>
      <c r="AD237" s="49" t="s">
        <v>289</v>
      </c>
      <c r="AE237" s="58" t="s">
        <v>290</v>
      </c>
      <c r="AF237" s="56" t="s">
        <v>291</v>
      </c>
      <c r="AG237" s="98" t="s">
        <v>292</v>
      </c>
      <c r="AH237" s="98" t="s">
        <v>293</v>
      </c>
      <c r="AI237" s="103" t="s">
        <v>215</v>
      </c>
      <c r="AJ237" s="98" t="s">
        <v>216</v>
      </c>
      <c r="AK237" s="104" t="s">
        <v>217</v>
      </c>
      <c r="AL237" s="105" t="s">
        <v>218</v>
      </c>
      <c r="AM237" s="106" t="s">
        <v>219</v>
      </c>
      <c r="AN237" s="107" t="s">
        <v>220</v>
      </c>
      <c r="AO237" s="108" t="s">
        <v>221</v>
      </c>
      <c r="AP237" s="51" t="s">
        <v>138</v>
      </c>
      <c r="AQ237" s="109" t="s">
        <v>139</v>
      </c>
      <c r="AR237" s="104" t="s">
        <v>140</v>
      </c>
      <c r="AS237" s="22" t="s">
        <v>141</v>
      </c>
      <c r="AT237" s="105" t="s">
        <v>142</v>
      </c>
      <c r="AU237" s="110" t="s">
        <v>143</v>
      </c>
      <c r="AV237" s="111" t="s">
        <v>144</v>
      </c>
      <c r="AW237" s="112" t="s">
        <v>145</v>
      </c>
      <c r="AX237" s="113" t="s">
        <v>146</v>
      </c>
      <c r="AY237" s="114" t="s">
        <v>147</v>
      </c>
      <c r="AZ237" s="111" t="s">
        <v>567</v>
      </c>
      <c r="BA237" s="34" t="s">
        <v>320</v>
      </c>
      <c r="BB237" s="591" t="str">
        <f t="shared" si="15"/>
        <v>TEMPLATE</v>
      </c>
      <c r="BC237" s="591" t="str">
        <f t="shared" si="16"/>
        <v>5. Financial Regulators-REDF-NCA-ECC-2:2024</v>
      </c>
      <c r="BD237" s="591" t="str">
        <f t="shared" si="17"/>
        <v>REDF-NCA-ECC-2-2024</v>
      </c>
      <c r="BE237" s="591" t="str">
        <f t="shared" si="18"/>
        <v>NCA-ECC-2-2024</v>
      </c>
      <c r="BF237" s="594">
        <f t="shared" si="19"/>
        <v>6</v>
      </c>
    </row>
    <row r="238" spans="1:58" ht="42" customHeight="1" x14ac:dyDescent="0.45">
      <c r="A238" s="96">
        <v>217</v>
      </c>
      <c r="B238" s="97" t="s">
        <v>1924</v>
      </c>
      <c r="C238" s="98" t="s">
        <v>1925</v>
      </c>
      <c r="D238" s="98" t="s">
        <v>1288</v>
      </c>
      <c r="E238" s="97" t="s">
        <v>1926</v>
      </c>
      <c r="F238" s="99" t="s">
        <v>1927</v>
      </c>
      <c r="G238" s="98" t="s">
        <v>1898</v>
      </c>
      <c r="H238" s="98" t="s">
        <v>1746</v>
      </c>
      <c r="I238" s="100" t="s">
        <v>1202</v>
      </c>
      <c r="J238" s="100" t="s">
        <v>310</v>
      </c>
      <c r="K238" s="98" t="s">
        <v>63</v>
      </c>
      <c r="L238" s="22" t="s">
        <v>64</v>
      </c>
      <c r="M238" s="98" t="s">
        <v>1900</v>
      </c>
      <c r="N238" s="101" t="s">
        <v>253</v>
      </c>
      <c r="O238" s="102" t="s">
        <v>1901</v>
      </c>
      <c r="P238" s="98" t="s">
        <v>1902</v>
      </c>
      <c r="Q238" s="98" t="s">
        <v>562</v>
      </c>
      <c r="R238" s="98" t="s">
        <v>563</v>
      </c>
      <c r="S238" s="100" t="s">
        <v>564</v>
      </c>
      <c r="T238" s="98" t="s">
        <v>565</v>
      </c>
      <c r="U238" s="25" t="s">
        <v>566</v>
      </c>
      <c r="V238" s="98" t="s">
        <v>282</v>
      </c>
      <c r="W238" s="99" t="s">
        <v>283</v>
      </c>
      <c r="X238" s="98" t="s">
        <v>284</v>
      </c>
      <c r="Y238" s="49" t="s">
        <v>285</v>
      </c>
      <c r="Z238" s="98" t="s">
        <v>286</v>
      </c>
      <c r="AA238" s="100" t="s">
        <v>286</v>
      </c>
      <c r="AB238" s="98" t="s">
        <v>287</v>
      </c>
      <c r="AC238" s="98" t="s">
        <v>288</v>
      </c>
      <c r="AD238" s="49" t="s">
        <v>289</v>
      </c>
      <c r="AE238" s="58" t="s">
        <v>290</v>
      </c>
      <c r="AF238" s="56" t="s">
        <v>291</v>
      </c>
      <c r="AG238" s="98" t="s">
        <v>292</v>
      </c>
      <c r="AH238" s="98" t="s">
        <v>293</v>
      </c>
      <c r="AI238" s="103" t="s">
        <v>215</v>
      </c>
      <c r="AJ238" s="98" t="s">
        <v>216</v>
      </c>
      <c r="AK238" s="104" t="s">
        <v>217</v>
      </c>
      <c r="AL238" s="105" t="s">
        <v>218</v>
      </c>
      <c r="AM238" s="106" t="s">
        <v>219</v>
      </c>
      <c r="AN238" s="107" t="s">
        <v>220</v>
      </c>
      <c r="AO238" s="108" t="s">
        <v>221</v>
      </c>
      <c r="AP238" s="51" t="s">
        <v>138</v>
      </c>
      <c r="AQ238" s="109" t="s">
        <v>139</v>
      </c>
      <c r="AR238" s="104" t="s">
        <v>140</v>
      </c>
      <c r="AS238" s="22" t="s">
        <v>141</v>
      </c>
      <c r="AT238" s="105" t="s">
        <v>142</v>
      </c>
      <c r="AU238" s="110" t="s">
        <v>143</v>
      </c>
      <c r="AV238" s="111" t="s">
        <v>144</v>
      </c>
      <c r="AW238" s="112" t="s">
        <v>145</v>
      </c>
      <c r="AX238" s="113" t="s">
        <v>146</v>
      </c>
      <c r="AY238" s="114" t="s">
        <v>147</v>
      </c>
      <c r="AZ238" s="111" t="s">
        <v>104</v>
      </c>
      <c r="BA238" s="41" t="s">
        <v>105</v>
      </c>
      <c r="BB238" s="591" t="str">
        <f t="shared" si="15"/>
        <v>TEMPLATE</v>
      </c>
      <c r="BC238" s="591" t="str">
        <f t="shared" si="16"/>
        <v>5. Financial Regulators-SME-SME-FW</v>
      </c>
      <c r="BD238" s="591" t="str">
        <f t="shared" si="17"/>
        <v>SME-SME-FW</v>
      </c>
      <c r="BE238" s="591" t="str">
        <f t="shared" si="18"/>
        <v>NONE</v>
      </c>
      <c r="BF238" s="594">
        <f t="shared" si="19"/>
        <v>7</v>
      </c>
    </row>
    <row r="239" spans="1:58" ht="42" customHeight="1" x14ac:dyDescent="0.45">
      <c r="A239" s="42">
        <v>218</v>
      </c>
      <c r="B239" s="115" t="s">
        <v>1924</v>
      </c>
      <c r="C239" s="44" t="s">
        <v>1925</v>
      </c>
      <c r="D239" s="44" t="s">
        <v>1288</v>
      </c>
      <c r="E239" s="115" t="s">
        <v>557</v>
      </c>
      <c r="F239" s="45" t="s">
        <v>58</v>
      </c>
      <c r="G239" s="44" t="s">
        <v>59</v>
      </c>
      <c r="H239" s="44" t="s">
        <v>57</v>
      </c>
      <c r="I239" s="46" t="s">
        <v>61</v>
      </c>
      <c r="J239" s="46" t="s">
        <v>62</v>
      </c>
      <c r="K239" s="44" t="s">
        <v>558</v>
      </c>
      <c r="L239" s="66" t="s">
        <v>559</v>
      </c>
      <c r="M239" s="44" t="s">
        <v>1928</v>
      </c>
      <c r="N239" s="59" t="s">
        <v>275</v>
      </c>
      <c r="O239" s="48" t="s">
        <v>196</v>
      </c>
      <c r="P239" s="44" t="s">
        <v>561</v>
      </c>
      <c r="Q239" s="98" t="s">
        <v>562</v>
      </c>
      <c r="R239" s="98" t="s">
        <v>563</v>
      </c>
      <c r="S239" s="100" t="s">
        <v>564</v>
      </c>
      <c r="T239" s="98" t="s">
        <v>565</v>
      </c>
      <c r="U239" s="25" t="s">
        <v>566</v>
      </c>
      <c r="V239" s="98" t="s">
        <v>282</v>
      </c>
      <c r="W239" s="99" t="s">
        <v>283</v>
      </c>
      <c r="X239" s="98" t="s">
        <v>284</v>
      </c>
      <c r="Y239" s="49" t="s">
        <v>285</v>
      </c>
      <c r="Z239" s="98" t="s">
        <v>286</v>
      </c>
      <c r="AA239" s="100" t="s">
        <v>286</v>
      </c>
      <c r="AB239" s="98" t="s">
        <v>287</v>
      </c>
      <c r="AC239" s="98" t="s">
        <v>288</v>
      </c>
      <c r="AD239" s="49" t="s">
        <v>289</v>
      </c>
      <c r="AE239" s="58" t="s">
        <v>290</v>
      </c>
      <c r="AF239" s="56" t="s">
        <v>291</v>
      </c>
      <c r="AG239" s="98" t="s">
        <v>292</v>
      </c>
      <c r="AH239" s="98" t="s">
        <v>293</v>
      </c>
      <c r="AI239" s="103" t="s">
        <v>215</v>
      </c>
      <c r="AJ239" s="98" t="s">
        <v>216</v>
      </c>
      <c r="AK239" s="104" t="s">
        <v>217</v>
      </c>
      <c r="AL239" s="105" t="s">
        <v>218</v>
      </c>
      <c r="AM239" s="106" t="s">
        <v>219</v>
      </c>
      <c r="AN239" s="107" t="s">
        <v>220</v>
      </c>
      <c r="AO239" s="108" t="s">
        <v>221</v>
      </c>
      <c r="AP239" s="51" t="s">
        <v>138</v>
      </c>
      <c r="AQ239" s="109" t="s">
        <v>139</v>
      </c>
      <c r="AR239" s="104" t="s">
        <v>140</v>
      </c>
      <c r="AS239" s="22" t="s">
        <v>141</v>
      </c>
      <c r="AT239" s="105" t="s">
        <v>142</v>
      </c>
      <c r="AU239" s="110" t="s">
        <v>143</v>
      </c>
      <c r="AV239" s="111" t="s">
        <v>144</v>
      </c>
      <c r="AW239" s="112" t="s">
        <v>145</v>
      </c>
      <c r="AX239" s="113" t="s">
        <v>146</v>
      </c>
      <c r="AY239" s="114" t="s">
        <v>147</v>
      </c>
      <c r="AZ239" s="111" t="s">
        <v>567</v>
      </c>
      <c r="BA239" s="34" t="s">
        <v>320</v>
      </c>
      <c r="BB239" s="591" t="str">
        <f t="shared" si="15"/>
        <v>TEMPLATE</v>
      </c>
      <c r="BC239" s="591" t="str">
        <f t="shared" si="16"/>
        <v>5. Financial Regulators-SME-NCA-ECC-2:2024</v>
      </c>
      <c r="BD239" s="591" t="str">
        <f t="shared" si="17"/>
        <v>SME-NCA-ECC-2-2024</v>
      </c>
      <c r="BE239" s="591" t="str">
        <f t="shared" si="18"/>
        <v>NCA-ECC-2-2024</v>
      </c>
      <c r="BF239" s="594">
        <f t="shared" si="19"/>
        <v>6</v>
      </c>
    </row>
    <row r="240" spans="1:58" ht="42" customHeight="1" x14ac:dyDescent="0.45">
      <c r="A240" s="96">
        <v>219</v>
      </c>
      <c r="B240" s="97" t="s">
        <v>1929</v>
      </c>
      <c r="C240" s="98" t="s">
        <v>1930</v>
      </c>
      <c r="D240" s="98" t="s">
        <v>1288</v>
      </c>
      <c r="E240" s="97" t="s">
        <v>1931</v>
      </c>
      <c r="F240" s="99" t="s">
        <v>1932</v>
      </c>
      <c r="G240" s="98" t="s">
        <v>1898</v>
      </c>
      <c r="H240" s="98" t="s">
        <v>1746</v>
      </c>
      <c r="I240" s="100" t="s">
        <v>754</v>
      </c>
      <c r="J240" s="100" t="s">
        <v>310</v>
      </c>
      <c r="K240" s="98" t="s">
        <v>63</v>
      </c>
      <c r="L240" s="22" t="s">
        <v>64</v>
      </c>
      <c r="M240" s="98" t="s">
        <v>1900</v>
      </c>
      <c r="N240" s="101" t="s">
        <v>253</v>
      </c>
      <c r="O240" s="102" t="s">
        <v>1901</v>
      </c>
      <c r="P240" s="98" t="s">
        <v>1902</v>
      </c>
      <c r="Q240" s="98" t="s">
        <v>562</v>
      </c>
      <c r="R240" s="98" t="s">
        <v>563</v>
      </c>
      <c r="S240" s="100" t="s">
        <v>564</v>
      </c>
      <c r="T240" s="98" t="s">
        <v>565</v>
      </c>
      <c r="U240" s="25" t="s">
        <v>566</v>
      </c>
      <c r="V240" s="98" t="s">
        <v>282</v>
      </c>
      <c r="W240" s="99" t="s">
        <v>283</v>
      </c>
      <c r="X240" s="98" t="s">
        <v>284</v>
      </c>
      <c r="Y240" s="49" t="s">
        <v>285</v>
      </c>
      <c r="Z240" s="98" t="s">
        <v>286</v>
      </c>
      <c r="AA240" s="100" t="s">
        <v>286</v>
      </c>
      <c r="AB240" s="98" t="s">
        <v>287</v>
      </c>
      <c r="AC240" s="98" t="s">
        <v>288</v>
      </c>
      <c r="AD240" s="49" t="s">
        <v>289</v>
      </c>
      <c r="AE240" s="58" t="s">
        <v>290</v>
      </c>
      <c r="AF240" s="56" t="s">
        <v>291</v>
      </c>
      <c r="AG240" s="98" t="s">
        <v>292</v>
      </c>
      <c r="AH240" s="98" t="s">
        <v>293</v>
      </c>
      <c r="AI240" s="103" t="s">
        <v>215</v>
      </c>
      <c r="AJ240" s="98" t="s">
        <v>216</v>
      </c>
      <c r="AK240" s="104" t="s">
        <v>217</v>
      </c>
      <c r="AL240" s="105" t="s">
        <v>218</v>
      </c>
      <c r="AM240" s="106" t="s">
        <v>219</v>
      </c>
      <c r="AN240" s="107" t="s">
        <v>220</v>
      </c>
      <c r="AO240" s="108" t="s">
        <v>221</v>
      </c>
      <c r="AP240" s="51" t="s">
        <v>138</v>
      </c>
      <c r="AQ240" s="109" t="s">
        <v>139</v>
      </c>
      <c r="AR240" s="104" t="s">
        <v>140</v>
      </c>
      <c r="AS240" s="22" t="s">
        <v>141</v>
      </c>
      <c r="AT240" s="105" t="s">
        <v>142</v>
      </c>
      <c r="AU240" s="110" t="s">
        <v>143</v>
      </c>
      <c r="AV240" s="111" t="s">
        <v>144</v>
      </c>
      <c r="AW240" s="112" t="s">
        <v>145</v>
      </c>
      <c r="AX240" s="113" t="s">
        <v>146</v>
      </c>
      <c r="AY240" s="114" t="s">
        <v>147</v>
      </c>
      <c r="AZ240" s="111" t="s">
        <v>104</v>
      </c>
      <c r="BA240" s="41" t="s">
        <v>105</v>
      </c>
      <c r="BB240" s="591" t="str">
        <f t="shared" si="15"/>
        <v>TEMPLATE</v>
      </c>
      <c r="BC240" s="591" t="str">
        <f t="shared" si="16"/>
        <v>5. Financial Regulators-HRDF-HRDF-FW</v>
      </c>
      <c r="BD240" s="591" t="str">
        <f t="shared" si="17"/>
        <v>HRDF-HRDF-FW</v>
      </c>
      <c r="BE240" s="591" t="str">
        <f t="shared" si="18"/>
        <v>NONE</v>
      </c>
      <c r="BF240" s="594">
        <f t="shared" si="19"/>
        <v>7</v>
      </c>
    </row>
    <row r="241" spans="1:58" ht="42" customHeight="1" x14ac:dyDescent="0.45">
      <c r="A241" s="42">
        <v>220</v>
      </c>
      <c r="B241" s="115" t="s">
        <v>1929</v>
      </c>
      <c r="C241" s="44" t="s">
        <v>1930</v>
      </c>
      <c r="D241" s="44" t="s">
        <v>1288</v>
      </c>
      <c r="E241" s="115" t="s">
        <v>557</v>
      </c>
      <c r="F241" s="45" t="s">
        <v>58</v>
      </c>
      <c r="G241" s="44" t="s">
        <v>59</v>
      </c>
      <c r="H241" s="44" t="s">
        <v>57</v>
      </c>
      <c r="I241" s="46" t="s">
        <v>61</v>
      </c>
      <c r="J241" s="46" t="s">
        <v>62</v>
      </c>
      <c r="K241" s="44" t="s">
        <v>558</v>
      </c>
      <c r="L241" s="66" t="s">
        <v>559</v>
      </c>
      <c r="M241" s="44" t="s">
        <v>1933</v>
      </c>
      <c r="N241" s="59" t="s">
        <v>275</v>
      </c>
      <c r="O241" s="48" t="s">
        <v>196</v>
      </c>
      <c r="P241" s="44" t="s">
        <v>561</v>
      </c>
      <c r="Q241" s="98" t="s">
        <v>562</v>
      </c>
      <c r="R241" s="98" t="s">
        <v>563</v>
      </c>
      <c r="S241" s="100" t="s">
        <v>564</v>
      </c>
      <c r="T241" s="98" t="s">
        <v>565</v>
      </c>
      <c r="U241" s="25" t="s">
        <v>566</v>
      </c>
      <c r="V241" s="98" t="s">
        <v>282</v>
      </c>
      <c r="W241" s="99" t="s">
        <v>283</v>
      </c>
      <c r="X241" s="98" t="s">
        <v>284</v>
      </c>
      <c r="Y241" s="49" t="s">
        <v>285</v>
      </c>
      <c r="Z241" s="98" t="s">
        <v>286</v>
      </c>
      <c r="AA241" s="100" t="s">
        <v>286</v>
      </c>
      <c r="AB241" s="98" t="s">
        <v>287</v>
      </c>
      <c r="AC241" s="98" t="s">
        <v>288</v>
      </c>
      <c r="AD241" s="49" t="s">
        <v>289</v>
      </c>
      <c r="AE241" s="58" t="s">
        <v>290</v>
      </c>
      <c r="AF241" s="56" t="s">
        <v>291</v>
      </c>
      <c r="AG241" s="98" t="s">
        <v>292</v>
      </c>
      <c r="AH241" s="98" t="s">
        <v>293</v>
      </c>
      <c r="AI241" s="103" t="s">
        <v>215</v>
      </c>
      <c r="AJ241" s="98" t="s">
        <v>216</v>
      </c>
      <c r="AK241" s="104" t="s">
        <v>217</v>
      </c>
      <c r="AL241" s="105" t="s">
        <v>218</v>
      </c>
      <c r="AM241" s="106" t="s">
        <v>219</v>
      </c>
      <c r="AN241" s="107" t="s">
        <v>220</v>
      </c>
      <c r="AO241" s="108" t="s">
        <v>221</v>
      </c>
      <c r="AP241" s="51" t="s">
        <v>138</v>
      </c>
      <c r="AQ241" s="109" t="s">
        <v>139</v>
      </c>
      <c r="AR241" s="104" t="s">
        <v>140</v>
      </c>
      <c r="AS241" s="22" t="s">
        <v>141</v>
      </c>
      <c r="AT241" s="105" t="s">
        <v>142</v>
      </c>
      <c r="AU241" s="110" t="s">
        <v>143</v>
      </c>
      <c r="AV241" s="111" t="s">
        <v>144</v>
      </c>
      <c r="AW241" s="112" t="s">
        <v>145</v>
      </c>
      <c r="AX241" s="113" t="s">
        <v>146</v>
      </c>
      <c r="AY241" s="114" t="s">
        <v>147</v>
      </c>
      <c r="AZ241" s="111" t="s">
        <v>567</v>
      </c>
      <c r="BA241" s="34" t="s">
        <v>320</v>
      </c>
      <c r="BB241" s="591" t="str">
        <f t="shared" si="15"/>
        <v>TEMPLATE</v>
      </c>
      <c r="BC241" s="591" t="str">
        <f t="shared" si="16"/>
        <v>5. Financial Regulators-HRDF-NCA-ECC-2:2024</v>
      </c>
      <c r="BD241" s="591" t="str">
        <f t="shared" si="17"/>
        <v>HRDF-NCA-ECC-2-2024</v>
      </c>
      <c r="BE241" s="591" t="str">
        <f t="shared" si="18"/>
        <v>NCA-ECC-2-2024</v>
      </c>
      <c r="BF241" s="594">
        <f t="shared" si="19"/>
        <v>6</v>
      </c>
    </row>
    <row r="242" spans="1:58" ht="42" customHeight="1" x14ac:dyDescent="0.45">
      <c r="A242" s="96">
        <v>221</v>
      </c>
      <c r="B242" s="97" t="s">
        <v>1934</v>
      </c>
      <c r="C242" s="98" t="s">
        <v>1935</v>
      </c>
      <c r="D242" s="98" t="s">
        <v>1288</v>
      </c>
      <c r="E242" s="97" t="s">
        <v>1936</v>
      </c>
      <c r="F242" s="99" t="s">
        <v>1937</v>
      </c>
      <c r="G242" s="98" t="s">
        <v>1898</v>
      </c>
      <c r="H242" s="98" t="s">
        <v>1746</v>
      </c>
      <c r="I242" s="100" t="s">
        <v>1630</v>
      </c>
      <c r="J242" s="100" t="s">
        <v>310</v>
      </c>
      <c r="K242" s="98" t="s">
        <v>63</v>
      </c>
      <c r="L242" s="22" t="s">
        <v>64</v>
      </c>
      <c r="M242" s="98" t="s">
        <v>1900</v>
      </c>
      <c r="N242" s="101" t="s">
        <v>253</v>
      </c>
      <c r="O242" s="102" t="s">
        <v>1901</v>
      </c>
      <c r="P242" s="98" t="s">
        <v>1902</v>
      </c>
      <c r="Q242" s="98" t="s">
        <v>562</v>
      </c>
      <c r="R242" s="98" t="s">
        <v>563</v>
      </c>
      <c r="S242" s="100" t="s">
        <v>564</v>
      </c>
      <c r="T242" s="98" t="s">
        <v>565</v>
      </c>
      <c r="U242" s="25" t="s">
        <v>566</v>
      </c>
      <c r="V242" s="98" t="s">
        <v>282</v>
      </c>
      <c r="W242" s="99" t="s">
        <v>283</v>
      </c>
      <c r="X242" s="98" t="s">
        <v>284</v>
      </c>
      <c r="Y242" s="49" t="s">
        <v>285</v>
      </c>
      <c r="Z242" s="98" t="s">
        <v>286</v>
      </c>
      <c r="AA242" s="100" t="s">
        <v>286</v>
      </c>
      <c r="AB242" s="98" t="s">
        <v>287</v>
      </c>
      <c r="AC242" s="98" t="s">
        <v>288</v>
      </c>
      <c r="AD242" s="49" t="s">
        <v>289</v>
      </c>
      <c r="AE242" s="58" t="s">
        <v>290</v>
      </c>
      <c r="AF242" s="56" t="s">
        <v>291</v>
      </c>
      <c r="AG242" s="98" t="s">
        <v>292</v>
      </c>
      <c r="AH242" s="98" t="s">
        <v>293</v>
      </c>
      <c r="AI242" s="103" t="s">
        <v>215</v>
      </c>
      <c r="AJ242" s="98" t="s">
        <v>216</v>
      </c>
      <c r="AK242" s="104" t="s">
        <v>217</v>
      </c>
      <c r="AL242" s="105" t="s">
        <v>218</v>
      </c>
      <c r="AM242" s="106" t="s">
        <v>219</v>
      </c>
      <c r="AN242" s="107" t="s">
        <v>220</v>
      </c>
      <c r="AO242" s="108" t="s">
        <v>221</v>
      </c>
      <c r="AP242" s="51" t="s">
        <v>138</v>
      </c>
      <c r="AQ242" s="109" t="s">
        <v>139</v>
      </c>
      <c r="AR242" s="104" t="s">
        <v>140</v>
      </c>
      <c r="AS242" s="22" t="s">
        <v>141</v>
      </c>
      <c r="AT242" s="105" t="s">
        <v>142</v>
      </c>
      <c r="AU242" s="110" t="s">
        <v>143</v>
      </c>
      <c r="AV242" s="111" t="s">
        <v>144</v>
      </c>
      <c r="AW242" s="112" t="s">
        <v>145</v>
      </c>
      <c r="AX242" s="113" t="s">
        <v>146</v>
      </c>
      <c r="AY242" s="114" t="s">
        <v>147</v>
      </c>
      <c r="AZ242" s="111" t="s">
        <v>104</v>
      </c>
      <c r="BA242" s="41" t="s">
        <v>105</v>
      </c>
      <c r="BB242" s="591" t="str">
        <f t="shared" si="15"/>
        <v>TEMPLATE</v>
      </c>
      <c r="BC242" s="591" t="str">
        <f t="shared" si="16"/>
        <v>5. Financial Regulators-Tadawul-Tadawul-FW</v>
      </c>
      <c r="BD242" s="591" t="str">
        <f t="shared" si="17"/>
        <v>Tadawul-Tadawul-FW</v>
      </c>
      <c r="BE242" s="591" t="str">
        <f t="shared" si="18"/>
        <v>NONE</v>
      </c>
      <c r="BF242" s="594">
        <f t="shared" si="19"/>
        <v>7</v>
      </c>
    </row>
    <row r="243" spans="1:58" ht="42" customHeight="1" x14ac:dyDescent="0.45">
      <c r="A243" s="42">
        <v>222</v>
      </c>
      <c r="B243" s="115" t="s">
        <v>1934</v>
      </c>
      <c r="C243" s="44" t="s">
        <v>1935</v>
      </c>
      <c r="D243" s="44" t="s">
        <v>1288</v>
      </c>
      <c r="E243" s="115" t="s">
        <v>557</v>
      </c>
      <c r="F243" s="45" t="s">
        <v>58</v>
      </c>
      <c r="G243" s="44" t="s">
        <v>59</v>
      </c>
      <c r="H243" s="44" t="s">
        <v>57</v>
      </c>
      <c r="I243" s="46" t="s">
        <v>61</v>
      </c>
      <c r="J243" s="46" t="s">
        <v>62</v>
      </c>
      <c r="K243" s="44" t="s">
        <v>558</v>
      </c>
      <c r="L243" s="66" t="s">
        <v>559</v>
      </c>
      <c r="M243" s="44" t="s">
        <v>1938</v>
      </c>
      <c r="N243" s="59" t="s">
        <v>275</v>
      </c>
      <c r="O243" s="48" t="s">
        <v>196</v>
      </c>
      <c r="P243" s="44" t="s">
        <v>561</v>
      </c>
      <c r="Q243" s="98" t="s">
        <v>562</v>
      </c>
      <c r="R243" s="98" t="s">
        <v>563</v>
      </c>
      <c r="S243" s="100" t="s">
        <v>564</v>
      </c>
      <c r="T243" s="98" t="s">
        <v>565</v>
      </c>
      <c r="U243" s="25" t="s">
        <v>566</v>
      </c>
      <c r="V243" s="98" t="s">
        <v>282</v>
      </c>
      <c r="W243" s="99" t="s">
        <v>283</v>
      </c>
      <c r="X243" s="98" t="s">
        <v>284</v>
      </c>
      <c r="Y243" s="49" t="s">
        <v>285</v>
      </c>
      <c r="Z243" s="98" t="s">
        <v>286</v>
      </c>
      <c r="AA243" s="100" t="s">
        <v>286</v>
      </c>
      <c r="AB243" s="98" t="s">
        <v>287</v>
      </c>
      <c r="AC243" s="98" t="s">
        <v>288</v>
      </c>
      <c r="AD243" s="49" t="s">
        <v>289</v>
      </c>
      <c r="AE243" s="58" t="s">
        <v>290</v>
      </c>
      <c r="AF243" s="56" t="s">
        <v>291</v>
      </c>
      <c r="AG243" s="98" t="s">
        <v>292</v>
      </c>
      <c r="AH243" s="98" t="s">
        <v>293</v>
      </c>
      <c r="AI243" s="103" t="s">
        <v>215</v>
      </c>
      <c r="AJ243" s="98" t="s">
        <v>216</v>
      </c>
      <c r="AK243" s="104" t="s">
        <v>217</v>
      </c>
      <c r="AL243" s="105" t="s">
        <v>218</v>
      </c>
      <c r="AM243" s="106" t="s">
        <v>219</v>
      </c>
      <c r="AN243" s="107" t="s">
        <v>220</v>
      </c>
      <c r="AO243" s="108" t="s">
        <v>221</v>
      </c>
      <c r="AP243" s="51" t="s">
        <v>138</v>
      </c>
      <c r="AQ243" s="109" t="s">
        <v>139</v>
      </c>
      <c r="AR243" s="104" t="s">
        <v>140</v>
      </c>
      <c r="AS243" s="22" t="s">
        <v>141</v>
      </c>
      <c r="AT243" s="105" t="s">
        <v>142</v>
      </c>
      <c r="AU243" s="110" t="s">
        <v>143</v>
      </c>
      <c r="AV243" s="111" t="s">
        <v>144</v>
      </c>
      <c r="AW243" s="112" t="s">
        <v>145</v>
      </c>
      <c r="AX243" s="113" t="s">
        <v>146</v>
      </c>
      <c r="AY243" s="114" t="s">
        <v>147</v>
      </c>
      <c r="AZ243" s="111" t="s">
        <v>567</v>
      </c>
      <c r="BA243" s="34" t="s">
        <v>320</v>
      </c>
      <c r="BB243" s="591" t="str">
        <f t="shared" si="15"/>
        <v>TEMPLATE</v>
      </c>
      <c r="BC243" s="591" t="str">
        <f t="shared" si="16"/>
        <v>5. Financial Regulators-Tadawul-NCA-ECC-2:2024</v>
      </c>
      <c r="BD243" s="591" t="str">
        <f t="shared" si="17"/>
        <v>Tadawul-NCA-ECC-2-2024</v>
      </c>
      <c r="BE243" s="591" t="str">
        <f t="shared" si="18"/>
        <v>NCA-ECC-2-2024</v>
      </c>
      <c r="BF243" s="594">
        <f t="shared" si="19"/>
        <v>6</v>
      </c>
    </row>
    <row r="244" spans="1:58" x14ac:dyDescent="0.45">
      <c r="BB244" s="591" t="str">
        <f t="shared" si="15"/>
        <v/>
      </c>
      <c r="BC244" s="591" t="str">
        <f t="shared" si="16"/>
        <v/>
      </c>
      <c r="BD244" s="591" t="str">
        <f t="shared" si="17"/>
        <v/>
      </c>
      <c r="BE244" s="591" t="str">
        <f t="shared" si="18"/>
        <v/>
      </c>
      <c r="BF244" s="594" t="str">
        <f t="shared" si="19"/>
        <v/>
      </c>
    </row>
    <row r="245" spans="1:58" ht="19.5" customHeight="1" x14ac:dyDescent="0.45">
      <c r="A245" s="141"/>
      <c r="B245" s="142" t="s">
        <v>1464</v>
      </c>
      <c r="C245" s="141"/>
      <c r="D245" s="141"/>
      <c r="E245" s="141"/>
      <c r="F245" s="141"/>
      <c r="G245" s="141"/>
      <c r="H245" s="141"/>
      <c r="I245" s="141"/>
      <c r="J245" s="141"/>
      <c r="K245" s="141"/>
      <c r="L245" s="141"/>
      <c r="M245" s="141"/>
      <c r="N245" s="141"/>
      <c r="O245" s="141"/>
      <c r="P245" s="141"/>
      <c r="BB245" s="591" t="str">
        <f t="shared" si="15"/>
        <v/>
      </c>
      <c r="BC245" s="591" t="str">
        <f t="shared" si="16"/>
        <v/>
      </c>
      <c r="BD245" s="591" t="str">
        <f t="shared" si="17"/>
        <v/>
      </c>
      <c r="BE245" s="591" t="str">
        <f t="shared" si="18"/>
        <v/>
      </c>
      <c r="BF245" s="594" t="str">
        <f t="shared" si="19"/>
        <v/>
      </c>
    </row>
    <row r="246" spans="1:58" ht="42" customHeight="1" x14ac:dyDescent="0.45">
      <c r="A246" s="143">
        <v>223</v>
      </c>
      <c r="B246" s="144" t="s">
        <v>1939</v>
      </c>
      <c r="C246" s="145" t="s">
        <v>1940</v>
      </c>
      <c r="D246" s="145" t="s">
        <v>1467</v>
      </c>
      <c r="E246" s="144" t="s">
        <v>1941</v>
      </c>
      <c r="F246" s="146" t="s">
        <v>1942</v>
      </c>
      <c r="G246" s="145" t="s">
        <v>1898</v>
      </c>
      <c r="H246" s="145" t="s">
        <v>1746</v>
      </c>
      <c r="I246" s="147" t="s">
        <v>151</v>
      </c>
      <c r="J246" s="147" t="s">
        <v>310</v>
      </c>
      <c r="K246" s="145" t="s">
        <v>63</v>
      </c>
      <c r="L246" s="22" t="s">
        <v>64</v>
      </c>
      <c r="M246" s="145" t="s">
        <v>1900</v>
      </c>
      <c r="N246" s="148" t="s">
        <v>253</v>
      </c>
      <c r="O246" s="149" t="s">
        <v>1901</v>
      </c>
      <c r="P246" s="145" t="s">
        <v>1902</v>
      </c>
      <c r="Q246" s="145" t="s">
        <v>562</v>
      </c>
      <c r="R246" s="145" t="s">
        <v>563</v>
      </c>
      <c r="S246" s="147" t="s">
        <v>564</v>
      </c>
      <c r="T246" s="145" t="s">
        <v>565</v>
      </c>
      <c r="U246" s="25" t="s">
        <v>566</v>
      </c>
      <c r="V246" s="145" t="s">
        <v>282</v>
      </c>
      <c r="W246" s="146" t="s">
        <v>283</v>
      </c>
      <c r="X246" s="145" t="s">
        <v>284</v>
      </c>
      <c r="Y246" s="49" t="s">
        <v>285</v>
      </c>
      <c r="Z246" s="145" t="s">
        <v>286</v>
      </c>
      <c r="AA246" s="147" t="s">
        <v>286</v>
      </c>
      <c r="AB246" s="145" t="s">
        <v>287</v>
      </c>
      <c r="AC246" s="145" t="s">
        <v>288</v>
      </c>
      <c r="AD246" s="49" t="s">
        <v>289</v>
      </c>
      <c r="AE246" s="58" t="s">
        <v>290</v>
      </c>
      <c r="AF246" s="56" t="s">
        <v>291</v>
      </c>
      <c r="AG246" s="145" t="s">
        <v>292</v>
      </c>
      <c r="AH246" s="145" t="s">
        <v>293</v>
      </c>
      <c r="AI246" s="150" t="s">
        <v>215</v>
      </c>
      <c r="AJ246" s="145" t="s">
        <v>216</v>
      </c>
      <c r="AK246" s="151" t="s">
        <v>217</v>
      </c>
      <c r="AL246" s="152" t="s">
        <v>218</v>
      </c>
      <c r="AM246" s="153" t="s">
        <v>219</v>
      </c>
      <c r="AN246" s="154" t="s">
        <v>220</v>
      </c>
      <c r="AO246" s="155" t="s">
        <v>221</v>
      </c>
      <c r="AP246" s="51" t="s">
        <v>138</v>
      </c>
      <c r="AQ246" s="156" t="s">
        <v>139</v>
      </c>
      <c r="AR246" s="151" t="s">
        <v>140</v>
      </c>
      <c r="AS246" s="22" t="s">
        <v>141</v>
      </c>
      <c r="AT246" s="152" t="s">
        <v>142</v>
      </c>
      <c r="AU246" s="157" t="s">
        <v>143</v>
      </c>
      <c r="AV246" s="158" t="s">
        <v>144</v>
      </c>
      <c r="AW246" s="159" t="s">
        <v>145</v>
      </c>
      <c r="AX246" s="160" t="s">
        <v>146</v>
      </c>
      <c r="AY246" s="161" t="s">
        <v>147</v>
      </c>
      <c r="AZ246" s="158" t="s">
        <v>104</v>
      </c>
      <c r="BA246" s="41" t="s">
        <v>105</v>
      </c>
      <c r="BB246" s="591" t="str">
        <f t="shared" si="15"/>
        <v>TEMPLATE</v>
      </c>
      <c r="BC246" s="591" t="str">
        <f t="shared" si="16"/>
        <v>6. Tax / Customs / Trade-GAFT-GAFT-FW</v>
      </c>
      <c r="BD246" s="591" t="str">
        <f t="shared" si="17"/>
        <v>GAFT-GAFT-FW</v>
      </c>
      <c r="BE246" s="591" t="str">
        <f t="shared" si="18"/>
        <v>NONE</v>
      </c>
      <c r="BF246" s="594">
        <f t="shared" si="19"/>
        <v>7</v>
      </c>
    </row>
    <row r="247" spans="1:58" ht="42" customHeight="1" x14ac:dyDescent="0.45">
      <c r="A247" s="42">
        <v>224</v>
      </c>
      <c r="B247" s="162" t="s">
        <v>1939</v>
      </c>
      <c r="C247" s="44" t="s">
        <v>1940</v>
      </c>
      <c r="D247" s="44" t="s">
        <v>1467</v>
      </c>
      <c r="E247" s="162" t="s">
        <v>557</v>
      </c>
      <c r="F247" s="45" t="s">
        <v>58</v>
      </c>
      <c r="G247" s="44" t="s">
        <v>59</v>
      </c>
      <c r="H247" s="44" t="s">
        <v>57</v>
      </c>
      <c r="I247" s="46" t="s">
        <v>61</v>
      </c>
      <c r="J247" s="46" t="s">
        <v>62</v>
      </c>
      <c r="K247" s="44" t="s">
        <v>558</v>
      </c>
      <c r="L247" s="66" t="s">
        <v>559</v>
      </c>
      <c r="M247" s="44" t="s">
        <v>1943</v>
      </c>
      <c r="N247" s="59" t="s">
        <v>275</v>
      </c>
      <c r="O247" s="48" t="s">
        <v>196</v>
      </c>
      <c r="P247" s="44" t="s">
        <v>561</v>
      </c>
      <c r="Q247" s="145" t="s">
        <v>562</v>
      </c>
      <c r="R247" s="145" t="s">
        <v>563</v>
      </c>
      <c r="S247" s="147" t="s">
        <v>564</v>
      </c>
      <c r="T247" s="145" t="s">
        <v>565</v>
      </c>
      <c r="U247" s="25" t="s">
        <v>566</v>
      </c>
      <c r="V247" s="145" t="s">
        <v>282</v>
      </c>
      <c r="W247" s="146" t="s">
        <v>283</v>
      </c>
      <c r="X247" s="145" t="s">
        <v>284</v>
      </c>
      <c r="Y247" s="49" t="s">
        <v>285</v>
      </c>
      <c r="Z247" s="145" t="s">
        <v>286</v>
      </c>
      <c r="AA247" s="147" t="s">
        <v>286</v>
      </c>
      <c r="AB247" s="145" t="s">
        <v>287</v>
      </c>
      <c r="AC247" s="145" t="s">
        <v>288</v>
      </c>
      <c r="AD247" s="49" t="s">
        <v>289</v>
      </c>
      <c r="AE247" s="58" t="s">
        <v>290</v>
      </c>
      <c r="AF247" s="56" t="s">
        <v>291</v>
      </c>
      <c r="AG247" s="145" t="s">
        <v>292</v>
      </c>
      <c r="AH247" s="145" t="s">
        <v>293</v>
      </c>
      <c r="AI247" s="150" t="s">
        <v>215</v>
      </c>
      <c r="AJ247" s="145" t="s">
        <v>216</v>
      </c>
      <c r="AK247" s="151" t="s">
        <v>217</v>
      </c>
      <c r="AL247" s="152" t="s">
        <v>218</v>
      </c>
      <c r="AM247" s="153" t="s">
        <v>219</v>
      </c>
      <c r="AN247" s="154" t="s">
        <v>220</v>
      </c>
      <c r="AO247" s="155" t="s">
        <v>221</v>
      </c>
      <c r="AP247" s="51" t="s">
        <v>138</v>
      </c>
      <c r="AQ247" s="156" t="s">
        <v>139</v>
      </c>
      <c r="AR247" s="151" t="s">
        <v>140</v>
      </c>
      <c r="AS247" s="22" t="s">
        <v>141</v>
      </c>
      <c r="AT247" s="152" t="s">
        <v>142</v>
      </c>
      <c r="AU247" s="157" t="s">
        <v>143</v>
      </c>
      <c r="AV247" s="158" t="s">
        <v>144</v>
      </c>
      <c r="AW247" s="159" t="s">
        <v>145</v>
      </c>
      <c r="AX247" s="160" t="s">
        <v>146</v>
      </c>
      <c r="AY247" s="161" t="s">
        <v>147</v>
      </c>
      <c r="AZ247" s="158" t="s">
        <v>567</v>
      </c>
      <c r="BA247" s="34" t="s">
        <v>320</v>
      </c>
      <c r="BB247" s="591" t="str">
        <f t="shared" si="15"/>
        <v>TEMPLATE</v>
      </c>
      <c r="BC247" s="591" t="str">
        <f t="shared" si="16"/>
        <v>6. Tax / Customs / Trade-GAFT-NCA-ECC-2:2024</v>
      </c>
      <c r="BD247" s="591" t="str">
        <f t="shared" si="17"/>
        <v>GAFT-NCA-ECC-2-2024</v>
      </c>
      <c r="BE247" s="591" t="str">
        <f t="shared" si="18"/>
        <v>NCA-ECC-2-2024</v>
      </c>
      <c r="BF247" s="594">
        <f t="shared" si="19"/>
        <v>6</v>
      </c>
    </row>
    <row r="248" spans="1:58" x14ac:dyDescent="0.45">
      <c r="BB248" s="591" t="str">
        <f t="shared" si="15"/>
        <v/>
      </c>
      <c r="BC248" s="591" t="str">
        <f t="shared" si="16"/>
        <v/>
      </c>
      <c r="BD248" s="591" t="str">
        <f t="shared" si="17"/>
        <v/>
      </c>
      <c r="BE248" s="591" t="str">
        <f t="shared" si="18"/>
        <v/>
      </c>
      <c r="BF248" s="594" t="str">
        <f t="shared" si="19"/>
        <v/>
      </c>
    </row>
    <row r="249" spans="1:58" ht="19.5" customHeight="1" x14ac:dyDescent="0.45">
      <c r="A249" s="164"/>
      <c r="B249" s="165" t="s">
        <v>1509</v>
      </c>
      <c r="C249" s="164"/>
      <c r="D249" s="164"/>
      <c r="E249" s="164"/>
      <c r="F249" s="164"/>
      <c r="G249" s="164"/>
      <c r="H249" s="164"/>
      <c r="I249" s="164"/>
      <c r="J249" s="164"/>
      <c r="K249" s="164"/>
      <c r="L249" s="164"/>
      <c r="M249" s="164"/>
      <c r="N249" s="164"/>
      <c r="O249" s="164"/>
      <c r="P249" s="164"/>
      <c r="BB249" s="591" t="str">
        <f t="shared" si="15"/>
        <v/>
      </c>
      <c r="BC249" s="591" t="str">
        <f t="shared" si="16"/>
        <v/>
      </c>
      <c r="BD249" s="591" t="str">
        <f t="shared" si="17"/>
        <v/>
      </c>
      <c r="BE249" s="591" t="str">
        <f t="shared" si="18"/>
        <v/>
      </c>
      <c r="BF249" s="594" t="str">
        <f t="shared" si="19"/>
        <v/>
      </c>
    </row>
    <row r="250" spans="1:58" ht="42" customHeight="1" x14ac:dyDescent="0.45">
      <c r="A250" s="166">
        <v>225</v>
      </c>
      <c r="B250" s="167" t="s">
        <v>1944</v>
      </c>
      <c r="C250" s="168" t="s">
        <v>1945</v>
      </c>
      <c r="D250" s="168" t="s">
        <v>1512</v>
      </c>
      <c r="E250" s="167" t="s">
        <v>1946</v>
      </c>
      <c r="F250" s="169" t="s">
        <v>1947</v>
      </c>
      <c r="G250" s="168" t="s">
        <v>1898</v>
      </c>
      <c r="H250" s="168" t="s">
        <v>1746</v>
      </c>
      <c r="I250" s="170" t="s">
        <v>789</v>
      </c>
      <c r="J250" s="170" t="s">
        <v>310</v>
      </c>
      <c r="K250" s="168" t="s">
        <v>63</v>
      </c>
      <c r="L250" s="22" t="s">
        <v>64</v>
      </c>
      <c r="M250" s="168" t="s">
        <v>1900</v>
      </c>
      <c r="N250" s="186" t="s">
        <v>253</v>
      </c>
      <c r="O250" s="172" t="s">
        <v>1901</v>
      </c>
      <c r="P250" s="168" t="s">
        <v>1902</v>
      </c>
      <c r="Q250" s="168" t="s">
        <v>562</v>
      </c>
      <c r="R250" s="168" t="s">
        <v>563</v>
      </c>
      <c r="S250" s="170" t="s">
        <v>564</v>
      </c>
      <c r="T250" s="168" t="s">
        <v>565</v>
      </c>
      <c r="U250" s="25" t="s">
        <v>566</v>
      </c>
      <c r="V250" s="168" t="s">
        <v>282</v>
      </c>
      <c r="W250" s="169" t="s">
        <v>283</v>
      </c>
      <c r="X250" s="168" t="s">
        <v>284</v>
      </c>
      <c r="Y250" s="49" t="s">
        <v>285</v>
      </c>
      <c r="Z250" s="168" t="s">
        <v>286</v>
      </c>
      <c r="AA250" s="170" t="s">
        <v>286</v>
      </c>
      <c r="AB250" s="168" t="s">
        <v>287</v>
      </c>
      <c r="AC250" s="168" t="s">
        <v>288</v>
      </c>
      <c r="AD250" s="49" t="s">
        <v>289</v>
      </c>
      <c r="AE250" s="58" t="s">
        <v>290</v>
      </c>
      <c r="AF250" s="56" t="s">
        <v>291</v>
      </c>
      <c r="AG250" s="168" t="s">
        <v>292</v>
      </c>
      <c r="AH250" s="168" t="s">
        <v>293</v>
      </c>
      <c r="AI250" s="173" t="s">
        <v>215</v>
      </c>
      <c r="AJ250" s="168" t="s">
        <v>216</v>
      </c>
      <c r="AK250" s="174" t="s">
        <v>217</v>
      </c>
      <c r="AL250" s="175" t="s">
        <v>218</v>
      </c>
      <c r="AM250" s="176" t="s">
        <v>219</v>
      </c>
      <c r="AN250" s="177" t="s">
        <v>220</v>
      </c>
      <c r="AO250" s="178" t="s">
        <v>221</v>
      </c>
      <c r="AP250" s="51" t="s">
        <v>138</v>
      </c>
      <c r="AQ250" s="179" t="s">
        <v>139</v>
      </c>
      <c r="AR250" s="174" t="s">
        <v>140</v>
      </c>
      <c r="AS250" s="22" t="s">
        <v>141</v>
      </c>
      <c r="AT250" s="175" t="s">
        <v>142</v>
      </c>
      <c r="AU250" s="180" t="s">
        <v>143</v>
      </c>
      <c r="AV250" s="181" t="s">
        <v>144</v>
      </c>
      <c r="AW250" s="182" t="s">
        <v>145</v>
      </c>
      <c r="AX250" s="183" t="s">
        <v>146</v>
      </c>
      <c r="AY250" s="184" t="s">
        <v>147</v>
      </c>
      <c r="AZ250" s="181" t="s">
        <v>104</v>
      </c>
      <c r="BA250" s="41" t="s">
        <v>105</v>
      </c>
      <c r="BB250" s="591" t="str">
        <f t="shared" si="15"/>
        <v>TEMPLATE</v>
      </c>
      <c r="BC250" s="591" t="str">
        <f t="shared" si="16"/>
        <v>7. Standards &amp; Quality-SAAC-SAAC-FW</v>
      </c>
      <c r="BD250" s="591" t="str">
        <f t="shared" si="17"/>
        <v>SAAC-SAAC-FW</v>
      </c>
      <c r="BE250" s="591" t="str">
        <f t="shared" si="18"/>
        <v>NONE</v>
      </c>
      <c r="BF250" s="594">
        <f t="shared" si="19"/>
        <v>7</v>
      </c>
    </row>
    <row r="251" spans="1:58" ht="42" customHeight="1" x14ac:dyDescent="0.45">
      <c r="A251" s="42">
        <v>226</v>
      </c>
      <c r="B251" s="185" t="s">
        <v>1944</v>
      </c>
      <c r="C251" s="44" t="s">
        <v>1945</v>
      </c>
      <c r="D251" s="44" t="s">
        <v>1512</v>
      </c>
      <c r="E251" s="185" t="s">
        <v>557</v>
      </c>
      <c r="F251" s="45" t="s">
        <v>58</v>
      </c>
      <c r="G251" s="44" t="s">
        <v>59</v>
      </c>
      <c r="H251" s="44" t="s">
        <v>57</v>
      </c>
      <c r="I251" s="46" t="s">
        <v>61</v>
      </c>
      <c r="J251" s="46" t="s">
        <v>62</v>
      </c>
      <c r="K251" s="44" t="s">
        <v>558</v>
      </c>
      <c r="L251" s="66" t="s">
        <v>559</v>
      </c>
      <c r="M251" s="44" t="s">
        <v>1948</v>
      </c>
      <c r="N251" s="59" t="s">
        <v>275</v>
      </c>
      <c r="O251" s="48" t="s">
        <v>196</v>
      </c>
      <c r="P251" s="44" t="s">
        <v>561</v>
      </c>
      <c r="Q251" s="168" t="s">
        <v>562</v>
      </c>
      <c r="R251" s="168" t="s">
        <v>563</v>
      </c>
      <c r="S251" s="170" t="s">
        <v>564</v>
      </c>
      <c r="T251" s="168" t="s">
        <v>565</v>
      </c>
      <c r="U251" s="25" t="s">
        <v>566</v>
      </c>
      <c r="V251" s="168" t="s">
        <v>282</v>
      </c>
      <c r="W251" s="169" t="s">
        <v>283</v>
      </c>
      <c r="X251" s="168" t="s">
        <v>284</v>
      </c>
      <c r="Y251" s="49" t="s">
        <v>285</v>
      </c>
      <c r="Z251" s="168" t="s">
        <v>286</v>
      </c>
      <c r="AA251" s="170" t="s">
        <v>286</v>
      </c>
      <c r="AB251" s="168" t="s">
        <v>287</v>
      </c>
      <c r="AC251" s="168" t="s">
        <v>288</v>
      </c>
      <c r="AD251" s="49" t="s">
        <v>289</v>
      </c>
      <c r="AE251" s="58" t="s">
        <v>290</v>
      </c>
      <c r="AF251" s="56" t="s">
        <v>291</v>
      </c>
      <c r="AG251" s="168" t="s">
        <v>292</v>
      </c>
      <c r="AH251" s="168" t="s">
        <v>293</v>
      </c>
      <c r="AI251" s="173" t="s">
        <v>215</v>
      </c>
      <c r="AJ251" s="168" t="s">
        <v>216</v>
      </c>
      <c r="AK251" s="174" t="s">
        <v>217</v>
      </c>
      <c r="AL251" s="175" t="s">
        <v>218</v>
      </c>
      <c r="AM251" s="176" t="s">
        <v>219</v>
      </c>
      <c r="AN251" s="177" t="s">
        <v>220</v>
      </c>
      <c r="AO251" s="178" t="s">
        <v>221</v>
      </c>
      <c r="AP251" s="51" t="s">
        <v>138</v>
      </c>
      <c r="AQ251" s="179" t="s">
        <v>139</v>
      </c>
      <c r="AR251" s="174" t="s">
        <v>140</v>
      </c>
      <c r="AS251" s="22" t="s">
        <v>141</v>
      </c>
      <c r="AT251" s="175" t="s">
        <v>142</v>
      </c>
      <c r="AU251" s="180" t="s">
        <v>143</v>
      </c>
      <c r="AV251" s="181" t="s">
        <v>144</v>
      </c>
      <c r="AW251" s="182" t="s">
        <v>145</v>
      </c>
      <c r="AX251" s="183" t="s">
        <v>146</v>
      </c>
      <c r="AY251" s="184" t="s">
        <v>147</v>
      </c>
      <c r="AZ251" s="181" t="s">
        <v>567</v>
      </c>
      <c r="BA251" s="34" t="s">
        <v>320</v>
      </c>
      <c r="BB251" s="591" t="str">
        <f t="shared" si="15"/>
        <v>TEMPLATE</v>
      </c>
      <c r="BC251" s="591" t="str">
        <f t="shared" si="16"/>
        <v>7. Standards &amp; Quality-SAAC-NCA-ECC-2:2024</v>
      </c>
      <c r="BD251" s="591" t="str">
        <f t="shared" si="17"/>
        <v>SAAC-NCA-ECC-2-2024</v>
      </c>
      <c r="BE251" s="591" t="str">
        <f t="shared" si="18"/>
        <v>NCA-ECC-2-2024</v>
      </c>
      <c r="BF251" s="594">
        <f t="shared" si="19"/>
        <v>6</v>
      </c>
    </row>
    <row r="252" spans="1:58" ht="42" customHeight="1" x14ac:dyDescent="0.45">
      <c r="A252" s="166">
        <v>227</v>
      </c>
      <c r="B252" s="167" t="s">
        <v>1949</v>
      </c>
      <c r="C252" s="168" t="s">
        <v>1950</v>
      </c>
      <c r="D252" s="168" t="s">
        <v>1512</v>
      </c>
      <c r="E252" s="167" t="s">
        <v>1951</v>
      </c>
      <c r="F252" s="169" t="s">
        <v>1952</v>
      </c>
      <c r="G252" s="168" t="s">
        <v>1898</v>
      </c>
      <c r="H252" s="168" t="s">
        <v>1746</v>
      </c>
      <c r="I252" s="170" t="s">
        <v>1155</v>
      </c>
      <c r="J252" s="170" t="s">
        <v>310</v>
      </c>
      <c r="K252" s="168" t="s">
        <v>63</v>
      </c>
      <c r="L252" s="22" t="s">
        <v>64</v>
      </c>
      <c r="M252" s="168" t="s">
        <v>1900</v>
      </c>
      <c r="N252" s="186" t="s">
        <v>253</v>
      </c>
      <c r="O252" s="172" t="s">
        <v>1901</v>
      </c>
      <c r="P252" s="168" t="s">
        <v>1902</v>
      </c>
      <c r="Q252" s="168" t="s">
        <v>562</v>
      </c>
      <c r="R252" s="168" t="s">
        <v>563</v>
      </c>
      <c r="S252" s="170" t="s">
        <v>564</v>
      </c>
      <c r="T252" s="168" t="s">
        <v>565</v>
      </c>
      <c r="U252" s="25" t="s">
        <v>566</v>
      </c>
      <c r="V252" s="168" t="s">
        <v>282</v>
      </c>
      <c r="W252" s="169" t="s">
        <v>283</v>
      </c>
      <c r="X252" s="168" t="s">
        <v>284</v>
      </c>
      <c r="Y252" s="49" t="s">
        <v>285</v>
      </c>
      <c r="Z252" s="168" t="s">
        <v>286</v>
      </c>
      <c r="AA252" s="170" t="s">
        <v>286</v>
      </c>
      <c r="AB252" s="168" t="s">
        <v>287</v>
      </c>
      <c r="AC252" s="168" t="s">
        <v>288</v>
      </c>
      <c r="AD252" s="49" t="s">
        <v>289</v>
      </c>
      <c r="AE252" s="58" t="s">
        <v>290</v>
      </c>
      <c r="AF252" s="56" t="s">
        <v>291</v>
      </c>
      <c r="AG252" s="168" t="s">
        <v>292</v>
      </c>
      <c r="AH252" s="168" t="s">
        <v>293</v>
      </c>
      <c r="AI252" s="173" t="s">
        <v>215</v>
      </c>
      <c r="AJ252" s="168" t="s">
        <v>216</v>
      </c>
      <c r="AK252" s="174" t="s">
        <v>217</v>
      </c>
      <c r="AL252" s="175" t="s">
        <v>218</v>
      </c>
      <c r="AM252" s="176" t="s">
        <v>219</v>
      </c>
      <c r="AN252" s="177" t="s">
        <v>220</v>
      </c>
      <c r="AO252" s="178" t="s">
        <v>221</v>
      </c>
      <c r="AP252" s="51" t="s">
        <v>138</v>
      </c>
      <c r="AQ252" s="179" t="s">
        <v>139</v>
      </c>
      <c r="AR252" s="174" t="s">
        <v>140</v>
      </c>
      <c r="AS252" s="22" t="s">
        <v>141</v>
      </c>
      <c r="AT252" s="175" t="s">
        <v>142</v>
      </c>
      <c r="AU252" s="180" t="s">
        <v>143</v>
      </c>
      <c r="AV252" s="181" t="s">
        <v>144</v>
      </c>
      <c r="AW252" s="182" t="s">
        <v>145</v>
      </c>
      <c r="AX252" s="183" t="s">
        <v>146</v>
      </c>
      <c r="AY252" s="184" t="s">
        <v>147</v>
      </c>
      <c r="AZ252" s="181" t="s">
        <v>104</v>
      </c>
      <c r="BA252" s="41" t="s">
        <v>105</v>
      </c>
      <c r="BB252" s="591" t="str">
        <f t="shared" si="15"/>
        <v>TEMPLATE</v>
      </c>
      <c r="BC252" s="591" t="str">
        <f t="shared" si="16"/>
        <v>7. Standards &amp; Quality-GASTAT-GASTAT-FW</v>
      </c>
      <c r="BD252" s="591" t="str">
        <f t="shared" si="17"/>
        <v>GASTAT-GASTAT-FW</v>
      </c>
      <c r="BE252" s="591" t="str">
        <f t="shared" si="18"/>
        <v>NONE</v>
      </c>
      <c r="BF252" s="594">
        <f t="shared" si="19"/>
        <v>7</v>
      </c>
    </row>
    <row r="253" spans="1:58" ht="42" customHeight="1" x14ac:dyDescent="0.45">
      <c r="A253" s="42">
        <v>228</v>
      </c>
      <c r="B253" s="185" t="s">
        <v>1949</v>
      </c>
      <c r="C253" s="44" t="s">
        <v>1950</v>
      </c>
      <c r="D253" s="44" t="s">
        <v>1512</v>
      </c>
      <c r="E253" s="185" t="s">
        <v>557</v>
      </c>
      <c r="F253" s="45" t="s">
        <v>58</v>
      </c>
      <c r="G253" s="44" t="s">
        <v>59</v>
      </c>
      <c r="H253" s="44" t="s">
        <v>57</v>
      </c>
      <c r="I253" s="46" t="s">
        <v>61</v>
      </c>
      <c r="J253" s="46" t="s">
        <v>62</v>
      </c>
      <c r="K253" s="44" t="s">
        <v>558</v>
      </c>
      <c r="L253" s="66" t="s">
        <v>559</v>
      </c>
      <c r="M253" s="44" t="s">
        <v>1953</v>
      </c>
      <c r="N253" s="59" t="s">
        <v>275</v>
      </c>
      <c r="O253" s="48" t="s">
        <v>196</v>
      </c>
      <c r="P253" s="44" t="s">
        <v>561</v>
      </c>
      <c r="Q253" s="168" t="s">
        <v>562</v>
      </c>
      <c r="R253" s="168" t="s">
        <v>563</v>
      </c>
      <c r="S253" s="170" t="s">
        <v>564</v>
      </c>
      <c r="T253" s="168" t="s">
        <v>565</v>
      </c>
      <c r="U253" s="25" t="s">
        <v>566</v>
      </c>
      <c r="V253" s="168" t="s">
        <v>282</v>
      </c>
      <c r="W253" s="169" t="s">
        <v>283</v>
      </c>
      <c r="X253" s="168" t="s">
        <v>284</v>
      </c>
      <c r="Y253" s="49" t="s">
        <v>285</v>
      </c>
      <c r="Z253" s="168" t="s">
        <v>286</v>
      </c>
      <c r="AA253" s="170" t="s">
        <v>286</v>
      </c>
      <c r="AB253" s="168" t="s">
        <v>287</v>
      </c>
      <c r="AC253" s="168" t="s">
        <v>288</v>
      </c>
      <c r="AD253" s="49" t="s">
        <v>289</v>
      </c>
      <c r="AE253" s="58" t="s">
        <v>290</v>
      </c>
      <c r="AF253" s="56" t="s">
        <v>291</v>
      </c>
      <c r="AG253" s="168" t="s">
        <v>292</v>
      </c>
      <c r="AH253" s="168" t="s">
        <v>293</v>
      </c>
      <c r="AI253" s="173" t="s">
        <v>215</v>
      </c>
      <c r="AJ253" s="168" t="s">
        <v>216</v>
      </c>
      <c r="AK253" s="174" t="s">
        <v>217</v>
      </c>
      <c r="AL253" s="175" t="s">
        <v>218</v>
      </c>
      <c r="AM253" s="176" t="s">
        <v>219</v>
      </c>
      <c r="AN253" s="177" t="s">
        <v>220</v>
      </c>
      <c r="AO253" s="178" t="s">
        <v>221</v>
      </c>
      <c r="AP253" s="51" t="s">
        <v>138</v>
      </c>
      <c r="AQ253" s="179" t="s">
        <v>139</v>
      </c>
      <c r="AR253" s="174" t="s">
        <v>140</v>
      </c>
      <c r="AS253" s="22" t="s">
        <v>141</v>
      </c>
      <c r="AT253" s="175" t="s">
        <v>142</v>
      </c>
      <c r="AU253" s="180" t="s">
        <v>143</v>
      </c>
      <c r="AV253" s="181" t="s">
        <v>144</v>
      </c>
      <c r="AW253" s="182" t="s">
        <v>145</v>
      </c>
      <c r="AX253" s="183" t="s">
        <v>146</v>
      </c>
      <c r="AY253" s="184" t="s">
        <v>147</v>
      </c>
      <c r="AZ253" s="181" t="s">
        <v>567</v>
      </c>
      <c r="BA253" s="34" t="s">
        <v>320</v>
      </c>
      <c r="BB253" s="591" t="str">
        <f t="shared" si="15"/>
        <v>TEMPLATE</v>
      </c>
      <c r="BC253" s="591" t="str">
        <f t="shared" si="16"/>
        <v>7. Standards &amp; Quality-GASTAT-NCA-ECC-2:2024</v>
      </c>
      <c r="BD253" s="591" t="str">
        <f t="shared" si="17"/>
        <v>GASTAT-NCA-ECC-2-2024</v>
      </c>
      <c r="BE253" s="591" t="str">
        <f t="shared" si="18"/>
        <v>NCA-ECC-2-2024</v>
      </c>
      <c r="BF253" s="594">
        <f t="shared" si="19"/>
        <v>6</v>
      </c>
    </row>
    <row r="254" spans="1:58" ht="42" customHeight="1" x14ac:dyDescent="0.45">
      <c r="A254" s="166">
        <v>229</v>
      </c>
      <c r="B254" s="167" t="s">
        <v>1954</v>
      </c>
      <c r="C254" s="168" t="s">
        <v>1955</v>
      </c>
      <c r="D254" s="168" t="s">
        <v>1512</v>
      </c>
      <c r="E254" s="167" t="s">
        <v>1956</v>
      </c>
      <c r="F254" s="169" t="s">
        <v>1957</v>
      </c>
      <c r="G254" s="168" t="s">
        <v>1898</v>
      </c>
      <c r="H254" s="168" t="s">
        <v>1746</v>
      </c>
      <c r="I254" s="170" t="s">
        <v>907</v>
      </c>
      <c r="J254" s="170" t="s">
        <v>310</v>
      </c>
      <c r="K254" s="168" t="s">
        <v>63</v>
      </c>
      <c r="L254" s="22" t="s">
        <v>64</v>
      </c>
      <c r="M254" s="168" t="s">
        <v>1900</v>
      </c>
      <c r="N254" s="186" t="s">
        <v>253</v>
      </c>
      <c r="O254" s="172" t="s">
        <v>1901</v>
      </c>
      <c r="P254" s="168" t="s">
        <v>1902</v>
      </c>
      <c r="Q254" s="168" t="s">
        <v>562</v>
      </c>
      <c r="R254" s="168" t="s">
        <v>563</v>
      </c>
      <c r="S254" s="170" t="s">
        <v>564</v>
      </c>
      <c r="T254" s="168" t="s">
        <v>565</v>
      </c>
      <c r="U254" s="25" t="s">
        <v>566</v>
      </c>
      <c r="V254" s="168" t="s">
        <v>282</v>
      </c>
      <c r="W254" s="169" t="s">
        <v>283</v>
      </c>
      <c r="X254" s="168" t="s">
        <v>284</v>
      </c>
      <c r="Y254" s="49" t="s">
        <v>285</v>
      </c>
      <c r="Z254" s="168" t="s">
        <v>286</v>
      </c>
      <c r="AA254" s="170" t="s">
        <v>286</v>
      </c>
      <c r="AB254" s="168" t="s">
        <v>287</v>
      </c>
      <c r="AC254" s="168" t="s">
        <v>288</v>
      </c>
      <c r="AD254" s="49" t="s">
        <v>289</v>
      </c>
      <c r="AE254" s="58" t="s">
        <v>290</v>
      </c>
      <c r="AF254" s="56" t="s">
        <v>291</v>
      </c>
      <c r="AG254" s="168" t="s">
        <v>292</v>
      </c>
      <c r="AH254" s="168" t="s">
        <v>293</v>
      </c>
      <c r="AI254" s="173" t="s">
        <v>215</v>
      </c>
      <c r="AJ254" s="168" t="s">
        <v>216</v>
      </c>
      <c r="AK254" s="174" t="s">
        <v>217</v>
      </c>
      <c r="AL254" s="175" t="s">
        <v>218</v>
      </c>
      <c r="AM254" s="176" t="s">
        <v>219</v>
      </c>
      <c r="AN254" s="177" t="s">
        <v>220</v>
      </c>
      <c r="AO254" s="178" t="s">
        <v>221</v>
      </c>
      <c r="AP254" s="51" t="s">
        <v>138</v>
      </c>
      <c r="AQ254" s="179" t="s">
        <v>139</v>
      </c>
      <c r="AR254" s="174" t="s">
        <v>140</v>
      </c>
      <c r="AS254" s="22" t="s">
        <v>141</v>
      </c>
      <c r="AT254" s="175" t="s">
        <v>142</v>
      </c>
      <c r="AU254" s="180" t="s">
        <v>143</v>
      </c>
      <c r="AV254" s="181" t="s">
        <v>144</v>
      </c>
      <c r="AW254" s="182" t="s">
        <v>145</v>
      </c>
      <c r="AX254" s="183" t="s">
        <v>146</v>
      </c>
      <c r="AY254" s="184" t="s">
        <v>147</v>
      </c>
      <c r="AZ254" s="181" t="s">
        <v>104</v>
      </c>
      <c r="BA254" s="41" t="s">
        <v>105</v>
      </c>
      <c r="BB254" s="591" t="str">
        <f t="shared" si="15"/>
        <v>TEMPLATE</v>
      </c>
      <c r="BC254" s="591" t="str">
        <f t="shared" si="16"/>
        <v>7. Standards &amp; Quality-SAFCSP-SAFCSP-FW</v>
      </c>
      <c r="BD254" s="591" t="str">
        <f t="shared" si="17"/>
        <v>SAFCSP-SAFCSP-FW</v>
      </c>
      <c r="BE254" s="591" t="str">
        <f t="shared" si="18"/>
        <v>NONE</v>
      </c>
      <c r="BF254" s="594">
        <f t="shared" si="19"/>
        <v>7</v>
      </c>
    </row>
    <row r="255" spans="1:58" ht="42" customHeight="1" x14ac:dyDescent="0.45">
      <c r="A255" s="42">
        <v>230</v>
      </c>
      <c r="B255" s="185" t="s">
        <v>1954</v>
      </c>
      <c r="C255" s="44" t="s">
        <v>1955</v>
      </c>
      <c r="D255" s="44" t="s">
        <v>1512</v>
      </c>
      <c r="E255" s="185" t="s">
        <v>557</v>
      </c>
      <c r="F255" s="45" t="s">
        <v>58</v>
      </c>
      <c r="G255" s="44" t="s">
        <v>59</v>
      </c>
      <c r="H255" s="44" t="s">
        <v>57</v>
      </c>
      <c r="I255" s="46" t="s">
        <v>61</v>
      </c>
      <c r="J255" s="46" t="s">
        <v>62</v>
      </c>
      <c r="K255" s="44" t="s">
        <v>558</v>
      </c>
      <c r="L255" s="66" t="s">
        <v>559</v>
      </c>
      <c r="M255" s="44" t="s">
        <v>1958</v>
      </c>
      <c r="N255" s="59" t="s">
        <v>275</v>
      </c>
      <c r="O255" s="48" t="s">
        <v>196</v>
      </c>
      <c r="P255" s="44" t="s">
        <v>561</v>
      </c>
      <c r="Q255" s="168" t="s">
        <v>562</v>
      </c>
      <c r="R255" s="168" t="s">
        <v>563</v>
      </c>
      <c r="S255" s="170" t="s">
        <v>564</v>
      </c>
      <c r="T255" s="168" t="s">
        <v>565</v>
      </c>
      <c r="U255" s="25" t="s">
        <v>566</v>
      </c>
      <c r="V255" s="168" t="s">
        <v>282</v>
      </c>
      <c r="W255" s="169" t="s">
        <v>283</v>
      </c>
      <c r="X255" s="168" t="s">
        <v>284</v>
      </c>
      <c r="Y255" s="49" t="s">
        <v>285</v>
      </c>
      <c r="Z255" s="168" t="s">
        <v>286</v>
      </c>
      <c r="AA255" s="170" t="s">
        <v>286</v>
      </c>
      <c r="AB255" s="168" t="s">
        <v>287</v>
      </c>
      <c r="AC255" s="168" t="s">
        <v>288</v>
      </c>
      <c r="AD255" s="49" t="s">
        <v>289</v>
      </c>
      <c r="AE255" s="58" t="s">
        <v>290</v>
      </c>
      <c r="AF255" s="56" t="s">
        <v>291</v>
      </c>
      <c r="AG255" s="168" t="s">
        <v>292</v>
      </c>
      <c r="AH255" s="168" t="s">
        <v>293</v>
      </c>
      <c r="AI255" s="173" t="s">
        <v>215</v>
      </c>
      <c r="AJ255" s="168" t="s">
        <v>216</v>
      </c>
      <c r="AK255" s="174" t="s">
        <v>217</v>
      </c>
      <c r="AL255" s="175" t="s">
        <v>218</v>
      </c>
      <c r="AM255" s="176" t="s">
        <v>219</v>
      </c>
      <c r="AN255" s="177" t="s">
        <v>220</v>
      </c>
      <c r="AO255" s="178" t="s">
        <v>221</v>
      </c>
      <c r="AP255" s="51" t="s">
        <v>138</v>
      </c>
      <c r="AQ255" s="179" t="s">
        <v>139</v>
      </c>
      <c r="AR255" s="174" t="s">
        <v>140</v>
      </c>
      <c r="AS255" s="22" t="s">
        <v>141</v>
      </c>
      <c r="AT255" s="175" t="s">
        <v>142</v>
      </c>
      <c r="AU255" s="180" t="s">
        <v>143</v>
      </c>
      <c r="AV255" s="181" t="s">
        <v>144</v>
      </c>
      <c r="AW255" s="182" t="s">
        <v>145</v>
      </c>
      <c r="AX255" s="183" t="s">
        <v>146</v>
      </c>
      <c r="AY255" s="184" t="s">
        <v>147</v>
      </c>
      <c r="AZ255" s="181" t="s">
        <v>567</v>
      </c>
      <c r="BA255" s="34" t="s">
        <v>320</v>
      </c>
      <c r="BB255" s="591" t="str">
        <f t="shared" si="15"/>
        <v>TEMPLATE</v>
      </c>
      <c r="BC255" s="591" t="str">
        <f t="shared" si="16"/>
        <v>7. Standards &amp; Quality-SAFCSP-NCA-ECC-2:2024</v>
      </c>
      <c r="BD255" s="591" t="str">
        <f t="shared" si="17"/>
        <v>SAFCSP-NCA-ECC-2-2024</v>
      </c>
      <c r="BE255" s="591" t="str">
        <f t="shared" si="18"/>
        <v>NCA-ECC-2-2024</v>
      </c>
      <c r="BF255" s="594">
        <f t="shared" si="19"/>
        <v>6</v>
      </c>
    </row>
    <row r="256" spans="1:58" x14ac:dyDescent="0.45">
      <c r="BB256" s="591" t="str">
        <f t="shared" si="15"/>
        <v/>
      </c>
      <c r="BC256" s="591" t="str">
        <f t="shared" si="16"/>
        <v/>
      </c>
      <c r="BD256" s="591" t="str">
        <f t="shared" si="17"/>
        <v/>
      </c>
      <c r="BE256" s="591" t="str">
        <f t="shared" si="18"/>
        <v/>
      </c>
      <c r="BF256" s="594" t="str">
        <f t="shared" si="19"/>
        <v/>
      </c>
    </row>
    <row r="257" spans="1:58" ht="19.5" customHeight="1" x14ac:dyDescent="0.45">
      <c r="A257" s="210"/>
      <c r="B257" s="211" t="s">
        <v>1959</v>
      </c>
      <c r="C257" s="210"/>
      <c r="D257" s="210"/>
      <c r="E257" s="210"/>
      <c r="F257" s="210"/>
      <c r="G257" s="210"/>
      <c r="H257" s="210"/>
      <c r="I257" s="210"/>
      <c r="J257" s="210"/>
      <c r="K257" s="210"/>
      <c r="L257" s="210"/>
      <c r="M257" s="210"/>
      <c r="N257" s="210"/>
      <c r="O257" s="210"/>
      <c r="P257" s="210"/>
      <c r="BB257" s="591" t="str">
        <f t="shared" si="15"/>
        <v/>
      </c>
      <c r="BC257" s="591" t="str">
        <f t="shared" si="16"/>
        <v/>
      </c>
      <c r="BD257" s="591" t="str">
        <f t="shared" si="17"/>
        <v/>
      </c>
      <c r="BE257" s="591" t="str">
        <f t="shared" si="18"/>
        <v/>
      </c>
      <c r="BF257" s="594" t="str">
        <f t="shared" si="19"/>
        <v/>
      </c>
    </row>
    <row r="258" spans="1:58" ht="42" customHeight="1" x14ac:dyDescent="0.45">
      <c r="A258" s="212">
        <v>231</v>
      </c>
      <c r="B258" s="213" t="s">
        <v>1960</v>
      </c>
      <c r="C258" s="214" t="s">
        <v>1961</v>
      </c>
      <c r="D258" s="214" t="s">
        <v>1962</v>
      </c>
      <c r="E258" s="213" t="s">
        <v>1963</v>
      </c>
      <c r="F258" s="215" t="s">
        <v>1964</v>
      </c>
      <c r="G258" s="214" t="s">
        <v>1898</v>
      </c>
      <c r="H258" s="214" t="s">
        <v>1746</v>
      </c>
      <c r="I258" s="216" t="s">
        <v>887</v>
      </c>
      <c r="J258" s="216" t="s">
        <v>310</v>
      </c>
      <c r="K258" s="214" t="s">
        <v>63</v>
      </c>
      <c r="L258" s="22" t="s">
        <v>64</v>
      </c>
      <c r="M258" s="214" t="s">
        <v>1900</v>
      </c>
      <c r="N258" s="217" t="s">
        <v>253</v>
      </c>
      <c r="O258" s="218" t="s">
        <v>1901</v>
      </c>
      <c r="P258" s="214" t="s">
        <v>1902</v>
      </c>
      <c r="Q258" s="214" t="s">
        <v>562</v>
      </c>
      <c r="R258" s="214" t="s">
        <v>563</v>
      </c>
      <c r="S258" s="216" t="s">
        <v>564</v>
      </c>
      <c r="T258" s="214" t="s">
        <v>565</v>
      </c>
      <c r="U258" s="25" t="s">
        <v>566</v>
      </c>
      <c r="V258" s="214" t="s">
        <v>282</v>
      </c>
      <c r="W258" s="215" t="s">
        <v>283</v>
      </c>
      <c r="X258" s="214" t="s">
        <v>284</v>
      </c>
      <c r="Y258" s="49" t="s">
        <v>285</v>
      </c>
      <c r="Z258" s="214" t="s">
        <v>286</v>
      </c>
      <c r="AA258" s="216" t="s">
        <v>286</v>
      </c>
      <c r="AB258" s="214" t="s">
        <v>287</v>
      </c>
      <c r="AC258" s="214" t="s">
        <v>288</v>
      </c>
      <c r="AD258" s="49" t="s">
        <v>289</v>
      </c>
      <c r="AE258" s="58" t="s">
        <v>290</v>
      </c>
      <c r="AF258" s="56" t="s">
        <v>291</v>
      </c>
      <c r="AG258" s="214" t="s">
        <v>292</v>
      </c>
      <c r="AH258" s="214" t="s">
        <v>293</v>
      </c>
      <c r="AI258" s="219" t="s">
        <v>215</v>
      </c>
      <c r="AJ258" s="214" t="s">
        <v>216</v>
      </c>
      <c r="AK258" s="220" t="s">
        <v>217</v>
      </c>
      <c r="AL258" s="221" t="s">
        <v>218</v>
      </c>
      <c r="AM258" s="222" t="s">
        <v>219</v>
      </c>
      <c r="AN258" s="223" t="s">
        <v>220</v>
      </c>
      <c r="AO258" s="224" t="s">
        <v>221</v>
      </c>
      <c r="AP258" s="51" t="s">
        <v>138</v>
      </c>
      <c r="AQ258" s="225" t="s">
        <v>139</v>
      </c>
      <c r="AR258" s="220" t="s">
        <v>140</v>
      </c>
      <c r="AS258" s="22" t="s">
        <v>141</v>
      </c>
      <c r="AT258" s="221" t="s">
        <v>142</v>
      </c>
      <c r="AU258" s="226" t="s">
        <v>143</v>
      </c>
      <c r="AV258" s="227" t="s">
        <v>144</v>
      </c>
      <c r="AW258" s="228" t="s">
        <v>145</v>
      </c>
      <c r="AX258" s="229" t="s">
        <v>146</v>
      </c>
      <c r="AY258" s="213" t="s">
        <v>147</v>
      </c>
      <c r="AZ258" s="230" t="s">
        <v>104</v>
      </c>
      <c r="BA258" s="41" t="s">
        <v>105</v>
      </c>
      <c r="BB258" s="591" t="str">
        <f t="shared" si="15"/>
        <v>TEMPLATE</v>
      </c>
      <c r="BC258" s="591" t="str">
        <f t="shared" si="16"/>
        <v>8. Energy &amp; Utilities-ECRA-ECRA-FW</v>
      </c>
      <c r="BD258" s="591" t="str">
        <f t="shared" si="17"/>
        <v>ECRA-ECRA-FW</v>
      </c>
      <c r="BE258" s="591" t="str">
        <f t="shared" si="18"/>
        <v>NONE</v>
      </c>
      <c r="BF258" s="594">
        <f t="shared" si="19"/>
        <v>7</v>
      </c>
    </row>
    <row r="259" spans="1:58" ht="42" customHeight="1" x14ac:dyDescent="0.45">
      <c r="A259" s="42">
        <v>232</v>
      </c>
      <c r="B259" s="231" t="s">
        <v>1960</v>
      </c>
      <c r="C259" s="44" t="s">
        <v>1961</v>
      </c>
      <c r="D259" s="44" t="s">
        <v>1962</v>
      </c>
      <c r="E259" s="231" t="s">
        <v>557</v>
      </c>
      <c r="F259" s="45" t="s">
        <v>58</v>
      </c>
      <c r="G259" s="44" t="s">
        <v>59</v>
      </c>
      <c r="H259" s="44" t="s">
        <v>57</v>
      </c>
      <c r="I259" s="46" t="s">
        <v>61</v>
      </c>
      <c r="J259" s="46" t="s">
        <v>62</v>
      </c>
      <c r="K259" s="44" t="s">
        <v>558</v>
      </c>
      <c r="L259" s="66" t="s">
        <v>559</v>
      </c>
      <c r="M259" s="44" t="s">
        <v>1965</v>
      </c>
      <c r="N259" s="59" t="s">
        <v>275</v>
      </c>
      <c r="O259" s="48" t="s">
        <v>196</v>
      </c>
      <c r="P259" s="44" t="s">
        <v>561</v>
      </c>
      <c r="Q259" s="214" t="s">
        <v>562</v>
      </c>
      <c r="R259" s="214" t="s">
        <v>563</v>
      </c>
      <c r="S259" s="216" t="s">
        <v>564</v>
      </c>
      <c r="T259" s="214" t="s">
        <v>565</v>
      </c>
      <c r="U259" s="25" t="s">
        <v>566</v>
      </c>
      <c r="V259" s="214" t="s">
        <v>282</v>
      </c>
      <c r="W259" s="215" t="s">
        <v>283</v>
      </c>
      <c r="X259" s="214" t="s">
        <v>284</v>
      </c>
      <c r="Y259" s="49" t="s">
        <v>285</v>
      </c>
      <c r="Z259" s="214" t="s">
        <v>286</v>
      </c>
      <c r="AA259" s="216" t="s">
        <v>286</v>
      </c>
      <c r="AB259" s="214" t="s">
        <v>287</v>
      </c>
      <c r="AC259" s="214" t="s">
        <v>288</v>
      </c>
      <c r="AD259" s="49" t="s">
        <v>289</v>
      </c>
      <c r="AE259" s="58" t="s">
        <v>290</v>
      </c>
      <c r="AF259" s="56" t="s">
        <v>291</v>
      </c>
      <c r="AG259" s="214" t="s">
        <v>292</v>
      </c>
      <c r="AH259" s="214" t="s">
        <v>293</v>
      </c>
      <c r="AI259" s="219" t="s">
        <v>215</v>
      </c>
      <c r="AJ259" s="214" t="s">
        <v>216</v>
      </c>
      <c r="AK259" s="220" t="s">
        <v>217</v>
      </c>
      <c r="AL259" s="221" t="s">
        <v>218</v>
      </c>
      <c r="AM259" s="222" t="s">
        <v>219</v>
      </c>
      <c r="AN259" s="223" t="s">
        <v>220</v>
      </c>
      <c r="AO259" s="224" t="s">
        <v>221</v>
      </c>
      <c r="AP259" s="51" t="s">
        <v>138</v>
      </c>
      <c r="AQ259" s="225" t="s">
        <v>139</v>
      </c>
      <c r="AR259" s="220" t="s">
        <v>140</v>
      </c>
      <c r="AS259" s="22" t="s">
        <v>141</v>
      </c>
      <c r="AT259" s="221" t="s">
        <v>142</v>
      </c>
      <c r="AU259" s="226" t="s">
        <v>143</v>
      </c>
      <c r="AV259" s="227" t="s">
        <v>144</v>
      </c>
      <c r="AW259" s="228" t="s">
        <v>145</v>
      </c>
      <c r="AX259" s="229" t="s">
        <v>146</v>
      </c>
      <c r="AY259" s="213" t="s">
        <v>147</v>
      </c>
      <c r="AZ259" s="230" t="s">
        <v>567</v>
      </c>
      <c r="BA259" s="34" t="s">
        <v>320</v>
      </c>
      <c r="BB259" s="591" t="str">
        <f t="shared" si="15"/>
        <v>TEMPLATE</v>
      </c>
      <c r="BC259" s="591" t="str">
        <f t="shared" si="16"/>
        <v>8. Energy &amp; Utilities-ECRA-NCA-ECC-2:2024</v>
      </c>
      <c r="BD259" s="591" t="str">
        <f t="shared" si="17"/>
        <v>ECRA-NCA-ECC-2-2024</v>
      </c>
      <c r="BE259" s="591" t="str">
        <f t="shared" si="18"/>
        <v>NCA-ECC-2-2024</v>
      </c>
      <c r="BF259" s="594">
        <f t="shared" si="19"/>
        <v>6</v>
      </c>
    </row>
    <row r="260" spans="1:58" ht="42" customHeight="1" x14ac:dyDescent="0.45">
      <c r="A260" s="212">
        <v>233</v>
      </c>
      <c r="B260" s="213" t="s">
        <v>1966</v>
      </c>
      <c r="C260" s="214" t="s">
        <v>1967</v>
      </c>
      <c r="D260" s="214" t="s">
        <v>1962</v>
      </c>
      <c r="E260" s="213" t="s">
        <v>1968</v>
      </c>
      <c r="F260" s="215" t="s">
        <v>1969</v>
      </c>
      <c r="G260" s="214" t="s">
        <v>1898</v>
      </c>
      <c r="H260" s="214" t="s">
        <v>1746</v>
      </c>
      <c r="I260" s="216" t="s">
        <v>590</v>
      </c>
      <c r="J260" s="216" t="s">
        <v>310</v>
      </c>
      <c r="K260" s="214" t="s">
        <v>63</v>
      </c>
      <c r="L260" s="22" t="s">
        <v>64</v>
      </c>
      <c r="M260" s="214" t="s">
        <v>1900</v>
      </c>
      <c r="N260" s="217" t="s">
        <v>253</v>
      </c>
      <c r="O260" s="218" t="s">
        <v>1901</v>
      </c>
      <c r="P260" s="214" t="s">
        <v>1902</v>
      </c>
      <c r="Q260" s="214" t="s">
        <v>562</v>
      </c>
      <c r="R260" s="214" t="s">
        <v>563</v>
      </c>
      <c r="S260" s="216" t="s">
        <v>564</v>
      </c>
      <c r="T260" s="214" t="s">
        <v>565</v>
      </c>
      <c r="U260" s="25" t="s">
        <v>566</v>
      </c>
      <c r="V260" s="214" t="s">
        <v>282</v>
      </c>
      <c r="W260" s="215" t="s">
        <v>283</v>
      </c>
      <c r="X260" s="214" t="s">
        <v>284</v>
      </c>
      <c r="Y260" s="49" t="s">
        <v>285</v>
      </c>
      <c r="Z260" s="214" t="s">
        <v>286</v>
      </c>
      <c r="AA260" s="216" t="s">
        <v>286</v>
      </c>
      <c r="AB260" s="214" t="s">
        <v>287</v>
      </c>
      <c r="AC260" s="214" t="s">
        <v>288</v>
      </c>
      <c r="AD260" s="49" t="s">
        <v>289</v>
      </c>
      <c r="AE260" s="58" t="s">
        <v>290</v>
      </c>
      <c r="AF260" s="56" t="s">
        <v>291</v>
      </c>
      <c r="AG260" s="214" t="s">
        <v>292</v>
      </c>
      <c r="AH260" s="214" t="s">
        <v>293</v>
      </c>
      <c r="AI260" s="219" t="s">
        <v>215</v>
      </c>
      <c r="AJ260" s="214" t="s">
        <v>216</v>
      </c>
      <c r="AK260" s="220" t="s">
        <v>217</v>
      </c>
      <c r="AL260" s="221" t="s">
        <v>218</v>
      </c>
      <c r="AM260" s="222" t="s">
        <v>219</v>
      </c>
      <c r="AN260" s="223" t="s">
        <v>220</v>
      </c>
      <c r="AO260" s="224" t="s">
        <v>221</v>
      </c>
      <c r="AP260" s="51" t="s">
        <v>138</v>
      </c>
      <c r="AQ260" s="225" t="s">
        <v>139</v>
      </c>
      <c r="AR260" s="220" t="s">
        <v>140</v>
      </c>
      <c r="AS260" s="22" t="s">
        <v>141</v>
      </c>
      <c r="AT260" s="221" t="s">
        <v>142</v>
      </c>
      <c r="AU260" s="226" t="s">
        <v>143</v>
      </c>
      <c r="AV260" s="227" t="s">
        <v>144</v>
      </c>
      <c r="AW260" s="228" t="s">
        <v>145</v>
      </c>
      <c r="AX260" s="229" t="s">
        <v>146</v>
      </c>
      <c r="AY260" s="213" t="s">
        <v>147</v>
      </c>
      <c r="AZ260" s="230" t="s">
        <v>104</v>
      </c>
      <c r="BA260" s="41" t="s">
        <v>105</v>
      </c>
      <c r="BB260" s="591" t="str">
        <f t="shared" si="15"/>
        <v>TEMPLATE</v>
      </c>
      <c r="BC260" s="591" t="str">
        <f t="shared" si="16"/>
        <v>8. Energy &amp; Utilities-KACARE-KACARE-FW</v>
      </c>
      <c r="BD260" s="591" t="str">
        <f t="shared" si="17"/>
        <v>KACARE-KACARE-FW</v>
      </c>
      <c r="BE260" s="591" t="str">
        <f t="shared" si="18"/>
        <v>NONE</v>
      </c>
      <c r="BF260" s="594">
        <f t="shared" si="19"/>
        <v>7</v>
      </c>
    </row>
    <row r="261" spans="1:58" ht="42" customHeight="1" x14ac:dyDescent="0.45">
      <c r="A261" s="42">
        <v>234</v>
      </c>
      <c r="B261" s="231" t="s">
        <v>1966</v>
      </c>
      <c r="C261" s="44" t="s">
        <v>1967</v>
      </c>
      <c r="D261" s="44" t="s">
        <v>1962</v>
      </c>
      <c r="E261" s="231" t="s">
        <v>557</v>
      </c>
      <c r="F261" s="45" t="s">
        <v>58</v>
      </c>
      <c r="G261" s="44" t="s">
        <v>59</v>
      </c>
      <c r="H261" s="44" t="s">
        <v>57</v>
      </c>
      <c r="I261" s="46" t="s">
        <v>61</v>
      </c>
      <c r="J261" s="46" t="s">
        <v>62</v>
      </c>
      <c r="K261" s="44" t="s">
        <v>558</v>
      </c>
      <c r="L261" s="66" t="s">
        <v>559</v>
      </c>
      <c r="M261" s="44" t="s">
        <v>1970</v>
      </c>
      <c r="N261" s="59" t="s">
        <v>275</v>
      </c>
      <c r="O261" s="48" t="s">
        <v>196</v>
      </c>
      <c r="P261" s="44" t="s">
        <v>561</v>
      </c>
      <c r="Q261" s="214" t="s">
        <v>562</v>
      </c>
      <c r="R261" s="214" t="s">
        <v>563</v>
      </c>
      <c r="S261" s="216" t="s">
        <v>564</v>
      </c>
      <c r="T261" s="214" t="s">
        <v>565</v>
      </c>
      <c r="U261" s="25" t="s">
        <v>566</v>
      </c>
      <c r="V261" s="214" t="s">
        <v>282</v>
      </c>
      <c r="W261" s="215" t="s">
        <v>283</v>
      </c>
      <c r="X261" s="214" t="s">
        <v>284</v>
      </c>
      <c r="Y261" s="49" t="s">
        <v>285</v>
      </c>
      <c r="Z261" s="214" t="s">
        <v>286</v>
      </c>
      <c r="AA261" s="216" t="s">
        <v>286</v>
      </c>
      <c r="AB261" s="214" t="s">
        <v>287</v>
      </c>
      <c r="AC261" s="214" t="s">
        <v>288</v>
      </c>
      <c r="AD261" s="49" t="s">
        <v>289</v>
      </c>
      <c r="AE261" s="58" t="s">
        <v>290</v>
      </c>
      <c r="AF261" s="56" t="s">
        <v>291</v>
      </c>
      <c r="AG261" s="214" t="s">
        <v>292</v>
      </c>
      <c r="AH261" s="214" t="s">
        <v>293</v>
      </c>
      <c r="AI261" s="219" t="s">
        <v>215</v>
      </c>
      <c r="AJ261" s="214" t="s">
        <v>216</v>
      </c>
      <c r="AK261" s="220" t="s">
        <v>217</v>
      </c>
      <c r="AL261" s="221" t="s">
        <v>218</v>
      </c>
      <c r="AM261" s="222" t="s">
        <v>219</v>
      </c>
      <c r="AN261" s="223" t="s">
        <v>220</v>
      </c>
      <c r="AO261" s="224" t="s">
        <v>221</v>
      </c>
      <c r="AP261" s="51" t="s">
        <v>138</v>
      </c>
      <c r="AQ261" s="225" t="s">
        <v>139</v>
      </c>
      <c r="AR261" s="220" t="s">
        <v>140</v>
      </c>
      <c r="AS261" s="22" t="s">
        <v>141</v>
      </c>
      <c r="AT261" s="221" t="s">
        <v>142</v>
      </c>
      <c r="AU261" s="226" t="s">
        <v>143</v>
      </c>
      <c r="AV261" s="227" t="s">
        <v>144</v>
      </c>
      <c r="AW261" s="228" t="s">
        <v>145</v>
      </c>
      <c r="AX261" s="229" t="s">
        <v>146</v>
      </c>
      <c r="AY261" s="213" t="s">
        <v>147</v>
      </c>
      <c r="AZ261" s="230" t="s">
        <v>567</v>
      </c>
      <c r="BA261" s="34" t="s">
        <v>320</v>
      </c>
      <c r="BB261" s="591" t="str">
        <f t="shared" ref="BB261:BB324" si="20">IF(E261="","",IF(ISNUMBER(SEARCH("Institutional theory and regulatory governance theory underpin",AI261)),"TEMPLATE",IF(LEN(AI261)&gt;100,"DEEP",IF(AI261="","SPARSE","SHALLOW"))))</f>
        <v>TEMPLATE</v>
      </c>
      <c r="BC261" s="591" t="str">
        <f t="shared" ref="BC261:BC324" si="21">IF(E261="","",D261&amp;"-"&amp;B261&amp;"-"&amp;E261)</f>
        <v>8. Energy &amp; Utilities-KACARE-NCA-ECC-2:2024</v>
      </c>
      <c r="BD261" s="591" t="str">
        <f t="shared" ref="BD261:BD324" si="22">IF(E261="","",SUBSTITUTE(SUBSTITUTE(B261&amp;"-"&amp;E261," ",""),":","-"))</f>
        <v>KACARE-NCA-ECC-2-2024</v>
      </c>
      <c r="BE261" s="591" t="str">
        <f t="shared" ref="BE261:BE324" si="23">IF(E261="","",IF(ISNUMBER(SEARCH("ECC",E261)),"NCA-ECC-2-2024",IF(ISNUMBER(SEARCH("OTCC",E261)),"NCA-ECC-2-2024",IF(ISNUMBER(SEARCH("CCC",E261)),"NCA-ECC-2-2024",IF(ISNUMBER(SEARCH("DCC",E261)),"NCA-ECC-2-2024",IF(ISNUMBER(SEARCH("CSCC",E261)),"NCA-ECC-2-2024",IF(ISNUMBER(SEARCH("PDPL-IR",E261)),"PDPL-2021",IF(ISNUMBER(SEARCH("PDPL-DTR",E261)),"PDPL-2021","NONE"))))))))</f>
        <v>NCA-ECC-2-2024</v>
      </c>
      <c r="BF261" s="594">
        <f t="shared" ref="BF261:BF324" si="24">IF(E261="","",IF(BB261="DEEP",10,IF(BB261="SHALLOW",5,IF(BB261="TEMPLATE",3,1)))+IF(N261="HIGHEST",5,IF(N261="HIGH",3,IF(N261="MODERATE",1,0)))+IF(ISNUMBER(SEARCH("Mandatory",L261)),3,0))</f>
        <v>6</v>
      </c>
    </row>
    <row r="262" spans="1:58" ht="42" customHeight="1" x14ac:dyDescent="0.45">
      <c r="A262" s="212">
        <v>235</v>
      </c>
      <c r="B262" s="213" t="s">
        <v>1971</v>
      </c>
      <c r="C262" s="214" t="s">
        <v>1972</v>
      </c>
      <c r="D262" s="214" t="s">
        <v>1962</v>
      </c>
      <c r="E262" s="213" t="s">
        <v>1973</v>
      </c>
      <c r="F262" s="215" t="s">
        <v>1974</v>
      </c>
      <c r="G262" s="214" t="s">
        <v>1898</v>
      </c>
      <c r="H262" s="214" t="s">
        <v>1746</v>
      </c>
      <c r="I262" s="216" t="s">
        <v>1899</v>
      </c>
      <c r="J262" s="216" t="s">
        <v>310</v>
      </c>
      <c r="K262" s="214" t="s">
        <v>63</v>
      </c>
      <c r="L262" s="22" t="s">
        <v>64</v>
      </c>
      <c r="M262" s="214" t="s">
        <v>1900</v>
      </c>
      <c r="N262" s="217" t="s">
        <v>253</v>
      </c>
      <c r="O262" s="218" t="s">
        <v>1901</v>
      </c>
      <c r="P262" s="214" t="s">
        <v>1902</v>
      </c>
      <c r="Q262" s="214" t="s">
        <v>562</v>
      </c>
      <c r="R262" s="214" t="s">
        <v>563</v>
      </c>
      <c r="S262" s="216" t="s">
        <v>564</v>
      </c>
      <c r="T262" s="214" t="s">
        <v>565</v>
      </c>
      <c r="U262" s="25" t="s">
        <v>566</v>
      </c>
      <c r="V262" s="214" t="s">
        <v>282</v>
      </c>
      <c r="W262" s="215" t="s">
        <v>283</v>
      </c>
      <c r="X262" s="214" t="s">
        <v>284</v>
      </c>
      <c r="Y262" s="49" t="s">
        <v>285</v>
      </c>
      <c r="Z262" s="214" t="s">
        <v>286</v>
      </c>
      <c r="AA262" s="216" t="s">
        <v>286</v>
      </c>
      <c r="AB262" s="214" t="s">
        <v>287</v>
      </c>
      <c r="AC262" s="214" t="s">
        <v>288</v>
      </c>
      <c r="AD262" s="49" t="s">
        <v>289</v>
      </c>
      <c r="AE262" s="58" t="s">
        <v>290</v>
      </c>
      <c r="AF262" s="56" t="s">
        <v>291</v>
      </c>
      <c r="AG262" s="214" t="s">
        <v>292</v>
      </c>
      <c r="AH262" s="214" t="s">
        <v>293</v>
      </c>
      <c r="AI262" s="219" t="s">
        <v>215</v>
      </c>
      <c r="AJ262" s="214" t="s">
        <v>216</v>
      </c>
      <c r="AK262" s="220" t="s">
        <v>217</v>
      </c>
      <c r="AL262" s="221" t="s">
        <v>218</v>
      </c>
      <c r="AM262" s="222" t="s">
        <v>219</v>
      </c>
      <c r="AN262" s="223" t="s">
        <v>220</v>
      </c>
      <c r="AO262" s="224" t="s">
        <v>221</v>
      </c>
      <c r="AP262" s="51" t="s">
        <v>138</v>
      </c>
      <c r="AQ262" s="225" t="s">
        <v>139</v>
      </c>
      <c r="AR262" s="220" t="s">
        <v>140</v>
      </c>
      <c r="AS262" s="22" t="s">
        <v>141</v>
      </c>
      <c r="AT262" s="221" t="s">
        <v>142</v>
      </c>
      <c r="AU262" s="226" t="s">
        <v>143</v>
      </c>
      <c r="AV262" s="227" t="s">
        <v>144</v>
      </c>
      <c r="AW262" s="228" t="s">
        <v>145</v>
      </c>
      <c r="AX262" s="229" t="s">
        <v>146</v>
      </c>
      <c r="AY262" s="213" t="s">
        <v>147</v>
      </c>
      <c r="AZ262" s="230" t="s">
        <v>104</v>
      </c>
      <c r="BA262" s="41" t="s">
        <v>105</v>
      </c>
      <c r="BB262" s="591" t="str">
        <f t="shared" si="20"/>
        <v>TEMPLATE</v>
      </c>
      <c r="BC262" s="591" t="str">
        <f t="shared" si="21"/>
        <v>8. Energy &amp; Utilities-SWCC-SWCC-FW</v>
      </c>
      <c r="BD262" s="591" t="str">
        <f t="shared" si="22"/>
        <v>SWCC-SWCC-FW</v>
      </c>
      <c r="BE262" s="591" t="str">
        <f t="shared" si="23"/>
        <v>NONE</v>
      </c>
      <c r="BF262" s="594">
        <f t="shared" si="24"/>
        <v>7</v>
      </c>
    </row>
    <row r="263" spans="1:58" ht="42" customHeight="1" x14ac:dyDescent="0.45">
      <c r="A263" s="42">
        <v>236</v>
      </c>
      <c r="B263" s="231" t="s">
        <v>1971</v>
      </c>
      <c r="C263" s="44" t="s">
        <v>1972</v>
      </c>
      <c r="D263" s="44" t="s">
        <v>1962</v>
      </c>
      <c r="E263" s="231" t="s">
        <v>557</v>
      </c>
      <c r="F263" s="45" t="s">
        <v>58</v>
      </c>
      <c r="G263" s="44" t="s">
        <v>59</v>
      </c>
      <c r="H263" s="44" t="s">
        <v>57</v>
      </c>
      <c r="I263" s="46" t="s">
        <v>61</v>
      </c>
      <c r="J263" s="46" t="s">
        <v>62</v>
      </c>
      <c r="K263" s="44" t="s">
        <v>558</v>
      </c>
      <c r="L263" s="66" t="s">
        <v>559</v>
      </c>
      <c r="M263" s="44" t="s">
        <v>1975</v>
      </c>
      <c r="N263" s="59" t="s">
        <v>275</v>
      </c>
      <c r="O263" s="48" t="s">
        <v>196</v>
      </c>
      <c r="P263" s="44" t="s">
        <v>561</v>
      </c>
      <c r="Q263" s="214" t="s">
        <v>562</v>
      </c>
      <c r="R263" s="214" t="s">
        <v>563</v>
      </c>
      <c r="S263" s="216" t="s">
        <v>564</v>
      </c>
      <c r="T263" s="214" t="s">
        <v>565</v>
      </c>
      <c r="U263" s="25" t="s">
        <v>566</v>
      </c>
      <c r="V263" s="214" t="s">
        <v>282</v>
      </c>
      <c r="W263" s="215" t="s">
        <v>283</v>
      </c>
      <c r="X263" s="214" t="s">
        <v>284</v>
      </c>
      <c r="Y263" s="49" t="s">
        <v>285</v>
      </c>
      <c r="Z263" s="214" t="s">
        <v>286</v>
      </c>
      <c r="AA263" s="216" t="s">
        <v>286</v>
      </c>
      <c r="AB263" s="214" t="s">
        <v>287</v>
      </c>
      <c r="AC263" s="214" t="s">
        <v>288</v>
      </c>
      <c r="AD263" s="49" t="s">
        <v>289</v>
      </c>
      <c r="AE263" s="58" t="s">
        <v>290</v>
      </c>
      <c r="AF263" s="56" t="s">
        <v>291</v>
      </c>
      <c r="AG263" s="214" t="s">
        <v>292</v>
      </c>
      <c r="AH263" s="214" t="s">
        <v>293</v>
      </c>
      <c r="AI263" s="219" t="s">
        <v>215</v>
      </c>
      <c r="AJ263" s="214" t="s">
        <v>216</v>
      </c>
      <c r="AK263" s="220" t="s">
        <v>217</v>
      </c>
      <c r="AL263" s="221" t="s">
        <v>218</v>
      </c>
      <c r="AM263" s="222" t="s">
        <v>219</v>
      </c>
      <c r="AN263" s="223" t="s">
        <v>220</v>
      </c>
      <c r="AO263" s="224" t="s">
        <v>221</v>
      </c>
      <c r="AP263" s="51" t="s">
        <v>138</v>
      </c>
      <c r="AQ263" s="225" t="s">
        <v>139</v>
      </c>
      <c r="AR263" s="220" t="s">
        <v>140</v>
      </c>
      <c r="AS263" s="22" t="s">
        <v>141</v>
      </c>
      <c r="AT263" s="221" t="s">
        <v>142</v>
      </c>
      <c r="AU263" s="226" t="s">
        <v>143</v>
      </c>
      <c r="AV263" s="227" t="s">
        <v>144</v>
      </c>
      <c r="AW263" s="228" t="s">
        <v>145</v>
      </c>
      <c r="AX263" s="229" t="s">
        <v>146</v>
      </c>
      <c r="AY263" s="213" t="s">
        <v>147</v>
      </c>
      <c r="AZ263" s="230" t="s">
        <v>567</v>
      </c>
      <c r="BA263" s="34" t="s">
        <v>320</v>
      </c>
      <c r="BB263" s="591" t="str">
        <f t="shared" si="20"/>
        <v>TEMPLATE</v>
      </c>
      <c r="BC263" s="591" t="str">
        <f t="shared" si="21"/>
        <v>8. Energy &amp; Utilities-SWCC-NCA-ECC-2:2024</v>
      </c>
      <c r="BD263" s="591" t="str">
        <f t="shared" si="22"/>
        <v>SWCC-NCA-ECC-2-2024</v>
      </c>
      <c r="BE263" s="591" t="str">
        <f t="shared" si="23"/>
        <v>NCA-ECC-2-2024</v>
      </c>
      <c r="BF263" s="594">
        <f t="shared" si="24"/>
        <v>6</v>
      </c>
    </row>
    <row r="264" spans="1:58" ht="42" customHeight="1" x14ac:dyDescent="0.45">
      <c r="A264" s="212">
        <v>237</v>
      </c>
      <c r="B264" s="213" t="s">
        <v>1976</v>
      </c>
      <c r="C264" s="214" t="s">
        <v>1977</v>
      </c>
      <c r="D264" s="214" t="s">
        <v>1962</v>
      </c>
      <c r="E264" s="213" t="s">
        <v>1978</v>
      </c>
      <c r="F264" s="215" t="s">
        <v>1979</v>
      </c>
      <c r="G264" s="214" t="s">
        <v>1898</v>
      </c>
      <c r="H264" s="214" t="s">
        <v>1746</v>
      </c>
      <c r="I264" s="216" t="s">
        <v>924</v>
      </c>
      <c r="J264" s="216" t="s">
        <v>310</v>
      </c>
      <c r="K264" s="214" t="s">
        <v>63</v>
      </c>
      <c r="L264" s="22" t="s">
        <v>64</v>
      </c>
      <c r="M264" s="214" t="s">
        <v>1900</v>
      </c>
      <c r="N264" s="217" t="s">
        <v>253</v>
      </c>
      <c r="O264" s="218" t="s">
        <v>1901</v>
      </c>
      <c r="P264" s="214" t="s">
        <v>1902</v>
      </c>
      <c r="Q264" s="214" t="s">
        <v>562</v>
      </c>
      <c r="R264" s="214" t="s">
        <v>563</v>
      </c>
      <c r="S264" s="216" t="s">
        <v>564</v>
      </c>
      <c r="T264" s="214" t="s">
        <v>565</v>
      </c>
      <c r="U264" s="25" t="s">
        <v>566</v>
      </c>
      <c r="V264" s="214" t="s">
        <v>282</v>
      </c>
      <c r="W264" s="215" t="s">
        <v>283</v>
      </c>
      <c r="X264" s="214" t="s">
        <v>284</v>
      </c>
      <c r="Y264" s="49" t="s">
        <v>285</v>
      </c>
      <c r="Z264" s="214" t="s">
        <v>286</v>
      </c>
      <c r="AA264" s="216" t="s">
        <v>286</v>
      </c>
      <c r="AB264" s="214" t="s">
        <v>287</v>
      </c>
      <c r="AC264" s="214" t="s">
        <v>288</v>
      </c>
      <c r="AD264" s="49" t="s">
        <v>289</v>
      </c>
      <c r="AE264" s="58" t="s">
        <v>290</v>
      </c>
      <c r="AF264" s="56" t="s">
        <v>291</v>
      </c>
      <c r="AG264" s="214" t="s">
        <v>292</v>
      </c>
      <c r="AH264" s="214" t="s">
        <v>293</v>
      </c>
      <c r="AI264" s="219" t="s">
        <v>215</v>
      </c>
      <c r="AJ264" s="214" t="s">
        <v>216</v>
      </c>
      <c r="AK264" s="220" t="s">
        <v>217</v>
      </c>
      <c r="AL264" s="221" t="s">
        <v>218</v>
      </c>
      <c r="AM264" s="222" t="s">
        <v>219</v>
      </c>
      <c r="AN264" s="223" t="s">
        <v>220</v>
      </c>
      <c r="AO264" s="224" t="s">
        <v>221</v>
      </c>
      <c r="AP264" s="51" t="s">
        <v>138</v>
      </c>
      <c r="AQ264" s="225" t="s">
        <v>139</v>
      </c>
      <c r="AR264" s="220" t="s">
        <v>140</v>
      </c>
      <c r="AS264" s="22" t="s">
        <v>141</v>
      </c>
      <c r="AT264" s="221" t="s">
        <v>142</v>
      </c>
      <c r="AU264" s="226" t="s">
        <v>143</v>
      </c>
      <c r="AV264" s="227" t="s">
        <v>144</v>
      </c>
      <c r="AW264" s="228" t="s">
        <v>145</v>
      </c>
      <c r="AX264" s="229" t="s">
        <v>146</v>
      </c>
      <c r="AY264" s="213" t="s">
        <v>147</v>
      </c>
      <c r="AZ264" s="230" t="s">
        <v>104</v>
      </c>
      <c r="BA264" s="41" t="s">
        <v>105</v>
      </c>
      <c r="BB264" s="591" t="str">
        <f t="shared" si="20"/>
        <v>TEMPLATE</v>
      </c>
      <c r="BC264" s="591" t="str">
        <f t="shared" si="21"/>
        <v>8. Energy &amp; Utilities-NWC-NWC-FW</v>
      </c>
      <c r="BD264" s="591" t="str">
        <f t="shared" si="22"/>
        <v>NWC-NWC-FW</v>
      </c>
      <c r="BE264" s="591" t="str">
        <f t="shared" si="23"/>
        <v>NONE</v>
      </c>
      <c r="BF264" s="594">
        <f t="shared" si="24"/>
        <v>7</v>
      </c>
    </row>
    <row r="265" spans="1:58" ht="42" customHeight="1" x14ac:dyDescent="0.45">
      <c r="A265" s="42">
        <v>238</v>
      </c>
      <c r="B265" s="231" t="s">
        <v>1976</v>
      </c>
      <c r="C265" s="44" t="s">
        <v>1977</v>
      </c>
      <c r="D265" s="44" t="s">
        <v>1962</v>
      </c>
      <c r="E265" s="231" t="s">
        <v>557</v>
      </c>
      <c r="F265" s="45" t="s">
        <v>58</v>
      </c>
      <c r="G265" s="44" t="s">
        <v>59</v>
      </c>
      <c r="H265" s="44" t="s">
        <v>57</v>
      </c>
      <c r="I265" s="46" t="s">
        <v>61</v>
      </c>
      <c r="J265" s="46" t="s">
        <v>62</v>
      </c>
      <c r="K265" s="44" t="s">
        <v>558</v>
      </c>
      <c r="L265" s="66" t="s">
        <v>559</v>
      </c>
      <c r="M265" s="44" t="s">
        <v>1980</v>
      </c>
      <c r="N265" s="59" t="s">
        <v>275</v>
      </c>
      <c r="O265" s="48" t="s">
        <v>196</v>
      </c>
      <c r="P265" s="44" t="s">
        <v>561</v>
      </c>
      <c r="Q265" s="214" t="s">
        <v>562</v>
      </c>
      <c r="R265" s="214" t="s">
        <v>563</v>
      </c>
      <c r="S265" s="216" t="s">
        <v>564</v>
      </c>
      <c r="T265" s="214" t="s">
        <v>565</v>
      </c>
      <c r="U265" s="25" t="s">
        <v>566</v>
      </c>
      <c r="V265" s="214" t="s">
        <v>282</v>
      </c>
      <c r="W265" s="215" t="s">
        <v>283</v>
      </c>
      <c r="X265" s="214" t="s">
        <v>284</v>
      </c>
      <c r="Y265" s="49" t="s">
        <v>285</v>
      </c>
      <c r="Z265" s="214" t="s">
        <v>286</v>
      </c>
      <c r="AA265" s="216" t="s">
        <v>286</v>
      </c>
      <c r="AB265" s="214" t="s">
        <v>287</v>
      </c>
      <c r="AC265" s="214" t="s">
        <v>288</v>
      </c>
      <c r="AD265" s="49" t="s">
        <v>289</v>
      </c>
      <c r="AE265" s="58" t="s">
        <v>290</v>
      </c>
      <c r="AF265" s="56" t="s">
        <v>291</v>
      </c>
      <c r="AG265" s="214" t="s">
        <v>292</v>
      </c>
      <c r="AH265" s="214" t="s">
        <v>293</v>
      </c>
      <c r="AI265" s="219" t="s">
        <v>215</v>
      </c>
      <c r="AJ265" s="214" t="s">
        <v>216</v>
      </c>
      <c r="AK265" s="220" t="s">
        <v>217</v>
      </c>
      <c r="AL265" s="221" t="s">
        <v>218</v>
      </c>
      <c r="AM265" s="222" t="s">
        <v>219</v>
      </c>
      <c r="AN265" s="223" t="s">
        <v>220</v>
      </c>
      <c r="AO265" s="224" t="s">
        <v>221</v>
      </c>
      <c r="AP265" s="51" t="s">
        <v>138</v>
      </c>
      <c r="AQ265" s="225" t="s">
        <v>139</v>
      </c>
      <c r="AR265" s="220" t="s">
        <v>140</v>
      </c>
      <c r="AS265" s="22" t="s">
        <v>141</v>
      </c>
      <c r="AT265" s="221" t="s">
        <v>142</v>
      </c>
      <c r="AU265" s="226" t="s">
        <v>143</v>
      </c>
      <c r="AV265" s="227" t="s">
        <v>144</v>
      </c>
      <c r="AW265" s="228" t="s">
        <v>145</v>
      </c>
      <c r="AX265" s="229" t="s">
        <v>146</v>
      </c>
      <c r="AY265" s="213" t="s">
        <v>147</v>
      </c>
      <c r="AZ265" s="230" t="s">
        <v>567</v>
      </c>
      <c r="BA265" s="34" t="s">
        <v>320</v>
      </c>
      <c r="BB265" s="591" t="str">
        <f t="shared" si="20"/>
        <v>TEMPLATE</v>
      </c>
      <c r="BC265" s="591" t="str">
        <f t="shared" si="21"/>
        <v>8. Energy &amp; Utilities-NWC-NCA-ECC-2:2024</v>
      </c>
      <c r="BD265" s="591" t="str">
        <f t="shared" si="22"/>
        <v>NWC-NCA-ECC-2-2024</v>
      </c>
      <c r="BE265" s="591" t="str">
        <f t="shared" si="23"/>
        <v>NCA-ECC-2-2024</v>
      </c>
      <c r="BF265" s="594">
        <f t="shared" si="24"/>
        <v>6</v>
      </c>
    </row>
    <row r="266" spans="1:58" x14ac:dyDescent="0.45">
      <c r="BB266" s="591" t="str">
        <f t="shared" si="20"/>
        <v/>
      </c>
      <c r="BC266" s="591" t="str">
        <f t="shared" si="21"/>
        <v/>
      </c>
      <c r="BD266" s="591" t="str">
        <f t="shared" si="22"/>
        <v/>
      </c>
      <c r="BE266" s="591" t="str">
        <f t="shared" si="23"/>
        <v/>
      </c>
      <c r="BF266" s="594" t="str">
        <f t="shared" si="24"/>
        <v/>
      </c>
    </row>
    <row r="267" spans="1:58" ht="19.5" customHeight="1" x14ac:dyDescent="0.45">
      <c r="A267" s="232"/>
      <c r="B267" s="233" t="s">
        <v>1981</v>
      </c>
      <c r="C267" s="232"/>
      <c r="D267" s="232"/>
      <c r="E267" s="232"/>
      <c r="F267" s="232"/>
      <c r="G267" s="232"/>
      <c r="H267" s="232"/>
      <c r="I267" s="232"/>
      <c r="J267" s="232"/>
      <c r="K267" s="232"/>
      <c r="L267" s="232"/>
      <c r="M267" s="232"/>
      <c r="N267" s="232"/>
      <c r="O267" s="232"/>
      <c r="P267" s="232"/>
      <c r="BB267" s="591" t="str">
        <f t="shared" si="20"/>
        <v/>
      </c>
      <c r="BC267" s="591" t="str">
        <f t="shared" si="21"/>
        <v/>
      </c>
      <c r="BD267" s="591" t="str">
        <f t="shared" si="22"/>
        <v/>
      </c>
      <c r="BE267" s="591" t="str">
        <f t="shared" si="23"/>
        <v/>
      </c>
      <c r="BF267" s="594" t="str">
        <f t="shared" si="24"/>
        <v/>
      </c>
    </row>
    <row r="268" spans="1:58" ht="42" customHeight="1" x14ac:dyDescent="0.45">
      <c r="A268" s="234">
        <v>239</v>
      </c>
      <c r="B268" s="235" t="s">
        <v>1982</v>
      </c>
      <c r="C268" s="236" t="s">
        <v>1983</v>
      </c>
      <c r="D268" s="236" t="s">
        <v>1984</v>
      </c>
      <c r="E268" s="235" t="s">
        <v>1985</v>
      </c>
      <c r="F268" s="237" t="s">
        <v>1986</v>
      </c>
      <c r="G268" s="236" t="s">
        <v>1898</v>
      </c>
      <c r="H268" s="236" t="s">
        <v>1746</v>
      </c>
      <c r="I268" s="238" t="s">
        <v>61</v>
      </c>
      <c r="J268" s="238" t="s">
        <v>310</v>
      </c>
      <c r="K268" s="236" t="s">
        <v>63</v>
      </c>
      <c r="L268" s="22" t="s">
        <v>64</v>
      </c>
      <c r="M268" s="236" t="s">
        <v>1900</v>
      </c>
      <c r="N268" s="239" t="s">
        <v>253</v>
      </c>
      <c r="O268" s="240" t="s">
        <v>1901</v>
      </c>
      <c r="P268" s="236" t="s">
        <v>1902</v>
      </c>
      <c r="Q268" s="236" t="s">
        <v>562</v>
      </c>
      <c r="R268" s="236" t="s">
        <v>563</v>
      </c>
      <c r="S268" s="238" t="s">
        <v>564</v>
      </c>
      <c r="T268" s="236" t="s">
        <v>565</v>
      </c>
      <c r="U268" s="25" t="s">
        <v>566</v>
      </c>
      <c r="V268" s="236" t="s">
        <v>282</v>
      </c>
      <c r="W268" s="237" t="s">
        <v>283</v>
      </c>
      <c r="X268" s="236" t="s">
        <v>284</v>
      </c>
      <c r="Y268" s="49" t="s">
        <v>285</v>
      </c>
      <c r="Z268" s="236" t="s">
        <v>286</v>
      </c>
      <c r="AA268" s="238" t="s">
        <v>286</v>
      </c>
      <c r="AB268" s="236" t="s">
        <v>287</v>
      </c>
      <c r="AC268" s="236" t="s">
        <v>288</v>
      </c>
      <c r="AD268" s="49" t="s">
        <v>289</v>
      </c>
      <c r="AE268" s="58" t="s">
        <v>290</v>
      </c>
      <c r="AF268" s="56" t="s">
        <v>291</v>
      </c>
      <c r="AG268" s="236" t="s">
        <v>292</v>
      </c>
      <c r="AH268" s="236" t="s">
        <v>293</v>
      </c>
      <c r="AI268" s="241" t="s">
        <v>215</v>
      </c>
      <c r="AJ268" s="236" t="s">
        <v>216</v>
      </c>
      <c r="AK268" s="242" t="s">
        <v>217</v>
      </c>
      <c r="AL268" s="243" t="s">
        <v>218</v>
      </c>
      <c r="AM268" s="244" t="s">
        <v>219</v>
      </c>
      <c r="AN268" s="245" t="s">
        <v>220</v>
      </c>
      <c r="AO268" s="246" t="s">
        <v>221</v>
      </c>
      <c r="AP268" s="51" t="s">
        <v>138</v>
      </c>
      <c r="AQ268" s="247" t="s">
        <v>139</v>
      </c>
      <c r="AR268" s="242" t="s">
        <v>140</v>
      </c>
      <c r="AS268" s="22" t="s">
        <v>141</v>
      </c>
      <c r="AT268" s="243" t="s">
        <v>142</v>
      </c>
      <c r="AU268" s="248" t="s">
        <v>143</v>
      </c>
      <c r="AV268" s="249" t="s">
        <v>144</v>
      </c>
      <c r="AW268" s="250" t="s">
        <v>145</v>
      </c>
      <c r="AX268" s="251" t="s">
        <v>146</v>
      </c>
      <c r="AY268" s="252" t="s">
        <v>147</v>
      </c>
      <c r="AZ268" s="253" t="s">
        <v>104</v>
      </c>
      <c r="BA268" s="41" t="s">
        <v>105</v>
      </c>
      <c r="BB268" s="591" t="str">
        <f t="shared" si="20"/>
        <v>TEMPLATE</v>
      </c>
      <c r="BC268" s="591" t="str">
        <f t="shared" si="21"/>
        <v>9. Environment-NCEC-NCEC-FW</v>
      </c>
      <c r="BD268" s="591" t="str">
        <f t="shared" si="22"/>
        <v>NCEC-NCEC-FW</v>
      </c>
      <c r="BE268" s="591" t="str">
        <f t="shared" si="23"/>
        <v>NONE</v>
      </c>
      <c r="BF268" s="594">
        <f t="shared" si="24"/>
        <v>7</v>
      </c>
    </row>
    <row r="269" spans="1:58" ht="42" customHeight="1" x14ac:dyDescent="0.45">
      <c r="A269" s="42">
        <v>240</v>
      </c>
      <c r="B269" s="254" t="s">
        <v>1982</v>
      </c>
      <c r="C269" s="44" t="s">
        <v>1983</v>
      </c>
      <c r="D269" s="44" t="s">
        <v>1984</v>
      </c>
      <c r="E269" s="254" t="s">
        <v>557</v>
      </c>
      <c r="F269" s="45" t="s">
        <v>58</v>
      </c>
      <c r="G269" s="44" t="s">
        <v>59</v>
      </c>
      <c r="H269" s="44" t="s">
        <v>57</v>
      </c>
      <c r="I269" s="46" t="s">
        <v>61</v>
      </c>
      <c r="J269" s="46" t="s">
        <v>62</v>
      </c>
      <c r="K269" s="44" t="s">
        <v>558</v>
      </c>
      <c r="L269" s="66" t="s">
        <v>559</v>
      </c>
      <c r="M269" s="44" t="s">
        <v>1987</v>
      </c>
      <c r="N269" s="59" t="s">
        <v>275</v>
      </c>
      <c r="O269" s="48" t="s">
        <v>196</v>
      </c>
      <c r="P269" s="44" t="s">
        <v>561</v>
      </c>
      <c r="Q269" s="236" t="s">
        <v>562</v>
      </c>
      <c r="R269" s="236" t="s">
        <v>563</v>
      </c>
      <c r="S269" s="238" t="s">
        <v>564</v>
      </c>
      <c r="T269" s="236" t="s">
        <v>565</v>
      </c>
      <c r="U269" s="25" t="s">
        <v>566</v>
      </c>
      <c r="V269" s="236" t="s">
        <v>282</v>
      </c>
      <c r="W269" s="237" t="s">
        <v>283</v>
      </c>
      <c r="X269" s="236" t="s">
        <v>284</v>
      </c>
      <c r="Y269" s="49" t="s">
        <v>285</v>
      </c>
      <c r="Z269" s="236" t="s">
        <v>286</v>
      </c>
      <c r="AA269" s="238" t="s">
        <v>286</v>
      </c>
      <c r="AB269" s="236" t="s">
        <v>287</v>
      </c>
      <c r="AC269" s="236" t="s">
        <v>288</v>
      </c>
      <c r="AD269" s="49" t="s">
        <v>289</v>
      </c>
      <c r="AE269" s="58" t="s">
        <v>290</v>
      </c>
      <c r="AF269" s="56" t="s">
        <v>291</v>
      </c>
      <c r="AG269" s="236" t="s">
        <v>292</v>
      </c>
      <c r="AH269" s="236" t="s">
        <v>293</v>
      </c>
      <c r="AI269" s="241" t="s">
        <v>215</v>
      </c>
      <c r="AJ269" s="236" t="s">
        <v>216</v>
      </c>
      <c r="AK269" s="242" t="s">
        <v>217</v>
      </c>
      <c r="AL269" s="243" t="s">
        <v>218</v>
      </c>
      <c r="AM269" s="244" t="s">
        <v>219</v>
      </c>
      <c r="AN269" s="245" t="s">
        <v>220</v>
      </c>
      <c r="AO269" s="246" t="s">
        <v>221</v>
      </c>
      <c r="AP269" s="51" t="s">
        <v>138</v>
      </c>
      <c r="AQ269" s="247" t="s">
        <v>139</v>
      </c>
      <c r="AR269" s="242" t="s">
        <v>140</v>
      </c>
      <c r="AS269" s="22" t="s">
        <v>141</v>
      </c>
      <c r="AT269" s="243" t="s">
        <v>142</v>
      </c>
      <c r="AU269" s="248" t="s">
        <v>143</v>
      </c>
      <c r="AV269" s="249" t="s">
        <v>144</v>
      </c>
      <c r="AW269" s="250" t="s">
        <v>145</v>
      </c>
      <c r="AX269" s="251" t="s">
        <v>146</v>
      </c>
      <c r="AY269" s="252" t="s">
        <v>147</v>
      </c>
      <c r="AZ269" s="253" t="s">
        <v>567</v>
      </c>
      <c r="BA269" s="34" t="s">
        <v>320</v>
      </c>
      <c r="BB269" s="591" t="str">
        <f t="shared" si="20"/>
        <v>TEMPLATE</v>
      </c>
      <c r="BC269" s="591" t="str">
        <f t="shared" si="21"/>
        <v>9. Environment-NCEC-NCA-ECC-2:2024</v>
      </c>
      <c r="BD269" s="591" t="str">
        <f t="shared" si="22"/>
        <v>NCEC-NCA-ECC-2-2024</v>
      </c>
      <c r="BE269" s="591" t="str">
        <f t="shared" si="23"/>
        <v>NCA-ECC-2-2024</v>
      </c>
      <c r="BF269" s="594">
        <f t="shared" si="24"/>
        <v>6</v>
      </c>
    </row>
    <row r="270" spans="1:58" x14ac:dyDescent="0.45">
      <c r="BB270" s="591" t="str">
        <f t="shared" si="20"/>
        <v/>
      </c>
      <c r="BC270" s="591" t="str">
        <f t="shared" si="21"/>
        <v/>
      </c>
      <c r="BD270" s="591" t="str">
        <f t="shared" si="22"/>
        <v/>
      </c>
      <c r="BE270" s="591" t="str">
        <f t="shared" si="23"/>
        <v/>
      </c>
      <c r="BF270" s="594" t="str">
        <f t="shared" si="24"/>
        <v/>
      </c>
    </row>
    <row r="271" spans="1:58" ht="19.5" customHeight="1" x14ac:dyDescent="0.45">
      <c r="A271" s="255"/>
      <c r="B271" s="256" t="s">
        <v>1988</v>
      </c>
      <c r="C271" s="255"/>
      <c r="D271" s="255"/>
      <c r="E271" s="255"/>
      <c r="F271" s="255"/>
      <c r="G271" s="255"/>
      <c r="H271" s="255"/>
      <c r="I271" s="255"/>
      <c r="J271" s="255"/>
      <c r="K271" s="255"/>
      <c r="L271" s="255"/>
      <c r="M271" s="255"/>
      <c r="N271" s="255"/>
      <c r="O271" s="255"/>
      <c r="P271" s="255"/>
      <c r="BB271" s="591" t="str">
        <f t="shared" si="20"/>
        <v/>
      </c>
      <c r="BC271" s="591" t="str">
        <f t="shared" si="21"/>
        <v/>
      </c>
      <c r="BD271" s="591" t="str">
        <f t="shared" si="22"/>
        <v/>
      </c>
      <c r="BE271" s="591" t="str">
        <f t="shared" si="23"/>
        <v/>
      </c>
      <c r="BF271" s="594" t="str">
        <f t="shared" si="24"/>
        <v/>
      </c>
    </row>
    <row r="272" spans="1:58" ht="42" customHeight="1" x14ac:dyDescent="0.45">
      <c r="A272" s="257">
        <v>241</v>
      </c>
      <c r="B272" s="258" t="s">
        <v>1989</v>
      </c>
      <c r="C272" s="259" t="s">
        <v>1990</v>
      </c>
      <c r="D272" s="259" t="s">
        <v>1991</v>
      </c>
      <c r="E272" s="258" t="s">
        <v>1992</v>
      </c>
      <c r="F272" s="260" t="s">
        <v>1993</v>
      </c>
      <c r="G272" s="259" t="s">
        <v>1898</v>
      </c>
      <c r="H272" s="259" t="s">
        <v>1746</v>
      </c>
      <c r="I272" s="261" t="s">
        <v>1994</v>
      </c>
      <c r="J272" s="261" t="s">
        <v>310</v>
      </c>
      <c r="K272" s="259" t="s">
        <v>63</v>
      </c>
      <c r="L272" s="22" t="s">
        <v>64</v>
      </c>
      <c r="M272" s="259" t="s">
        <v>1900</v>
      </c>
      <c r="N272" s="262" t="s">
        <v>253</v>
      </c>
      <c r="O272" s="263" t="s">
        <v>1901</v>
      </c>
      <c r="P272" s="259" t="s">
        <v>1902</v>
      </c>
      <c r="Q272" s="259" t="s">
        <v>562</v>
      </c>
      <c r="R272" s="259" t="s">
        <v>563</v>
      </c>
      <c r="S272" s="261" t="s">
        <v>564</v>
      </c>
      <c r="T272" s="259" t="s">
        <v>565</v>
      </c>
      <c r="U272" s="25" t="s">
        <v>566</v>
      </c>
      <c r="V272" s="259" t="s">
        <v>282</v>
      </c>
      <c r="W272" s="260" t="s">
        <v>283</v>
      </c>
      <c r="X272" s="259" t="s">
        <v>284</v>
      </c>
      <c r="Y272" s="49" t="s">
        <v>285</v>
      </c>
      <c r="Z272" s="259" t="s">
        <v>286</v>
      </c>
      <c r="AA272" s="261" t="s">
        <v>286</v>
      </c>
      <c r="AB272" s="259" t="s">
        <v>287</v>
      </c>
      <c r="AC272" s="259" t="s">
        <v>288</v>
      </c>
      <c r="AD272" s="49" t="s">
        <v>289</v>
      </c>
      <c r="AE272" s="58" t="s">
        <v>290</v>
      </c>
      <c r="AF272" s="56" t="s">
        <v>291</v>
      </c>
      <c r="AG272" s="259" t="s">
        <v>292</v>
      </c>
      <c r="AH272" s="259" t="s">
        <v>293</v>
      </c>
      <c r="AI272" s="264" t="s">
        <v>215</v>
      </c>
      <c r="AJ272" s="259" t="s">
        <v>216</v>
      </c>
      <c r="AK272" s="265" t="s">
        <v>217</v>
      </c>
      <c r="AL272" s="266" t="s">
        <v>218</v>
      </c>
      <c r="AM272" s="267" t="s">
        <v>219</v>
      </c>
      <c r="AN272" s="268" t="s">
        <v>220</v>
      </c>
      <c r="AO272" s="269" t="s">
        <v>221</v>
      </c>
      <c r="AP272" s="51" t="s">
        <v>138</v>
      </c>
      <c r="AQ272" s="270" t="s">
        <v>139</v>
      </c>
      <c r="AR272" s="265" t="s">
        <v>140</v>
      </c>
      <c r="AS272" s="22" t="s">
        <v>141</v>
      </c>
      <c r="AT272" s="266" t="s">
        <v>142</v>
      </c>
      <c r="AU272" s="271" t="s">
        <v>143</v>
      </c>
      <c r="AV272" s="272" t="s">
        <v>144</v>
      </c>
      <c r="AW272" s="273" t="s">
        <v>145</v>
      </c>
      <c r="AX272" s="274" t="s">
        <v>146</v>
      </c>
      <c r="AY272" s="275" t="s">
        <v>147</v>
      </c>
      <c r="AZ272" s="272" t="s">
        <v>104</v>
      </c>
      <c r="BA272" s="41" t="s">
        <v>105</v>
      </c>
      <c r="BB272" s="591" t="str">
        <f t="shared" si="20"/>
        <v>TEMPLATE</v>
      </c>
      <c r="BC272" s="591" t="str">
        <f t="shared" si="21"/>
        <v>10. Transport &amp; Logistics-GACA-GACA-FW</v>
      </c>
      <c r="BD272" s="591" t="str">
        <f t="shared" si="22"/>
        <v>GACA-GACA-FW</v>
      </c>
      <c r="BE272" s="591" t="str">
        <f t="shared" si="23"/>
        <v>NONE</v>
      </c>
      <c r="BF272" s="594">
        <f t="shared" si="24"/>
        <v>7</v>
      </c>
    </row>
    <row r="273" spans="1:58" ht="42" customHeight="1" x14ac:dyDescent="0.45">
      <c r="A273" s="42">
        <v>242</v>
      </c>
      <c r="B273" s="276" t="s">
        <v>1989</v>
      </c>
      <c r="C273" s="44" t="s">
        <v>1990</v>
      </c>
      <c r="D273" s="44" t="s">
        <v>1991</v>
      </c>
      <c r="E273" s="276" t="s">
        <v>557</v>
      </c>
      <c r="F273" s="45" t="s">
        <v>58</v>
      </c>
      <c r="G273" s="44" t="s">
        <v>59</v>
      </c>
      <c r="H273" s="44" t="s">
        <v>57</v>
      </c>
      <c r="I273" s="46" t="s">
        <v>61</v>
      </c>
      <c r="J273" s="46" t="s">
        <v>62</v>
      </c>
      <c r="K273" s="44" t="s">
        <v>558</v>
      </c>
      <c r="L273" s="66" t="s">
        <v>559</v>
      </c>
      <c r="M273" s="44" t="s">
        <v>1995</v>
      </c>
      <c r="N273" s="59" t="s">
        <v>275</v>
      </c>
      <c r="O273" s="48" t="s">
        <v>196</v>
      </c>
      <c r="P273" s="44" t="s">
        <v>561</v>
      </c>
      <c r="Q273" s="259" t="s">
        <v>562</v>
      </c>
      <c r="R273" s="259" t="s">
        <v>563</v>
      </c>
      <c r="S273" s="261" t="s">
        <v>564</v>
      </c>
      <c r="T273" s="259" t="s">
        <v>565</v>
      </c>
      <c r="U273" s="25" t="s">
        <v>566</v>
      </c>
      <c r="V273" s="259" t="s">
        <v>282</v>
      </c>
      <c r="W273" s="260" t="s">
        <v>283</v>
      </c>
      <c r="X273" s="259" t="s">
        <v>284</v>
      </c>
      <c r="Y273" s="49" t="s">
        <v>285</v>
      </c>
      <c r="Z273" s="259" t="s">
        <v>286</v>
      </c>
      <c r="AA273" s="261" t="s">
        <v>286</v>
      </c>
      <c r="AB273" s="259" t="s">
        <v>287</v>
      </c>
      <c r="AC273" s="259" t="s">
        <v>288</v>
      </c>
      <c r="AD273" s="49" t="s">
        <v>289</v>
      </c>
      <c r="AE273" s="58" t="s">
        <v>290</v>
      </c>
      <c r="AF273" s="56" t="s">
        <v>291</v>
      </c>
      <c r="AG273" s="259" t="s">
        <v>292</v>
      </c>
      <c r="AH273" s="259" t="s">
        <v>293</v>
      </c>
      <c r="AI273" s="264" t="s">
        <v>215</v>
      </c>
      <c r="AJ273" s="259" t="s">
        <v>216</v>
      </c>
      <c r="AK273" s="265" t="s">
        <v>217</v>
      </c>
      <c r="AL273" s="266" t="s">
        <v>218</v>
      </c>
      <c r="AM273" s="267" t="s">
        <v>219</v>
      </c>
      <c r="AN273" s="268" t="s">
        <v>220</v>
      </c>
      <c r="AO273" s="269" t="s">
        <v>221</v>
      </c>
      <c r="AP273" s="51" t="s">
        <v>138</v>
      </c>
      <c r="AQ273" s="270" t="s">
        <v>139</v>
      </c>
      <c r="AR273" s="265" t="s">
        <v>140</v>
      </c>
      <c r="AS273" s="22" t="s">
        <v>141</v>
      </c>
      <c r="AT273" s="266" t="s">
        <v>142</v>
      </c>
      <c r="AU273" s="271" t="s">
        <v>143</v>
      </c>
      <c r="AV273" s="272" t="s">
        <v>144</v>
      </c>
      <c r="AW273" s="273" t="s">
        <v>145</v>
      </c>
      <c r="AX273" s="274" t="s">
        <v>146</v>
      </c>
      <c r="AY273" s="275" t="s">
        <v>147</v>
      </c>
      <c r="AZ273" s="272" t="s">
        <v>567</v>
      </c>
      <c r="BA273" s="34" t="s">
        <v>320</v>
      </c>
      <c r="BB273" s="591" t="str">
        <f t="shared" si="20"/>
        <v>TEMPLATE</v>
      </c>
      <c r="BC273" s="591" t="str">
        <f t="shared" si="21"/>
        <v>10. Transport &amp; Logistics-GACA-NCA-ECC-2:2024</v>
      </c>
      <c r="BD273" s="591" t="str">
        <f t="shared" si="22"/>
        <v>GACA-NCA-ECC-2-2024</v>
      </c>
      <c r="BE273" s="591" t="str">
        <f t="shared" si="23"/>
        <v>NCA-ECC-2-2024</v>
      </c>
      <c r="BF273" s="594">
        <f t="shared" si="24"/>
        <v>6</v>
      </c>
    </row>
    <row r="274" spans="1:58" ht="42" customHeight="1" x14ac:dyDescent="0.45">
      <c r="A274" s="257">
        <v>243</v>
      </c>
      <c r="B274" s="258" t="s">
        <v>1996</v>
      </c>
      <c r="C274" s="259" t="s">
        <v>1997</v>
      </c>
      <c r="D274" s="259" t="s">
        <v>1991</v>
      </c>
      <c r="E274" s="258" t="s">
        <v>1998</v>
      </c>
      <c r="F274" s="260" t="s">
        <v>1999</v>
      </c>
      <c r="G274" s="259" t="s">
        <v>1898</v>
      </c>
      <c r="H274" s="259" t="s">
        <v>1746</v>
      </c>
      <c r="I274" s="261" t="s">
        <v>2000</v>
      </c>
      <c r="J274" s="261" t="s">
        <v>310</v>
      </c>
      <c r="K274" s="259" t="s">
        <v>63</v>
      </c>
      <c r="L274" s="22" t="s">
        <v>64</v>
      </c>
      <c r="M274" s="259" t="s">
        <v>1900</v>
      </c>
      <c r="N274" s="262" t="s">
        <v>253</v>
      </c>
      <c r="O274" s="263" t="s">
        <v>1901</v>
      </c>
      <c r="P274" s="259" t="s">
        <v>1902</v>
      </c>
      <c r="Q274" s="259" t="s">
        <v>562</v>
      </c>
      <c r="R274" s="259" t="s">
        <v>563</v>
      </c>
      <c r="S274" s="261" t="s">
        <v>564</v>
      </c>
      <c r="T274" s="259" t="s">
        <v>565</v>
      </c>
      <c r="U274" s="25" t="s">
        <v>566</v>
      </c>
      <c r="V274" s="259" t="s">
        <v>282</v>
      </c>
      <c r="W274" s="260" t="s">
        <v>283</v>
      </c>
      <c r="X274" s="259" t="s">
        <v>284</v>
      </c>
      <c r="Y274" s="49" t="s">
        <v>285</v>
      </c>
      <c r="Z274" s="259" t="s">
        <v>286</v>
      </c>
      <c r="AA274" s="261" t="s">
        <v>286</v>
      </c>
      <c r="AB274" s="259" t="s">
        <v>287</v>
      </c>
      <c r="AC274" s="259" t="s">
        <v>288</v>
      </c>
      <c r="AD274" s="49" t="s">
        <v>289</v>
      </c>
      <c r="AE274" s="58" t="s">
        <v>290</v>
      </c>
      <c r="AF274" s="56" t="s">
        <v>291</v>
      </c>
      <c r="AG274" s="259" t="s">
        <v>292</v>
      </c>
      <c r="AH274" s="259" t="s">
        <v>293</v>
      </c>
      <c r="AI274" s="264" t="s">
        <v>215</v>
      </c>
      <c r="AJ274" s="259" t="s">
        <v>216</v>
      </c>
      <c r="AK274" s="265" t="s">
        <v>217</v>
      </c>
      <c r="AL274" s="266" t="s">
        <v>218</v>
      </c>
      <c r="AM274" s="267" t="s">
        <v>219</v>
      </c>
      <c r="AN274" s="268" t="s">
        <v>220</v>
      </c>
      <c r="AO274" s="269" t="s">
        <v>221</v>
      </c>
      <c r="AP274" s="51" t="s">
        <v>138</v>
      </c>
      <c r="AQ274" s="270" t="s">
        <v>139</v>
      </c>
      <c r="AR274" s="265" t="s">
        <v>140</v>
      </c>
      <c r="AS274" s="22" t="s">
        <v>141</v>
      </c>
      <c r="AT274" s="266" t="s">
        <v>142</v>
      </c>
      <c r="AU274" s="271" t="s">
        <v>143</v>
      </c>
      <c r="AV274" s="272" t="s">
        <v>144</v>
      </c>
      <c r="AW274" s="273" t="s">
        <v>145</v>
      </c>
      <c r="AX274" s="274" t="s">
        <v>146</v>
      </c>
      <c r="AY274" s="275" t="s">
        <v>147</v>
      </c>
      <c r="AZ274" s="272" t="s">
        <v>104</v>
      </c>
      <c r="BA274" s="41" t="s">
        <v>105</v>
      </c>
      <c r="BB274" s="591" t="str">
        <f t="shared" si="20"/>
        <v>TEMPLATE</v>
      </c>
      <c r="BC274" s="591" t="str">
        <f t="shared" si="21"/>
        <v>10. Transport &amp; Logistics-MAWANI-MAWANI-FW</v>
      </c>
      <c r="BD274" s="591" t="str">
        <f t="shared" si="22"/>
        <v>MAWANI-MAWANI-FW</v>
      </c>
      <c r="BE274" s="591" t="str">
        <f t="shared" si="23"/>
        <v>NONE</v>
      </c>
      <c r="BF274" s="594">
        <f t="shared" si="24"/>
        <v>7</v>
      </c>
    </row>
    <row r="275" spans="1:58" ht="42" customHeight="1" x14ac:dyDescent="0.45">
      <c r="A275" s="42">
        <v>244</v>
      </c>
      <c r="B275" s="276" t="s">
        <v>1996</v>
      </c>
      <c r="C275" s="44" t="s">
        <v>1997</v>
      </c>
      <c r="D275" s="44" t="s">
        <v>1991</v>
      </c>
      <c r="E275" s="276" t="s">
        <v>557</v>
      </c>
      <c r="F275" s="45" t="s">
        <v>58</v>
      </c>
      <c r="G275" s="44" t="s">
        <v>59</v>
      </c>
      <c r="H275" s="44" t="s">
        <v>57</v>
      </c>
      <c r="I275" s="46" t="s">
        <v>61</v>
      </c>
      <c r="J275" s="46" t="s">
        <v>62</v>
      </c>
      <c r="K275" s="44" t="s">
        <v>558</v>
      </c>
      <c r="L275" s="66" t="s">
        <v>559</v>
      </c>
      <c r="M275" s="44" t="s">
        <v>2001</v>
      </c>
      <c r="N275" s="59" t="s">
        <v>275</v>
      </c>
      <c r="O275" s="48" t="s">
        <v>196</v>
      </c>
      <c r="P275" s="44" t="s">
        <v>561</v>
      </c>
      <c r="Q275" s="259" t="s">
        <v>562</v>
      </c>
      <c r="R275" s="259" t="s">
        <v>563</v>
      </c>
      <c r="S275" s="261" t="s">
        <v>564</v>
      </c>
      <c r="T275" s="259" t="s">
        <v>565</v>
      </c>
      <c r="U275" s="25" t="s">
        <v>566</v>
      </c>
      <c r="V275" s="259" t="s">
        <v>282</v>
      </c>
      <c r="W275" s="260" t="s">
        <v>283</v>
      </c>
      <c r="X275" s="259" t="s">
        <v>284</v>
      </c>
      <c r="Y275" s="49" t="s">
        <v>285</v>
      </c>
      <c r="Z275" s="259" t="s">
        <v>286</v>
      </c>
      <c r="AA275" s="261" t="s">
        <v>286</v>
      </c>
      <c r="AB275" s="259" t="s">
        <v>287</v>
      </c>
      <c r="AC275" s="259" t="s">
        <v>288</v>
      </c>
      <c r="AD275" s="49" t="s">
        <v>289</v>
      </c>
      <c r="AE275" s="58" t="s">
        <v>290</v>
      </c>
      <c r="AF275" s="56" t="s">
        <v>291</v>
      </c>
      <c r="AG275" s="259" t="s">
        <v>292</v>
      </c>
      <c r="AH275" s="259" t="s">
        <v>293</v>
      </c>
      <c r="AI275" s="264" t="s">
        <v>215</v>
      </c>
      <c r="AJ275" s="259" t="s">
        <v>216</v>
      </c>
      <c r="AK275" s="265" t="s">
        <v>217</v>
      </c>
      <c r="AL275" s="266" t="s">
        <v>218</v>
      </c>
      <c r="AM275" s="267" t="s">
        <v>219</v>
      </c>
      <c r="AN275" s="268" t="s">
        <v>220</v>
      </c>
      <c r="AO275" s="269" t="s">
        <v>221</v>
      </c>
      <c r="AP275" s="51" t="s">
        <v>138</v>
      </c>
      <c r="AQ275" s="270" t="s">
        <v>139</v>
      </c>
      <c r="AR275" s="265" t="s">
        <v>140</v>
      </c>
      <c r="AS275" s="22" t="s">
        <v>141</v>
      </c>
      <c r="AT275" s="266" t="s">
        <v>142</v>
      </c>
      <c r="AU275" s="271" t="s">
        <v>143</v>
      </c>
      <c r="AV275" s="272" t="s">
        <v>144</v>
      </c>
      <c r="AW275" s="273" t="s">
        <v>145</v>
      </c>
      <c r="AX275" s="274" t="s">
        <v>146</v>
      </c>
      <c r="AY275" s="275" t="s">
        <v>147</v>
      </c>
      <c r="AZ275" s="272" t="s">
        <v>567</v>
      </c>
      <c r="BA275" s="34" t="s">
        <v>320</v>
      </c>
      <c r="BB275" s="591" t="str">
        <f t="shared" si="20"/>
        <v>TEMPLATE</v>
      </c>
      <c r="BC275" s="591" t="str">
        <f t="shared" si="21"/>
        <v>10. Transport &amp; Logistics-MAWANI-NCA-ECC-2:2024</v>
      </c>
      <c r="BD275" s="591" t="str">
        <f t="shared" si="22"/>
        <v>MAWANI-NCA-ECC-2-2024</v>
      </c>
      <c r="BE275" s="591" t="str">
        <f t="shared" si="23"/>
        <v>NCA-ECC-2-2024</v>
      </c>
      <c r="BF275" s="594">
        <f t="shared" si="24"/>
        <v>6</v>
      </c>
    </row>
    <row r="276" spans="1:58" x14ac:dyDescent="0.45">
      <c r="BB276" s="591" t="str">
        <f t="shared" si="20"/>
        <v/>
      </c>
      <c r="BC276" s="591" t="str">
        <f t="shared" si="21"/>
        <v/>
      </c>
      <c r="BD276" s="591" t="str">
        <f t="shared" si="22"/>
        <v/>
      </c>
      <c r="BE276" s="591" t="str">
        <f t="shared" si="23"/>
        <v/>
      </c>
      <c r="BF276" s="594" t="str">
        <f t="shared" si="24"/>
        <v/>
      </c>
    </row>
    <row r="277" spans="1:58" ht="19.5" customHeight="1" x14ac:dyDescent="0.45">
      <c r="A277" s="277"/>
      <c r="B277" s="278" t="s">
        <v>2002</v>
      </c>
      <c r="C277" s="277"/>
      <c r="D277" s="277"/>
      <c r="E277" s="277"/>
      <c r="F277" s="277"/>
      <c r="G277" s="277"/>
      <c r="H277" s="277"/>
      <c r="I277" s="277"/>
      <c r="J277" s="277"/>
      <c r="K277" s="277"/>
      <c r="L277" s="277"/>
      <c r="M277" s="277"/>
      <c r="N277" s="277"/>
      <c r="O277" s="277"/>
      <c r="P277" s="277"/>
      <c r="BB277" s="591" t="str">
        <f t="shared" si="20"/>
        <v/>
      </c>
      <c r="BC277" s="591" t="str">
        <f t="shared" si="21"/>
        <v/>
      </c>
      <c r="BD277" s="591" t="str">
        <f t="shared" si="22"/>
        <v/>
      </c>
      <c r="BE277" s="591" t="str">
        <f t="shared" si="23"/>
        <v/>
      </c>
      <c r="BF277" s="594" t="str">
        <f t="shared" si="24"/>
        <v/>
      </c>
    </row>
    <row r="278" spans="1:58" ht="42" customHeight="1" x14ac:dyDescent="0.45">
      <c r="A278" s="279">
        <v>245</v>
      </c>
      <c r="B278" s="280" t="s">
        <v>2003</v>
      </c>
      <c r="C278" s="281" t="s">
        <v>2004</v>
      </c>
      <c r="D278" s="281" t="s">
        <v>2005</v>
      </c>
      <c r="E278" s="280" t="s">
        <v>2006</v>
      </c>
      <c r="F278" s="282" t="s">
        <v>2007</v>
      </c>
      <c r="G278" s="281" t="s">
        <v>1898</v>
      </c>
      <c r="H278" s="281" t="s">
        <v>1746</v>
      </c>
      <c r="I278" s="283" t="s">
        <v>2008</v>
      </c>
      <c r="J278" s="283" t="s">
        <v>310</v>
      </c>
      <c r="K278" s="281" t="s">
        <v>63</v>
      </c>
      <c r="L278" s="22" t="s">
        <v>64</v>
      </c>
      <c r="M278" s="281" t="s">
        <v>1900</v>
      </c>
      <c r="N278" s="284" t="s">
        <v>253</v>
      </c>
      <c r="O278" s="285" t="s">
        <v>1901</v>
      </c>
      <c r="P278" s="281" t="s">
        <v>1902</v>
      </c>
      <c r="Q278" s="281" t="s">
        <v>562</v>
      </c>
      <c r="R278" s="281" t="s">
        <v>563</v>
      </c>
      <c r="S278" s="283" t="s">
        <v>564</v>
      </c>
      <c r="T278" s="281" t="s">
        <v>565</v>
      </c>
      <c r="U278" s="25" t="s">
        <v>566</v>
      </c>
      <c r="V278" s="281" t="s">
        <v>282</v>
      </c>
      <c r="W278" s="282" t="s">
        <v>283</v>
      </c>
      <c r="X278" s="281" t="s">
        <v>284</v>
      </c>
      <c r="Y278" s="49" t="s">
        <v>285</v>
      </c>
      <c r="Z278" s="281" t="s">
        <v>286</v>
      </c>
      <c r="AA278" s="283" t="s">
        <v>286</v>
      </c>
      <c r="AB278" s="281" t="s">
        <v>287</v>
      </c>
      <c r="AC278" s="281" t="s">
        <v>288</v>
      </c>
      <c r="AD278" s="49" t="s">
        <v>289</v>
      </c>
      <c r="AE278" s="58" t="s">
        <v>290</v>
      </c>
      <c r="AF278" s="56" t="s">
        <v>291</v>
      </c>
      <c r="AG278" s="281" t="s">
        <v>292</v>
      </c>
      <c r="AH278" s="281" t="s">
        <v>293</v>
      </c>
      <c r="AI278" s="286" t="s">
        <v>215</v>
      </c>
      <c r="AJ278" s="281" t="s">
        <v>216</v>
      </c>
      <c r="AK278" s="287" t="s">
        <v>217</v>
      </c>
      <c r="AL278" s="288" t="s">
        <v>218</v>
      </c>
      <c r="AM278" s="289" t="s">
        <v>219</v>
      </c>
      <c r="AN278" s="290" t="s">
        <v>220</v>
      </c>
      <c r="AO278" s="291" t="s">
        <v>221</v>
      </c>
      <c r="AP278" s="51" t="s">
        <v>138</v>
      </c>
      <c r="AQ278" s="292" t="s">
        <v>139</v>
      </c>
      <c r="AR278" s="287" t="s">
        <v>140</v>
      </c>
      <c r="AS278" s="22" t="s">
        <v>141</v>
      </c>
      <c r="AT278" s="288" t="s">
        <v>142</v>
      </c>
      <c r="AU278" s="293" t="s">
        <v>143</v>
      </c>
      <c r="AV278" s="294" t="s">
        <v>144</v>
      </c>
      <c r="AW278" s="295" t="s">
        <v>145</v>
      </c>
      <c r="AX278" s="296" t="s">
        <v>146</v>
      </c>
      <c r="AY278" s="297" t="s">
        <v>147</v>
      </c>
      <c r="AZ278" s="294" t="s">
        <v>104</v>
      </c>
      <c r="BA278" s="41" t="s">
        <v>105</v>
      </c>
      <c r="BB278" s="591" t="str">
        <f t="shared" si="20"/>
        <v>TEMPLATE</v>
      </c>
      <c r="BC278" s="591" t="str">
        <f t="shared" si="21"/>
        <v>11. Industry &amp; Trade-MODON-MODON-FW</v>
      </c>
      <c r="BD278" s="591" t="str">
        <f t="shared" si="22"/>
        <v>MODON-MODON-FW</v>
      </c>
      <c r="BE278" s="591" t="str">
        <f t="shared" si="23"/>
        <v>NONE</v>
      </c>
      <c r="BF278" s="594">
        <f t="shared" si="24"/>
        <v>7</v>
      </c>
    </row>
    <row r="279" spans="1:58" ht="42" customHeight="1" x14ac:dyDescent="0.45">
      <c r="A279" s="42">
        <v>246</v>
      </c>
      <c r="B279" s="298" t="s">
        <v>2003</v>
      </c>
      <c r="C279" s="44" t="s">
        <v>2004</v>
      </c>
      <c r="D279" s="44" t="s">
        <v>2005</v>
      </c>
      <c r="E279" s="298" t="s">
        <v>557</v>
      </c>
      <c r="F279" s="45" t="s">
        <v>58</v>
      </c>
      <c r="G279" s="44" t="s">
        <v>59</v>
      </c>
      <c r="H279" s="44" t="s">
        <v>57</v>
      </c>
      <c r="I279" s="46" t="s">
        <v>61</v>
      </c>
      <c r="J279" s="46" t="s">
        <v>62</v>
      </c>
      <c r="K279" s="44" t="s">
        <v>558</v>
      </c>
      <c r="L279" s="66" t="s">
        <v>559</v>
      </c>
      <c r="M279" s="44" t="s">
        <v>2009</v>
      </c>
      <c r="N279" s="59" t="s">
        <v>275</v>
      </c>
      <c r="O279" s="48" t="s">
        <v>196</v>
      </c>
      <c r="P279" s="44" t="s">
        <v>561</v>
      </c>
      <c r="Q279" s="281" t="s">
        <v>562</v>
      </c>
      <c r="R279" s="281" t="s">
        <v>563</v>
      </c>
      <c r="S279" s="283" t="s">
        <v>564</v>
      </c>
      <c r="T279" s="281" t="s">
        <v>565</v>
      </c>
      <c r="U279" s="25" t="s">
        <v>566</v>
      </c>
      <c r="V279" s="281" t="s">
        <v>282</v>
      </c>
      <c r="W279" s="282" t="s">
        <v>283</v>
      </c>
      <c r="X279" s="281" t="s">
        <v>284</v>
      </c>
      <c r="Y279" s="49" t="s">
        <v>285</v>
      </c>
      <c r="Z279" s="281" t="s">
        <v>286</v>
      </c>
      <c r="AA279" s="283" t="s">
        <v>286</v>
      </c>
      <c r="AB279" s="281" t="s">
        <v>287</v>
      </c>
      <c r="AC279" s="281" t="s">
        <v>288</v>
      </c>
      <c r="AD279" s="49" t="s">
        <v>289</v>
      </c>
      <c r="AE279" s="58" t="s">
        <v>290</v>
      </c>
      <c r="AF279" s="56" t="s">
        <v>291</v>
      </c>
      <c r="AG279" s="281" t="s">
        <v>292</v>
      </c>
      <c r="AH279" s="281" t="s">
        <v>293</v>
      </c>
      <c r="AI279" s="286" t="s">
        <v>215</v>
      </c>
      <c r="AJ279" s="281" t="s">
        <v>216</v>
      </c>
      <c r="AK279" s="287" t="s">
        <v>217</v>
      </c>
      <c r="AL279" s="288" t="s">
        <v>218</v>
      </c>
      <c r="AM279" s="289" t="s">
        <v>219</v>
      </c>
      <c r="AN279" s="290" t="s">
        <v>220</v>
      </c>
      <c r="AO279" s="291" t="s">
        <v>221</v>
      </c>
      <c r="AP279" s="51" t="s">
        <v>138</v>
      </c>
      <c r="AQ279" s="292" t="s">
        <v>139</v>
      </c>
      <c r="AR279" s="287" t="s">
        <v>140</v>
      </c>
      <c r="AS279" s="22" t="s">
        <v>141</v>
      </c>
      <c r="AT279" s="288" t="s">
        <v>142</v>
      </c>
      <c r="AU279" s="293" t="s">
        <v>143</v>
      </c>
      <c r="AV279" s="294" t="s">
        <v>144</v>
      </c>
      <c r="AW279" s="295" t="s">
        <v>145</v>
      </c>
      <c r="AX279" s="296" t="s">
        <v>146</v>
      </c>
      <c r="AY279" s="297" t="s">
        <v>147</v>
      </c>
      <c r="AZ279" s="294" t="s">
        <v>567</v>
      </c>
      <c r="BA279" s="34" t="s">
        <v>320</v>
      </c>
      <c r="BB279" s="591" t="str">
        <f t="shared" si="20"/>
        <v>TEMPLATE</v>
      </c>
      <c r="BC279" s="591" t="str">
        <f t="shared" si="21"/>
        <v>11. Industry &amp; Trade-MODON-NCA-ECC-2:2024</v>
      </c>
      <c r="BD279" s="591" t="str">
        <f t="shared" si="22"/>
        <v>MODON-NCA-ECC-2-2024</v>
      </c>
      <c r="BE279" s="591" t="str">
        <f t="shared" si="23"/>
        <v>NCA-ECC-2-2024</v>
      </c>
      <c r="BF279" s="594">
        <f t="shared" si="24"/>
        <v>6</v>
      </c>
    </row>
    <row r="280" spans="1:58" ht="42" customHeight="1" x14ac:dyDescent="0.45">
      <c r="A280" s="279">
        <v>247</v>
      </c>
      <c r="B280" s="280" t="s">
        <v>2010</v>
      </c>
      <c r="C280" s="281" t="s">
        <v>2011</v>
      </c>
      <c r="D280" s="281" t="s">
        <v>2005</v>
      </c>
      <c r="E280" s="280" t="s">
        <v>2012</v>
      </c>
      <c r="F280" s="282" t="s">
        <v>2013</v>
      </c>
      <c r="G280" s="281" t="s">
        <v>1898</v>
      </c>
      <c r="H280" s="281" t="s">
        <v>1746</v>
      </c>
      <c r="I280" s="283" t="s">
        <v>1833</v>
      </c>
      <c r="J280" s="283" t="s">
        <v>310</v>
      </c>
      <c r="K280" s="281" t="s">
        <v>63</v>
      </c>
      <c r="L280" s="22" t="s">
        <v>64</v>
      </c>
      <c r="M280" s="281" t="s">
        <v>1900</v>
      </c>
      <c r="N280" s="284" t="s">
        <v>253</v>
      </c>
      <c r="O280" s="285" t="s">
        <v>1901</v>
      </c>
      <c r="P280" s="281" t="s">
        <v>1902</v>
      </c>
      <c r="Q280" s="281" t="s">
        <v>562</v>
      </c>
      <c r="R280" s="281" t="s">
        <v>563</v>
      </c>
      <c r="S280" s="283" t="s">
        <v>564</v>
      </c>
      <c r="T280" s="281" t="s">
        <v>565</v>
      </c>
      <c r="U280" s="25" t="s">
        <v>566</v>
      </c>
      <c r="V280" s="281" t="s">
        <v>282</v>
      </c>
      <c r="W280" s="282" t="s">
        <v>283</v>
      </c>
      <c r="X280" s="281" t="s">
        <v>284</v>
      </c>
      <c r="Y280" s="49" t="s">
        <v>285</v>
      </c>
      <c r="Z280" s="281" t="s">
        <v>286</v>
      </c>
      <c r="AA280" s="283" t="s">
        <v>286</v>
      </c>
      <c r="AB280" s="281" t="s">
        <v>287</v>
      </c>
      <c r="AC280" s="281" t="s">
        <v>288</v>
      </c>
      <c r="AD280" s="49" t="s">
        <v>289</v>
      </c>
      <c r="AE280" s="58" t="s">
        <v>290</v>
      </c>
      <c r="AF280" s="56" t="s">
        <v>291</v>
      </c>
      <c r="AG280" s="281" t="s">
        <v>292</v>
      </c>
      <c r="AH280" s="281" t="s">
        <v>293</v>
      </c>
      <c r="AI280" s="286" t="s">
        <v>215</v>
      </c>
      <c r="AJ280" s="281" t="s">
        <v>216</v>
      </c>
      <c r="AK280" s="287" t="s">
        <v>217</v>
      </c>
      <c r="AL280" s="288" t="s">
        <v>218</v>
      </c>
      <c r="AM280" s="289" t="s">
        <v>219</v>
      </c>
      <c r="AN280" s="290" t="s">
        <v>220</v>
      </c>
      <c r="AO280" s="291" t="s">
        <v>221</v>
      </c>
      <c r="AP280" s="51" t="s">
        <v>138</v>
      </c>
      <c r="AQ280" s="292" t="s">
        <v>139</v>
      </c>
      <c r="AR280" s="287" t="s">
        <v>140</v>
      </c>
      <c r="AS280" s="22" t="s">
        <v>141</v>
      </c>
      <c r="AT280" s="288" t="s">
        <v>142</v>
      </c>
      <c r="AU280" s="293" t="s">
        <v>143</v>
      </c>
      <c r="AV280" s="294" t="s">
        <v>144</v>
      </c>
      <c r="AW280" s="295" t="s">
        <v>145</v>
      </c>
      <c r="AX280" s="296" t="s">
        <v>146</v>
      </c>
      <c r="AY280" s="297" t="s">
        <v>147</v>
      </c>
      <c r="AZ280" s="294" t="s">
        <v>104</v>
      </c>
      <c r="BA280" s="41" t="s">
        <v>105</v>
      </c>
      <c r="BB280" s="591" t="str">
        <f t="shared" si="20"/>
        <v>TEMPLATE</v>
      </c>
      <c r="BC280" s="591" t="str">
        <f t="shared" si="21"/>
        <v>11. Industry &amp; Trade-RCJY-RCJY-FW</v>
      </c>
      <c r="BD280" s="591" t="str">
        <f t="shared" si="22"/>
        <v>RCJY-RCJY-FW</v>
      </c>
      <c r="BE280" s="591" t="str">
        <f t="shared" si="23"/>
        <v>NONE</v>
      </c>
      <c r="BF280" s="594">
        <f t="shared" si="24"/>
        <v>7</v>
      </c>
    </row>
    <row r="281" spans="1:58" ht="42" customHeight="1" x14ac:dyDescent="0.45">
      <c r="A281" s="42">
        <v>248</v>
      </c>
      <c r="B281" s="298" t="s">
        <v>2010</v>
      </c>
      <c r="C281" s="44" t="s">
        <v>2011</v>
      </c>
      <c r="D281" s="44" t="s">
        <v>2005</v>
      </c>
      <c r="E281" s="298" t="s">
        <v>557</v>
      </c>
      <c r="F281" s="45" t="s">
        <v>58</v>
      </c>
      <c r="G281" s="44" t="s">
        <v>59</v>
      </c>
      <c r="H281" s="44" t="s">
        <v>57</v>
      </c>
      <c r="I281" s="46" t="s">
        <v>61</v>
      </c>
      <c r="J281" s="46" t="s">
        <v>62</v>
      </c>
      <c r="K281" s="44" t="s">
        <v>558</v>
      </c>
      <c r="L281" s="66" t="s">
        <v>559</v>
      </c>
      <c r="M281" s="44" t="s">
        <v>2014</v>
      </c>
      <c r="N281" s="59" t="s">
        <v>275</v>
      </c>
      <c r="O281" s="48" t="s">
        <v>196</v>
      </c>
      <c r="P281" s="44" t="s">
        <v>561</v>
      </c>
      <c r="Q281" s="281" t="s">
        <v>562</v>
      </c>
      <c r="R281" s="281" t="s">
        <v>563</v>
      </c>
      <c r="S281" s="283" t="s">
        <v>564</v>
      </c>
      <c r="T281" s="281" t="s">
        <v>565</v>
      </c>
      <c r="U281" s="25" t="s">
        <v>566</v>
      </c>
      <c r="V281" s="281" t="s">
        <v>282</v>
      </c>
      <c r="W281" s="282" t="s">
        <v>283</v>
      </c>
      <c r="X281" s="281" t="s">
        <v>284</v>
      </c>
      <c r="Y281" s="49" t="s">
        <v>285</v>
      </c>
      <c r="Z281" s="281" t="s">
        <v>286</v>
      </c>
      <c r="AA281" s="283" t="s">
        <v>286</v>
      </c>
      <c r="AB281" s="281" t="s">
        <v>287</v>
      </c>
      <c r="AC281" s="281" t="s">
        <v>288</v>
      </c>
      <c r="AD281" s="49" t="s">
        <v>289</v>
      </c>
      <c r="AE281" s="58" t="s">
        <v>290</v>
      </c>
      <c r="AF281" s="56" t="s">
        <v>291</v>
      </c>
      <c r="AG281" s="281" t="s">
        <v>292</v>
      </c>
      <c r="AH281" s="281" t="s">
        <v>293</v>
      </c>
      <c r="AI281" s="286" t="s">
        <v>215</v>
      </c>
      <c r="AJ281" s="281" t="s">
        <v>216</v>
      </c>
      <c r="AK281" s="287" t="s">
        <v>217</v>
      </c>
      <c r="AL281" s="288" t="s">
        <v>218</v>
      </c>
      <c r="AM281" s="289" t="s">
        <v>219</v>
      </c>
      <c r="AN281" s="290" t="s">
        <v>220</v>
      </c>
      <c r="AO281" s="291" t="s">
        <v>221</v>
      </c>
      <c r="AP281" s="51" t="s">
        <v>138</v>
      </c>
      <c r="AQ281" s="292" t="s">
        <v>139</v>
      </c>
      <c r="AR281" s="287" t="s">
        <v>140</v>
      </c>
      <c r="AS281" s="22" t="s">
        <v>141</v>
      </c>
      <c r="AT281" s="288" t="s">
        <v>142</v>
      </c>
      <c r="AU281" s="293" t="s">
        <v>143</v>
      </c>
      <c r="AV281" s="294" t="s">
        <v>144</v>
      </c>
      <c r="AW281" s="295" t="s">
        <v>145</v>
      </c>
      <c r="AX281" s="296" t="s">
        <v>146</v>
      </c>
      <c r="AY281" s="297" t="s">
        <v>147</v>
      </c>
      <c r="AZ281" s="294" t="s">
        <v>567</v>
      </c>
      <c r="BA281" s="34" t="s">
        <v>320</v>
      </c>
      <c r="BB281" s="591" t="str">
        <f t="shared" si="20"/>
        <v>TEMPLATE</v>
      </c>
      <c r="BC281" s="591" t="str">
        <f t="shared" si="21"/>
        <v>11. Industry &amp; Trade-RCJY-NCA-ECC-2:2024</v>
      </c>
      <c r="BD281" s="591" t="str">
        <f t="shared" si="22"/>
        <v>RCJY-NCA-ECC-2-2024</v>
      </c>
      <c r="BE281" s="591" t="str">
        <f t="shared" si="23"/>
        <v>NCA-ECC-2-2024</v>
      </c>
      <c r="BF281" s="594">
        <f t="shared" si="24"/>
        <v>6</v>
      </c>
    </row>
    <row r="282" spans="1:58" ht="42" customHeight="1" x14ac:dyDescent="0.45">
      <c r="A282" s="279">
        <v>249</v>
      </c>
      <c r="B282" s="280" t="s">
        <v>2015</v>
      </c>
      <c r="C282" s="281" t="s">
        <v>2016</v>
      </c>
      <c r="D282" s="281" t="s">
        <v>2005</v>
      </c>
      <c r="E282" s="280" t="s">
        <v>2017</v>
      </c>
      <c r="F282" s="282" t="s">
        <v>2018</v>
      </c>
      <c r="G282" s="281" t="s">
        <v>1898</v>
      </c>
      <c r="H282" s="281" t="s">
        <v>1746</v>
      </c>
      <c r="I282" s="283" t="s">
        <v>151</v>
      </c>
      <c r="J282" s="283" t="s">
        <v>310</v>
      </c>
      <c r="K282" s="281" t="s">
        <v>63</v>
      </c>
      <c r="L282" s="22" t="s">
        <v>64</v>
      </c>
      <c r="M282" s="281" t="s">
        <v>1900</v>
      </c>
      <c r="N282" s="284" t="s">
        <v>253</v>
      </c>
      <c r="O282" s="285" t="s">
        <v>1901</v>
      </c>
      <c r="P282" s="281" t="s">
        <v>1902</v>
      </c>
      <c r="Q282" s="281" t="s">
        <v>562</v>
      </c>
      <c r="R282" s="281" t="s">
        <v>563</v>
      </c>
      <c r="S282" s="283" t="s">
        <v>564</v>
      </c>
      <c r="T282" s="281" t="s">
        <v>565</v>
      </c>
      <c r="U282" s="25" t="s">
        <v>566</v>
      </c>
      <c r="V282" s="281" t="s">
        <v>282</v>
      </c>
      <c r="W282" s="282" t="s">
        <v>283</v>
      </c>
      <c r="X282" s="281" t="s">
        <v>284</v>
      </c>
      <c r="Y282" s="49" t="s">
        <v>285</v>
      </c>
      <c r="Z282" s="281" t="s">
        <v>286</v>
      </c>
      <c r="AA282" s="283" t="s">
        <v>286</v>
      </c>
      <c r="AB282" s="281" t="s">
        <v>287</v>
      </c>
      <c r="AC282" s="281" t="s">
        <v>288</v>
      </c>
      <c r="AD282" s="49" t="s">
        <v>289</v>
      </c>
      <c r="AE282" s="58" t="s">
        <v>290</v>
      </c>
      <c r="AF282" s="56" t="s">
        <v>291</v>
      </c>
      <c r="AG282" s="281" t="s">
        <v>292</v>
      </c>
      <c r="AH282" s="281" t="s">
        <v>293</v>
      </c>
      <c r="AI282" s="286" t="s">
        <v>215</v>
      </c>
      <c r="AJ282" s="281" t="s">
        <v>216</v>
      </c>
      <c r="AK282" s="287" t="s">
        <v>217</v>
      </c>
      <c r="AL282" s="288" t="s">
        <v>218</v>
      </c>
      <c r="AM282" s="289" t="s">
        <v>219</v>
      </c>
      <c r="AN282" s="290" t="s">
        <v>220</v>
      </c>
      <c r="AO282" s="291" t="s">
        <v>221</v>
      </c>
      <c r="AP282" s="51" t="s">
        <v>138</v>
      </c>
      <c r="AQ282" s="292" t="s">
        <v>139</v>
      </c>
      <c r="AR282" s="287" t="s">
        <v>140</v>
      </c>
      <c r="AS282" s="22" t="s">
        <v>141</v>
      </c>
      <c r="AT282" s="288" t="s">
        <v>142</v>
      </c>
      <c r="AU282" s="293" t="s">
        <v>143</v>
      </c>
      <c r="AV282" s="294" t="s">
        <v>144</v>
      </c>
      <c r="AW282" s="295" t="s">
        <v>145</v>
      </c>
      <c r="AX282" s="296" t="s">
        <v>146</v>
      </c>
      <c r="AY282" s="297" t="s">
        <v>147</v>
      </c>
      <c r="AZ282" s="294" t="s">
        <v>104</v>
      </c>
      <c r="BA282" s="41" t="s">
        <v>105</v>
      </c>
      <c r="BB282" s="591" t="str">
        <f t="shared" si="20"/>
        <v>TEMPLATE</v>
      </c>
      <c r="BC282" s="591" t="str">
        <f t="shared" si="21"/>
        <v>11. Industry &amp; Trade-STA-STA-FW</v>
      </c>
      <c r="BD282" s="591" t="str">
        <f t="shared" si="22"/>
        <v>STA-STA-FW</v>
      </c>
      <c r="BE282" s="591" t="str">
        <f t="shared" si="23"/>
        <v>NONE</v>
      </c>
      <c r="BF282" s="594">
        <f t="shared" si="24"/>
        <v>7</v>
      </c>
    </row>
    <row r="283" spans="1:58" ht="42" customHeight="1" x14ac:dyDescent="0.45">
      <c r="A283" s="42">
        <v>250</v>
      </c>
      <c r="B283" s="298" t="s">
        <v>2015</v>
      </c>
      <c r="C283" s="44" t="s">
        <v>2016</v>
      </c>
      <c r="D283" s="44" t="s">
        <v>2005</v>
      </c>
      <c r="E283" s="298" t="s">
        <v>557</v>
      </c>
      <c r="F283" s="45" t="s">
        <v>58</v>
      </c>
      <c r="G283" s="44" t="s">
        <v>59</v>
      </c>
      <c r="H283" s="44" t="s">
        <v>57</v>
      </c>
      <c r="I283" s="46" t="s">
        <v>61</v>
      </c>
      <c r="J283" s="46" t="s">
        <v>62</v>
      </c>
      <c r="K283" s="44" t="s">
        <v>558</v>
      </c>
      <c r="L283" s="66" t="s">
        <v>559</v>
      </c>
      <c r="M283" s="44" t="s">
        <v>2019</v>
      </c>
      <c r="N283" s="59" t="s">
        <v>275</v>
      </c>
      <c r="O283" s="48" t="s">
        <v>196</v>
      </c>
      <c r="P283" s="44" t="s">
        <v>561</v>
      </c>
      <c r="Q283" s="281" t="s">
        <v>562</v>
      </c>
      <c r="R283" s="281" t="s">
        <v>563</v>
      </c>
      <c r="S283" s="283" t="s">
        <v>564</v>
      </c>
      <c r="T283" s="281" t="s">
        <v>565</v>
      </c>
      <c r="U283" s="25" t="s">
        <v>566</v>
      </c>
      <c r="V283" s="281" t="s">
        <v>282</v>
      </c>
      <c r="W283" s="282" t="s">
        <v>283</v>
      </c>
      <c r="X283" s="281" t="s">
        <v>284</v>
      </c>
      <c r="Y283" s="49" t="s">
        <v>285</v>
      </c>
      <c r="Z283" s="281" t="s">
        <v>286</v>
      </c>
      <c r="AA283" s="283" t="s">
        <v>286</v>
      </c>
      <c r="AB283" s="281" t="s">
        <v>287</v>
      </c>
      <c r="AC283" s="281" t="s">
        <v>288</v>
      </c>
      <c r="AD283" s="49" t="s">
        <v>289</v>
      </c>
      <c r="AE283" s="58" t="s">
        <v>290</v>
      </c>
      <c r="AF283" s="56" t="s">
        <v>291</v>
      </c>
      <c r="AG283" s="281" t="s">
        <v>292</v>
      </c>
      <c r="AH283" s="281" t="s">
        <v>293</v>
      </c>
      <c r="AI283" s="286" t="s">
        <v>215</v>
      </c>
      <c r="AJ283" s="281" t="s">
        <v>216</v>
      </c>
      <c r="AK283" s="287" t="s">
        <v>217</v>
      </c>
      <c r="AL283" s="288" t="s">
        <v>218</v>
      </c>
      <c r="AM283" s="289" t="s">
        <v>219</v>
      </c>
      <c r="AN283" s="290" t="s">
        <v>220</v>
      </c>
      <c r="AO283" s="291" t="s">
        <v>221</v>
      </c>
      <c r="AP283" s="51" t="s">
        <v>138</v>
      </c>
      <c r="AQ283" s="292" t="s">
        <v>139</v>
      </c>
      <c r="AR283" s="287" t="s">
        <v>140</v>
      </c>
      <c r="AS283" s="22" t="s">
        <v>141</v>
      </c>
      <c r="AT283" s="288" t="s">
        <v>142</v>
      </c>
      <c r="AU283" s="293" t="s">
        <v>143</v>
      </c>
      <c r="AV283" s="294" t="s">
        <v>144</v>
      </c>
      <c r="AW283" s="295" t="s">
        <v>145</v>
      </c>
      <c r="AX283" s="296" t="s">
        <v>146</v>
      </c>
      <c r="AY283" s="297" t="s">
        <v>147</v>
      </c>
      <c r="AZ283" s="294" t="s">
        <v>567</v>
      </c>
      <c r="BA283" s="34" t="s">
        <v>320</v>
      </c>
      <c r="BB283" s="591" t="str">
        <f t="shared" si="20"/>
        <v>TEMPLATE</v>
      </c>
      <c r="BC283" s="591" t="str">
        <f t="shared" si="21"/>
        <v>11. Industry &amp; Trade-STA-NCA-ECC-2:2024</v>
      </c>
      <c r="BD283" s="591" t="str">
        <f t="shared" si="22"/>
        <v>STA-NCA-ECC-2-2024</v>
      </c>
      <c r="BE283" s="591" t="str">
        <f t="shared" si="23"/>
        <v>NCA-ECC-2-2024</v>
      </c>
      <c r="BF283" s="594">
        <f t="shared" si="24"/>
        <v>6</v>
      </c>
    </row>
    <row r="284" spans="1:58" ht="42" customHeight="1" x14ac:dyDescent="0.45">
      <c r="A284" s="279">
        <v>251</v>
      </c>
      <c r="B284" s="280" t="s">
        <v>2020</v>
      </c>
      <c r="C284" s="281" t="s">
        <v>2021</v>
      </c>
      <c r="D284" s="281" t="s">
        <v>2005</v>
      </c>
      <c r="E284" s="280" t="s">
        <v>2022</v>
      </c>
      <c r="F284" s="282" t="s">
        <v>2023</v>
      </c>
      <c r="G284" s="281" t="s">
        <v>1898</v>
      </c>
      <c r="H284" s="281" t="s">
        <v>1746</v>
      </c>
      <c r="I284" s="283" t="s">
        <v>1155</v>
      </c>
      <c r="J284" s="283" t="s">
        <v>310</v>
      </c>
      <c r="K284" s="281" t="s">
        <v>63</v>
      </c>
      <c r="L284" s="22" t="s">
        <v>64</v>
      </c>
      <c r="M284" s="281" t="s">
        <v>1900</v>
      </c>
      <c r="N284" s="284" t="s">
        <v>253</v>
      </c>
      <c r="O284" s="285" t="s">
        <v>1901</v>
      </c>
      <c r="P284" s="281" t="s">
        <v>1902</v>
      </c>
      <c r="Q284" s="281" t="s">
        <v>562</v>
      </c>
      <c r="R284" s="281" t="s">
        <v>563</v>
      </c>
      <c r="S284" s="283" t="s">
        <v>564</v>
      </c>
      <c r="T284" s="281" t="s">
        <v>565</v>
      </c>
      <c r="U284" s="25" t="s">
        <v>566</v>
      </c>
      <c r="V284" s="281" t="s">
        <v>282</v>
      </c>
      <c r="W284" s="282" t="s">
        <v>283</v>
      </c>
      <c r="X284" s="281" t="s">
        <v>284</v>
      </c>
      <c r="Y284" s="49" t="s">
        <v>285</v>
      </c>
      <c r="Z284" s="281" t="s">
        <v>286</v>
      </c>
      <c r="AA284" s="283" t="s">
        <v>286</v>
      </c>
      <c r="AB284" s="281" t="s">
        <v>287</v>
      </c>
      <c r="AC284" s="281" t="s">
        <v>288</v>
      </c>
      <c r="AD284" s="49" t="s">
        <v>289</v>
      </c>
      <c r="AE284" s="58" t="s">
        <v>290</v>
      </c>
      <c r="AF284" s="56" t="s">
        <v>291</v>
      </c>
      <c r="AG284" s="281" t="s">
        <v>292</v>
      </c>
      <c r="AH284" s="281" t="s">
        <v>293</v>
      </c>
      <c r="AI284" s="286" t="s">
        <v>215</v>
      </c>
      <c r="AJ284" s="281" t="s">
        <v>216</v>
      </c>
      <c r="AK284" s="287" t="s">
        <v>217</v>
      </c>
      <c r="AL284" s="288" t="s">
        <v>218</v>
      </c>
      <c r="AM284" s="289" t="s">
        <v>219</v>
      </c>
      <c r="AN284" s="290" t="s">
        <v>220</v>
      </c>
      <c r="AO284" s="291" t="s">
        <v>221</v>
      </c>
      <c r="AP284" s="51" t="s">
        <v>138</v>
      </c>
      <c r="AQ284" s="292" t="s">
        <v>139</v>
      </c>
      <c r="AR284" s="287" t="s">
        <v>140</v>
      </c>
      <c r="AS284" s="22" t="s">
        <v>141</v>
      </c>
      <c r="AT284" s="288" t="s">
        <v>142</v>
      </c>
      <c r="AU284" s="293" t="s">
        <v>143</v>
      </c>
      <c r="AV284" s="294" t="s">
        <v>144</v>
      </c>
      <c r="AW284" s="295" t="s">
        <v>145</v>
      </c>
      <c r="AX284" s="296" t="s">
        <v>146</v>
      </c>
      <c r="AY284" s="297" t="s">
        <v>147</v>
      </c>
      <c r="AZ284" s="294" t="s">
        <v>104</v>
      </c>
      <c r="BA284" s="41" t="s">
        <v>105</v>
      </c>
      <c r="BB284" s="591" t="str">
        <f t="shared" si="20"/>
        <v>TEMPLATE</v>
      </c>
      <c r="BC284" s="591" t="str">
        <f t="shared" si="21"/>
        <v>11. Industry &amp; Trade-SAIP-SAIP-FW</v>
      </c>
      <c r="BD284" s="591" t="str">
        <f t="shared" si="22"/>
        <v>SAIP-SAIP-FW</v>
      </c>
      <c r="BE284" s="591" t="str">
        <f t="shared" si="23"/>
        <v>NONE</v>
      </c>
      <c r="BF284" s="594">
        <f t="shared" si="24"/>
        <v>7</v>
      </c>
    </row>
    <row r="285" spans="1:58" ht="42" customHeight="1" x14ac:dyDescent="0.45">
      <c r="A285" s="42">
        <v>252</v>
      </c>
      <c r="B285" s="298" t="s">
        <v>2020</v>
      </c>
      <c r="C285" s="44" t="s">
        <v>2021</v>
      </c>
      <c r="D285" s="44" t="s">
        <v>2005</v>
      </c>
      <c r="E285" s="298" t="s">
        <v>557</v>
      </c>
      <c r="F285" s="45" t="s">
        <v>58</v>
      </c>
      <c r="G285" s="44" t="s">
        <v>59</v>
      </c>
      <c r="H285" s="44" t="s">
        <v>57</v>
      </c>
      <c r="I285" s="46" t="s">
        <v>61</v>
      </c>
      <c r="J285" s="46" t="s">
        <v>62</v>
      </c>
      <c r="K285" s="44" t="s">
        <v>558</v>
      </c>
      <c r="L285" s="66" t="s">
        <v>559</v>
      </c>
      <c r="M285" s="44" t="s">
        <v>2024</v>
      </c>
      <c r="N285" s="59" t="s">
        <v>275</v>
      </c>
      <c r="O285" s="48" t="s">
        <v>196</v>
      </c>
      <c r="P285" s="44" t="s">
        <v>561</v>
      </c>
      <c r="Q285" s="281" t="s">
        <v>562</v>
      </c>
      <c r="R285" s="281" t="s">
        <v>563</v>
      </c>
      <c r="S285" s="283" t="s">
        <v>564</v>
      </c>
      <c r="T285" s="281" t="s">
        <v>565</v>
      </c>
      <c r="U285" s="25" t="s">
        <v>566</v>
      </c>
      <c r="V285" s="281" t="s">
        <v>282</v>
      </c>
      <c r="W285" s="282" t="s">
        <v>283</v>
      </c>
      <c r="X285" s="281" t="s">
        <v>284</v>
      </c>
      <c r="Y285" s="49" t="s">
        <v>285</v>
      </c>
      <c r="Z285" s="281" t="s">
        <v>286</v>
      </c>
      <c r="AA285" s="283" t="s">
        <v>286</v>
      </c>
      <c r="AB285" s="281" t="s">
        <v>287</v>
      </c>
      <c r="AC285" s="281" t="s">
        <v>288</v>
      </c>
      <c r="AD285" s="49" t="s">
        <v>289</v>
      </c>
      <c r="AE285" s="58" t="s">
        <v>290</v>
      </c>
      <c r="AF285" s="56" t="s">
        <v>291</v>
      </c>
      <c r="AG285" s="281" t="s">
        <v>292</v>
      </c>
      <c r="AH285" s="281" t="s">
        <v>293</v>
      </c>
      <c r="AI285" s="286" t="s">
        <v>215</v>
      </c>
      <c r="AJ285" s="281" t="s">
        <v>216</v>
      </c>
      <c r="AK285" s="287" t="s">
        <v>217</v>
      </c>
      <c r="AL285" s="288" t="s">
        <v>218</v>
      </c>
      <c r="AM285" s="289" t="s">
        <v>219</v>
      </c>
      <c r="AN285" s="290" t="s">
        <v>220</v>
      </c>
      <c r="AO285" s="291" t="s">
        <v>221</v>
      </c>
      <c r="AP285" s="51" t="s">
        <v>138</v>
      </c>
      <c r="AQ285" s="292" t="s">
        <v>139</v>
      </c>
      <c r="AR285" s="287" t="s">
        <v>140</v>
      </c>
      <c r="AS285" s="22" t="s">
        <v>141</v>
      </c>
      <c r="AT285" s="288" t="s">
        <v>142</v>
      </c>
      <c r="AU285" s="293" t="s">
        <v>143</v>
      </c>
      <c r="AV285" s="294" t="s">
        <v>144</v>
      </c>
      <c r="AW285" s="295" t="s">
        <v>145</v>
      </c>
      <c r="AX285" s="296" t="s">
        <v>146</v>
      </c>
      <c r="AY285" s="297" t="s">
        <v>147</v>
      </c>
      <c r="AZ285" s="294" t="s">
        <v>567</v>
      </c>
      <c r="BA285" s="34" t="s">
        <v>320</v>
      </c>
      <c r="BB285" s="591" t="str">
        <f t="shared" si="20"/>
        <v>TEMPLATE</v>
      </c>
      <c r="BC285" s="591" t="str">
        <f t="shared" si="21"/>
        <v>11. Industry &amp; Trade-SAIP-NCA-ECC-2:2024</v>
      </c>
      <c r="BD285" s="591" t="str">
        <f t="shared" si="22"/>
        <v>SAIP-NCA-ECC-2-2024</v>
      </c>
      <c r="BE285" s="591" t="str">
        <f t="shared" si="23"/>
        <v>NCA-ECC-2-2024</v>
      </c>
      <c r="BF285" s="594">
        <f t="shared" si="24"/>
        <v>6</v>
      </c>
    </row>
    <row r="286" spans="1:58" x14ac:dyDescent="0.45">
      <c r="BB286" s="591" t="str">
        <f t="shared" si="20"/>
        <v/>
      </c>
      <c r="BC286" s="591" t="str">
        <f t="shared" si="21"/>
        <v/>
      </c>
      <c r="BD286" s="591" t="str">
        <f t="shared" si="22"/>
        <v/>
      </c>
      <c r="BE286" s="591" t="str">
        <f t="shared" si="23"/>
        <v/>
      </c>
      <c r="BF286" s="594" t="str">
        <f t="shared" si="24"/>
        <v/>
      </c>
    </row>
    <row r="287" spans="1:58" ht="19.5" customHeight="1" x14ac:dyDescent="0.45">
      <c r="A287" s="299"/>
      <c r="B287" s="300" t="s">
        <v>2025</v>
      </c>
      <c r="C287" s="299"/>
      <c r="D287" s="299"/>
      <c r="E287" s="299"/>
      <c r="F287" s="299"/>
      <c r="G287" s="299"/>
      <c r="H287" s="299"/>
      <c r="I287" s="299"/>
      <c r="J287" s="299"/>
      <c r="K287" s="299"/>
      <c r="L287" s="299"/>
      <c r="M287" s="299"/>
      <c r="N287" s="299"/>
      <c r="O287" s="299"/>
      <c r="P287" s="299"/>
      <c r="BB287" s="591" t="str">
        <f t="shared" si="20"/>
        <v/>
      </c>
      <c r="BC287" s="591" t="str">
        <f t="shared" si="21"/>
        <v/>
      </c>
      <c r="BD287" s="591" t="str">
        <f t="shared" si="22"/>
        <v/>
      </c>
      <c r="BE287" s="591" t="str">
        <f t="shared" si="23"/>
        <v/>
      </c>
      <c r="BF287" s="594" t="str">
        <f t="shared" si="24"/>
        <v/>
      </c>
    </row>
    <row r="288" spans="1:58" ht="42" customHeight="1" x14ac:dyDescent="0.45">
      <c r="A288" s="301">
        <v>253</v>
      </c>
      <c r="B288" s="302" t="s">
        <v>2026</v>
      </c>
      <c r="C288" s="303" t="s">
        <v>2027</v>
      </c>
      <c r="D288" s="303" t="s">
        <v>2028</v>
      </c>
      <c r="E288" s="302" t="s">
        <v>2029</v>
      </c>
      <c r="F288" s="304" t="s">
        <v>2030</v>
      </c>
      <c r="G288" s="303" t="s">
        <v>1898</v>
      </c>
      <c r="H288" s="303" t="s">
        <v>1746</v>
      </c>
      <c r="I288" s="305" t="s">
        <v>61</v>
      </c>
      <c r="J288" s="305" t="s">
        <v>310</v>
      </c>
      <c r="K288" s="303" t="s">
        <v>63</v>
      </c>
      <c r="L288" s="22" t="s">
        <v>64</v>
      </c>
      <c r="M288" s="303" t="s">
        <v>1900</v>
      </c>
      <c r="N288" s="306" t="s">
        <v>253</v>
      </c>
      <c r="O288" s="307" t="s">
        <v>1901</v>
      </c>
      <c r="P288" s="303" t="s">
        <v>1902</v>
      </c>
      <c r="Q288" s="303" t="s">
        <v>562</v>
      </c>
      <c r="R288" s="303" t="s">
        <v>563</v>
      </c>
      <c r="S288" s="305" t="s">
        <v>564</v>
      </c>
      <c r="T288" s="303" t="s">
        <v>565</v>
      </c>
      <c r="U288" s="25" t="s">
        <v>566</v>
      </c>
      <c r="V288" s="303" t="s">
        <v>282</v>
      </c>
      <c r="W288" s="304" t="s">
        <v>283</v>
      </c>
      <c r="X288" s="303" t="s">
        <v>284</v>
      </c>
      <c r="Y288" s="49" t="s">
        <v>285</v>
      </c>
      <c r="Z288" s="303" t="s">
        <v>286</v>
      </c>
      <c r="AA288" s="305" t="s">
        <v>286</v>
      </c>
      <c r="AB288" s="303" t="s">
        <v>287</v>
      </c>
      <c r="AC288" s="303" t="s">
        <v>288</v>
      </c>
      <c r="AD288" s="49" t="s">
        <v>289</v>
      </c>
      <c r="AE288" s="58" t="s">
        <v>290</v>
      </c>
      <c r="AF288" s="56" t="s">
        <v>291</v>
      </c>
      <c r="AG288" s="303" t="s">
        <v>292</v>
      </c>
      <c r="AH288" s="303" t="s">
        <v>293</v>
      </c>
      <c r="AI288" s="308" t="s">
        <v>215</v>
      </c>
      <c r="AJ288" s="303" t="s">
        <v>216</v>
      </c>
      <c r="AK288" s="309" t="s">
        <v>217</v>
      </c>
      <c r="AL288" s="310" t="s">
        <v>218</v>
      </c>
      <c r="AM288" s="311" t="s">
        <v>219</v>
      </c>
      <c r="AN288" s="312" t="s">
        <v>220</v>
      </c>
      <c r="AO288" s="313" t="s">
        <v>221</v>
      </c>
      <c r="AP288" s="51" t="s">
        <v>138</v>
      </c>
      <c r="AQ288" s="314" t="s">
        <v>139</v>
      </c>
      <c r="AR288" s="309" t="s">
        <v>140</v>
      </c>
      <c r="AS288" s="22" t="s">
        <v>141</v>
      </c>
      <c r="AT288" s="310" t="s">
        <v>142</v>
      </c>
      <c r="AU288" s="315" t="s">
        <v>143</v>
      </c>
      <c r="AV288" s="316" t="s">
        <v>144</v>
      </c>
      <c r="AW288" s="317" t="s">
        <v>145</v>
      </c>
      <c r="AX288" s="318" t="s">
        <v>146</v>
      </c>
      <c r="AY288" s="319" t="s">
        <v>147</v>
      </c>
      <c r="AZ288" s="316" t="s">
        <v>104</v>
      </c>
      <c r="BA288" s="41" t="s">
        <v>105</v>
      </c>
      <c r="BB288" s="591" t="str">
        <f t="shared" si="20"/>
        <v>TEMPLATE</v>
      </c>
      <c r="BC288" s="591" t="str">
        <f t="shared" si="21"/>
        <v>12. Education &amp; Research-ETEC-ETEC-FW</v>
      </c>
      <c r="BD288" s="591" t="str">
        <f t="shared" si="22"/>
        <v>ETEC-ETEC-FW</v>
      </c>
      <c r="BE288" s="591" t="str">
        <f t="shared" si="23"/>
        <v>NONE</v>
      </c>
      <c r="BF288" s="594">
        <f t="shared" si="24"/>
        <v>7</v>
      </c>
    </row>
    <row r="289" spans="1:58" ht="42" customHeight="1" x14ac:dyDescent="0.45">
      <c r="A289" s="42">
        <v>254</v>
      </c>
      <c r="B289" s="320" t="s">
        <v>2026</v>
      </c>
      <c r="C289" s="44" t="s">
        <v>2027</v>
      </c>
      <c r="D289" s="44" t="s">
        <v>2028</v>
      </c>
      <c r="E289" s="320" t="s">
        <v>557</v>
      </c>
      <c r="F289" s="45" t="s">
        <v>58</v>
      </c>
      <c r="G289" s="44" t="s">
        <v>59</v>
      </c>
      <c r="H289" s="44" t="s">
        <v>57</v>
      </c>
      <c r="I289" s="46" t="s">
        <v>61</v>
      </c>
      <c r="J289" s="46" t="s">
        <v>62</v>
      </c>
      <c r="K289" s="44" t="s">
        <v>558</v>
      </c>
      <c r="L289" s="66" t="s">
        <v>559</v>
      </c>
      <c r="M289" s="44" t="s">
        <v>2031</v>
      </c>
      <c r="N289" s="59" t="s">
        <v>275</v>
      </c>
      <c r="O289" s="48" t="s">
        <v>196</v>
      </c>
      <c r="P289" s="44" t="s">
        <v>561</v>
      </c>
      <c r="Q289" s="303" t="s">
        <v>562</v>
      </c>
      <c r="R289" s="303" t="s">
        <v>563</v>
      </c>
      <c r="S289" s="305" t="s">
        <v>564</v>
      </c>
      <c r="T289" s="303" t="s">
        <v>565</v>
      </c>
      <c r="U289" s="25" t="s">
        <v>566</v>
      </c>
      <c r="V289" s="303" t="s">
        <v>282</v>
      </c>
      <c r="W289" s="304" t="s">
        <v>283</v>
      </c>
      <c r="X289" s="303" t="s">
        <v>284</v>
      </c>
      <c r="Y289" s="49" t="s">
        <v>285</v>
      </c>
      <c r="Z289" s="303" t="s">
        <v>286</v>
      </c>
      <c r="AA289" s="305" t="s">
        <v>286</v>
      </c>
      <c r="AB289" s="303" t="s">
        <v>287</v>
      </c>
      <c r="AC289" s="303" t="s">
        <v>288</v>
      </c>
      <c r="AD289" s="49" t="s">
        <v>289</v>
      </c>
      <c r="AE289" s="58" t="s">
        <v>290</v>
      </c>
      <c r="AF289" s="56" t="s">
        <v>291</v>
      </c>
      <c r="AG289" s="303" t="s">
        <v>292</v>
      </c>
      <c r="AH289" s="303" t="s">
        <v>293</v>
      </c>
      <c r="AI289" s="308" t="s">
        <v>215</v>
      </c>
      <c r="AJ289" s="303" t="s">
        <v>216</v>
      </c>
      <c r="AK289" s="309" t="s">
        <v>217</v>
      </c>
      <c r="AL289" s="310" t="s">
        <v>218</v>
      </c>
      <c r="AM289" s="311" t="s">
        <v>219</v>
      </c>
      <c r="AN289" s="312" t="s">
        <v>220</v>
      </c>
      <c r="AO289" s="313" t="s">
        <v>221</v>
      </c>
      <c r="AP289" s="51" t="s">
        <v>138</v>
      </c>
      <c r="AQ289" s="314" t="s">
        <v>139</v>
      </c>
      <c r="AR289" s="309" t="s">
        <v>140</v>
      </c>
      <c r="AS289" s="22" t="s">
        <v>141</v>
      </c>
      <c r="AT289" s="310" t="s">
        <v>142</v>
      </c>
      <c r="AU289" s="315" t="s">
        <v>143</v>
      </c>
      <c r="AV289" s="316" t="s">
        <v>144</v>
      </c>
      <c r="AW289" s="317" t="s">
        <v>145</v>
      </c>
      <c r="AX289" s="318" t="s">
        <v>146</v>
      </c>
      <c r="AY289" s="319" t="s">
        <v>147</v>
      </c>
      <c r="AZ289" s="316" t="s">
        <v>567</v>
      </c>
      <c r="BA289" s="34" t="s">
        <v>320</v>
      </c>
      <c r="BB289" s="591" t="str">
        <f t="shared" si="20"/>
        <v>TEMPLATE</v>
      </c>
      <c r="BC289" s="591" t="str">
        <f t="shared" si="21"/>
        <v>12. Education &amp; Research-ETEC-NCA-ECC-2:2024</v>
      </c>
      <c r="BD289" s="591" t="str">
        <f t="shared" si="22"/>
        <v>ETEC-NCA-ECC-2-2024</v>
      </c>
      <c r="BE289" s="591" t="str">
        <f t="shared" si="23"/>
        <v>NCA-ECC-2-2024</v>
      </c>
      <c r="BF289" s="594">
        <f t="shared" si="24"/>
        <v>6</v>
      </c>
    </row>
    <row r="290" spans="1:58" ht="42" customHeight="1" x14ac:dyDescent="0.45">
      <c r="A290" s="301">
        <v>255</v>
      </c>
      <c r="B290" s="302" t="s">
        <v>2032</v>
      </c>
      <c r="C290" s="303" t="s">
        <v>2033</v>
      </c>
      <c r="D290" s="303" t="s">
        <v>2028</v>
      </c>
      <c r="E290" s="302" t="s">
        <v>2034</v>
      </c>
      <c r="F290" s="304" t="s">
        <v>2035</v>
      </c>
      <c r="G290" s="303" t="s">
        <v>1898</v>
      </c>
      <c r="H290" s="303" t="s">
        <v>1746</v>
      </c>
      <c r="I290" s="305" t="s">
        <v>2036</v>
      </c>
      <c r="J290" s="305" t="s">
        <v>310</v>
      </c>
      <c r="K290" s="303" t="s">
        <v>63</v>
      </c>
      <c r="L290" s="22" t="s">
        <v>64</v>
      </c>
      <c r="M290" s="303" t="s">
        <v>1900</v>
      </c>
      <c r="N290" s="306" t="s">
        <v>253</v>
      </c>
      <c r="O290" s="307" t="s">
        <v>1901</v>
      </c>
      <c r="P290" s="303" t="s">
        <v>1902</v>
      </c>
      <c r="Q290" s="303" t="s">
        <v>562</v>
      </c>
      <c r="R290" s="303" t="s">
        <v>563</v>
      </c>
      <c r="S290" s="305" t="s">
        <v>564</v>
      </c>
      <c r="T290" s="303" t="s">
        <v>565</v>
      </c>
      <c r="U290" s="25" t="s">
        <v>566</v>
      </c>
      <c r="V290" s="303" t="s">
        <v>282</v>
      </c>
      <c r="W290" s="304" t="s">
        <v>283</v>
      </c>
      <c r="X290" s="303" t="s">
        <v>284</v>
      </c>
      <c r="Y290" s="49" t="s">
        <v>285</v>
      </c>
      <c r="Z290" s="303" t="s">
        <v>286</v>
      </c>
      <c r="AA290" s="305" t="s">
        <v>286</v>
      </c>
      <c r="AB290" s="303" t="s">
        <v>287</v>
      </c>
      <c r="AC290" s="303" t="s">
        <v>288</v>
      </c>
      <c r="AD290" s="49" t="s">
        <v>289</v>
      </c>
      <c r="AE290" s="58" t="s">
        <v>290</v>
      </c>
      <c r="AF290" s="56" t="s">
        <v>291</v>
      </c>
      <c r="AG290" s="303" t="s">
        <v>292</v>
      </c>
      <c r="AH290" s="303" t="s">
        <v>293</v>
      </c>
      <c r="AI290" s="308" t="s">
        <v>215</v>
      </c>
      <c r="AJ290" s="303" t="s">
        <v>216</v>
      </c>
      <c r="AK290" s="309" t="s">
        <v>217</v>
      </c>
      <c r="AL290" s="310" t="s">
        <v>218</v>
      </c>
      <c r="AM290" s="311" t="s">
        <v>219</v>
      </c>
      <c r="AN290" s="312" t="s">
        <v>220</v>
      </c>
      <c r="AO290" s="313" t="s">
        <v>221</v>
      </c>
      <c r="AP290" s="51" t="s">
        <v>138</v>
      </c>
      <c r="AQ290" s="314" t="s">
        <v>139</v>
      </c>
      <c r="AR290" s="309" t="s">
        <v>140</v>
      </c>
      <c r="AS290" s="22" t="s">
        <v>141</v>
      </c>
      <c r="AT290" s="310" t="s">
        <v>142</v>
      </c>
      <c r="AU290" s="315" t="s">
        <v>143</v>
      </c>
      <c r="AV290" s="316" t="s">
        <v>144</v>
      </c>
      <c r="AW290" s="317" t="s">
        <v>145</v>
      </c>
      <c r="AX290" s="318" t="s">
        <v>146</v>
      </c>
      <c r="AY290" s="319" t="s">
        <v>147</v>
      </c>
      <c r="AZ290" s="316" t="s">
        <v>104</v>
      </c>
      <c r="BA290" s="41" t="s">
        <v>105</v>
      </c>
      <c r="BB290" s="591" t="str">
        <f t="shared" si="20"/>
        <v>TEMPLATE</v>
      </c>
      <c r="BC290" s="591" t="str">
        <f t="shared" si="21"/>
        <v>12. Education &amp; Research-TVTC-TVTC-FW</v>
      </c>
      <c r="BD290" s="591" t="str">
        <f t="shared" si="22"/>
        <v>TVTC-TVTC-FW</v>
      </c>
      <c r="BE290" s="591" t="str">
        <f t="shared" si="23"/>
        <v>NONE</v>
      </c>
      <c r="BF290" s="594">
        <f t="shared" si="24"/>
        <v>7</v>
      </c>
    </row>
    <row r="291" spans="1:58" ht="42" customHeight="1" x14ac:dyDescent="0.45">
      <c r="A291" s="42">
        <v>256</v>
      </c>
      <c r="B291" s="320" t="s">
        <v>2032</v>
      </c>
      <c r="C291" s="44" t="s">
        <v>2033</v>
      </c>
      <c r="D291" s="44" t="s">
        <v>2028</v>
      </c>
      <c r="E291" s="320" t="s">
        <v>557</v>
      </c>
      <c r="F291" s="45" t="s">
        <v>58</v>
      </c>
      <c r="G291" s="44" t="s">
        <v>59</v>
      </c>
      <c r="H291" s="44" t="s">
        <v>57</v>
      </c>
      <c r="I291" s="46" t="s">
        <v>61</v>
      </c>
      <c r="J291" s="46" t="s">
        <v>62</v>
      </c>
      <c r="K291" s="44" t="s">
        <v>558</v>
      </c>
      <c r="L291" s="66" t="s">
        <v>559</v>
      </c>
      <c r="M291" s="44" t="s">
        <v>2037</v>
      </c>
      <c r="N291" s="59" t="s">
        <v>275</v>
      </c>
      <c r="O291" s="48" t="s">
        <v>196</v>
      </c>
      <c r="P291" s="44" t="s">
        <v>561</v>
      </c>
      <c r="Q291" s="303" t="s">
        <v>562</v>
      </c>
      <c r="R291" s="303" t="s">
        <v>563</v>
      </c>
      <c r="S291" s="305" t="s">
        <v>564</v>
      </c>
      <c r="T291" s="303" t="s">
        <v>565</v>
      </c>
      <c r="U291" s="25" t="s">
        <v>566</v>
      </c>
      <c r="V291" s="303" t="s">
        <v>282</v>
      </c>
      <c r="W291" s="304" t="s">
        <v>283</v>
      </c>
      <c r="X291" s="303" t="s">
        <v>284</v>
      </c>
      <c r="Y291" s="49" t="s">
        <v>285</v>
      </c>
      <c r="Z291" s="303" t="s">
        <v>286</v>
      </c>
      <c r="AA291" s="305" t="s">
        <v>286</v>
      </c>
      <c r="AB291" s="303" t="s">
        <v>287</v>
      </c>
      <c r="AC291" s="303" t="s">
        <v>288</v>
      </c>
      <c r="AD291" s="49" t="s">
        <v>289</v>
      </c>
      <c r="AE291" s="58" t="s">
        <v>290</v>
      </c>
      <c r="AF291" s="56" t="s">
        <v>291</v>
      </c>
      <c r="AG291" s="303" t="s">
        <v>292</v>
      </c>
      <c r="AH291" s="303" t="s">
        <v>293</v>
      </c>
      <c r="AI291" s="308" t="s">
        <v>215</v>
      </c>
      <c r="AJ291" s="303" t="s">
        <v>216</v>
      </c>
      <c r="AK291" s="309" t="s">
        <v>217</v>
      </c>
      <c r="AL291" s="310" t="s">
        <v>218</v>
      </c>
      <c r="AM291" s="311" t="s">
        <v>219</v>
      </c>
      <c r="AN291" s="312" t="s">
        <v>220</v>
      </c>
      <c r="AO291" s="313" t="s">
        <v>221</v>
      </c>
      <c r="AP291" s="51" t="s">
        <v>138</v>
      </c>
      <c r="AQ291" s="314" t="s">
        <v>139</v>
      </c>
      <c r="AR291" s="309" t="s">
        <v>140</v>
      </c>
      <c r="AS291" s="22" t="s">
        <v>141</v>
      </c>
      <c r="AT291" s="310" t="s">
        <v>142</v>
      </c>
      <c r="AU291" s="315" t="s">
        <v>143</v>
      </c>
      <c r="AV291" s="316" t="s">
        <v>144</v>
      </c>
      <c r="AW291" s="317" t="s">
        <v>145</v>
      </c>
      <c r="AX291" s="318" t="s">
        <v>146</v>
      </c>
      <c r="AY291" s="319" t="s">
        <v>147</v>
      </c>
      <c r="AZ291" s="316" t="s">
        <v>567</v>
      </c>
      <c r="BA291" s="34" t="s">
        <v>320</v>
      </c>
      <c r="BB291" s="591" t="str">
        <f t="shared" si="20"/>
        <v>TEMPLATE</v>
      </c>
      <c r="BC291" s="591" t="str">
        <f t="shared" si="21"/>
        <v>12. Education &amp; Research-TVTC-NCA-ECC-2:2024</v>
      </c>
      <c r="BD291" s="591" t="str">
        <f t="shared" si="22"/>
        <v>TVTC-NCA-ECC-2-2024</v>
      </c>
      <c r="BE291" s="591" t="str">
        <f t="shared" si="23"/>
        <v>NCA-ECC-2-2024</v>
      </c>
      <c r="BF291" s="594">
        <f t="shared" si="24"/>
        <v>6</v>
      </c>
    </row>
    <row r="292" spans="1:58" ht="42" customHeight="1" x14ac:dyDescent="0.45">
      <c r="A292" s="301">
        <v>257</v>
      </c>
      <c r="B292" s="302" t="s">
        <v>2038</v>
      </c>
      <c r="C292" s="303" t="s">
        <v>2039</v>
      </c>
      <c r="D292" s="303" t="s">
        <v>2028</v>
      </c>
      <c r="E292" s="302" t="s">
        <v>2040</v>
      </c>
      <c r="F292" s="304" t="s">
        <v>2041</v>
      </c>
      <c r="G292" s="303" t="s">
        <v>1898</v>
      </c>
      <c r="H292" s="303" t="s">
        <v>1746</v>
      </c>
      <c r="I292" s="305" t="s">
        <v>2042</v>
      </c>
      <c r="J292" s="305" t="s">
        <v>310</v>
      </c>
      <c r="K292" s="303" t="s">
        <v>63</v>
      </c>
      <c r="L292" s="22" t="s">
        <v>64</v>
      </c>
      <c r="M292" s="303" t="s">
        <v>1900</v>
      </c>
      <c r="N292" s="306" t="s">
        <v>253</v>
      </c>
      <c r="O292" s="307" t="s">
        <v>1901</v>
      </c>
      <c r="P292" s="303" t="s">
        <v>1902</v>
      </c>
      <c r="Q292" s="303" t="s">
        <v>562</v>
      </c>
      <c r="R292" s="303" t="s">
        <v>563</v>
      </c>
      <c r="S292" s="305" t="s">
        <v>564</v>
      </c>
      <c r="T292" s="303" t="s">
        <v>565</v>
      </c>
      <c r="U292" s="25" t="s">
        <v>566</v>
      </c>
      <c r="V292" s="303" t="s">
        <v>282</v>
      </c>
      <c r="W292" s="304" t="s">
        <v>283</v>
      </c>
      <c r="X292" s="303" t="s">
        <v>284</v>
      </c>
      <c r="Y292" s="49" t="s">
        <v>285</v>
      </c>
      <c r="Z292" s="303" t="s">
        <v>286</v>
      </c>
      <c r="AA292" s="305" t="s">
        <v>286</v>
      </c>
      <c r="AB292" s="303" t="s">
        <v>287</v>
      </c>
      <c r="AC292" s="303" t="s">
        <v>288</v>
      </c>
      <c r="AD292" s="49" t="s">
        <v>289</v>
      </c>
      <c r="AE292" s="58" t="s">
        <v>290</v>
      </c>
      <c r="AF292" s="56" t="s">
        <v>291</v>
      </c>
      <c r="AG292" s="303" t="s">
        <v>292</v>
      </c>
      <c r="AH292" s="303" t="s">
        <v>293</v>
      </c>
      <c r="AI292" s="308" t="s">
        <v>215</v>
      </c>
      <c r="AJ292" s="303" t="s">
        <v>216</v>
      </c>
      <c r="AK292" s="309" t="s">
        <v>217</v>
      </c>
      <c r="AL292" s="310" t="s">
        <v>218</v>
      </c>
      <c r="AM292" s="311" t="s">
        <v>219</v>
      </c>
      <c r="AN292" s="312" t="s">
        <v>220</v>
      </c>
      <c r="AO292" s="313" t="s">
        <v>221</v>
      </c>
      <c r="AP292" s="51" t="s">
        <v>138</v>
      </c>
      <c r="AQ292" s="314" t="s">
        <v>139</v>
      </c>
      <c r="AR292" s="309" t="s">
        <v>140</v>
      </c>
      <c r="AS292" s="22" t="s">
        <v>141</v>
      </c>
      <c r="AT292" s="310" t="s">
        <v>142</v>
      </c>
      <c r="AU292" s="315" t="s">
        <v>143</v>
      </c>
      <c r="AV292" s="316" t="s">
        <v>144</v>
      </c>
      <c r="AW292" s="317" t="s">
        <v>145</v>
      </c>
      <c r="AX292" s="318" t="s">
        <v>146</v>
      </c>
      <c r="AY292" s="319" t="s">
        <v>147</v>
      </c>
      <c r="AZ292" s="316" t="s">
        <v>104</v>
      </c>
      <c r="BA292" s="41" t="s">
        <v>105</v>
      </c>
      <c r="BB292" s="591" t="str">
        <f t="shared" si="20"/>
        <v>TEMPLATE</v>
      </c>
      <c r="BC292" s="591" t="str">
        <f t="shared" si="21"/>
        <v>12. Education &amp; Research-KAUST-KAUST-FW</v>
      </c>
      <c r="BD292" s="591" t="str">
        <f t="shared" si="22"/>
        <v>KAUST-KAUST-FW</v>
      </c>
      <c r="BE292" s="591" t="str">
        <f t="shared" si="23"/>
        <v>NONE</v>
      </c>
      <c r="BF292" s="594">
        <f t="shared" si="24"/>
        <v>7</v>
      </c>
    </row>
    <row r="293" spans="1:58" ht="42" customHeight="1" x14ac:dyDescent="0.45">
      <c r="A293" s="42">
        <v>258</v>
      </c>
      <c r="B293" s="320" t="s">
        <v>2038</v>
      </c>
      <c r="C293" s="44" t="s">
        <v>2039</v>
      </c>
      <c r="D293" s="44" t="s">
        <v>2028</v>
      </c>
      <c r="E293" s="320" t="s">
        <v>557</v>
      </c>
      <c r="F293" s="45" t="s">
        <v>58</v>
      </c>
      <c r="G293" s="44" t="s">
        <v>59</v>
      </c>
      <c r="H293" s="44" t="s">
        <v>57</v>
      </c>
      <c r="I293" s="46" t="s">
        <v>61</v>
      </c>
      <c r="J293" s="46" t="s">
        <v>62</v>
      </c>
      <c r="K293" s="44" t="s">
        <v>558</v>
      </c>
      <c r="L293" s="66" t="s">
        <v>559</v>
      </c>
      <c r="M293" s="44" t="s">
        <v>2043</v>
      </c>
      <c r="N293" s="59" t="s">
        <v>275</v>
      </c>
      <c r="O293" s="48" t="s">
        <v>196</v>
      </c>
      <c r="P293" s="44" t="s">
        <v>561</v>
      </c>
      <c r="Q293" s="303" t="s">
        <v>562</v>
      </c>
      <c r="R293" s="303" t="s">
        <v>563</v>
      </c>
      <c r="S293" s="305" t="s">
        <v>564</v>
      </c>
      <c r="T293" s="303" t="s">
        <v>565</v>
      </c>
      <c r="U293" s="25" t="s">
        <v>566</v>
      </c>
      <c r="V293" s="303" t="s">
        <v>282</v>
      </c>
      <c r="W293" s="304" t="s">
        <v>283</v>
      </c>
      <c r="X293" s="303" t="s">
        <v>284</v>
      </c>
      <c r="Y293" s="49" t="s">
        <v>285</v>
      </c>
      <c r="Z293" s="303" t="s">
        <v>286</v>
      </c>
      <c r="AA293" s="305" t="s">
        <v>286</v>
      </c>
      <c r="AB293" s="303" t="s">
        <v>287</v>
      </c>
      <c r="AC293" s="303" t="s">
        <v>288</v>
      </c>
      <c r="AD293" s="49" t="s">
        <v>289</v>
      </c>
      <c r="AE293" s="58" t="s">
        <v>290</v>
      </c>
      <c r="AF293" s="56" t="s">
        <v>291</v>
      </c>
      <c r="AG293" s="303" t="s">
        <v>292</v>
      </c>
      <c r="AH293" s="303" t="s">
        <v>293</v>
      </c>
      <c r="AI293" s="308" t="s">
        <v>215</v>
      </c>
      <c r="AJ293" s="303" t="s">
        <v>216</v>
      </c>
      <c r="AK293" s="309" t="s">
        <v>217</v>
      </c>
      <c r="AL293" s="310" t="s">
        <v>218</v>
      </c>
      <c r="AM293" s="311" t="s">
        <v>219</v>
      </c>
      <c r="AN293" s="312" t="s">
        <v>220</v>
      </c>
      <c r="AO293" s="313" t="s">
        <v>221</v>
      </c>
      <c r="AP293" s="51" t="s">
        <v>138</v>
      </c>
      <c r="AQ293" s="314" t="s">
        <v>139</v>
      </c>
      <c r="AR293" s="309" t="s">
        <v>140</v>
      </c>
      <c r="AS293" s="22" t="s">
        <v>141</v>
      </c>
      <c r="AT293" s="310" t="s">
        <v>142</v>
      </c>
      <c r="AU293" s="315" t="s">
        <v>143</v>
      </c>
      <c r="AV293" s="316" t="s">
        <v>144</v>
      </c>
      <c r="AW293" s="317" t="s">
        <v>145</v>
      </c>
      <c r="AX293" s="318" t="s">
        <v>146</v>
      </c>
      <c r="AY293" s="319" t="s">
        <v>147</v>
      </c>
      <c r="AZ293" s="316" t="s">
        <v>567</v>
      </c>
      <c r="BA293" s="34" t="s">
        <v>320</v>
      </c>
      <c r="BB293" s="591" t="str">
        <f t="shared" si="20"/>
        <v>TEMPLATE</v>
      </c>
      <c r="BC293" s="591" t="str">
        <f t="shared" si="21"/>
        <v>12. Education &amp; Research-KAUST-NCA-ECC-2:2024</v>
      </c>
      <c r="BD293" s="591" t="str">
        <f t="shared" si="22"/>
        <v>KAUST-NCA-ECC-2-2024</v>
      </c>
      <c r="BE293" s="591" t="str">
        <f t="shared" si="23"/>
        <v>NCA-ECC-2-2024</v>
      </c>
      <c r="BF293" s="594">
        <f t="shared" si="24"/>
        <v>6</v>
      </c>
    </row>
    <row r="294" spans="1:58" ht="42" customHeight="1" x14ac:dyDescent="0.45">
      <c r="A294" s="301">
        <v>259</v>
      </c>
      <c r="B294" s="302" t="s">
        <v>2044</v>
      </c>
      <c r="C294" s="303" t="s">
        <v>2045</v>
      </c>
      <c r="D294" s="303" t="s">
        <v>2028</v>
      </c>
      <c r="E294" s="302" t="s">
        <v>2046</v>
      </c>
      <c r="F294" s="304" t="s">
        <v>2047</v>
      </c>
      <c r="G294" s="303" t="s">
        <v>1898</v>
      </c>
      <c r="H294" s="303" t="s">
        <v>1746</v>
      </c>
      <c r="I294" s="305" t="s">
        <v>2048</v>
      </c>
      <c r="J294" s="305" t="s">
        <v>310</v>
      </c>
      <c r="K294" s="303" t="s">
        <v>63</v>
      </c>
      <c r="L294" s="22" t="s">
        <v>64</v>
      </c>
      <c r="M294" s="303" t="s">
        <v>1900</v>
      </c>
      <c r="N294" s="306" t="s">
        <v>253</v>
      </c>
      <c r="O294" s="307" t="s">
        <v>1901</v>
      </c>
      <c r="P294" s="303" t="s">
        <v>1902</v>
      </c>
      <c r="Q294" s="303" t="s">
        <v>562</v>
      </c>
      <c r="R294" s="303" t="s">
        <v>563</v>
      </c>
      <c r="S294" s="305" t="s">
        <v>564</v>
      </c>
      <c r="T294" s="303" t="s">
        <v>565</v>
      </c>
      <c r="U294" s="25" t="s">
        <v>566</v>
      </c>
      <c r="V294" s="303" t="s">
        <v>282</v>
      </c>
      <c r="W294" s="304" t="s">
        <v>283</v>
      </c>
      <c r="X294" s="303" t="s">
        <v>284</v>
      </c>
      <c r="Y294" s="49" t="s">
        <v>285</v>
      </c>
      <c r="Z294" s="303" t="s">
        <v>286</v>
      </c>
      <c r="AA294" s="305" t="s">
        <v>286</v>
      </c>
      <c r="AB294" s="303" t="s">
        <v>287</v>
      </c>
      <c r="AC294" s="303" t="s">
        <v>288</v>
      </c>
      <c r="AD294" s="49" t="s">
        <v>289</v>
      </c>
      <c r="AE294" s="58" t="s">
        <v>290</v>
      </c>
      <c r="AF294" s="56" t="s">
        <v>291</v>
      </c>
      <c r="AG294" s="303" t="s">
        <v>292</v>
      </c>
      <c r="AH294" s="303" t="s">
        <v>293</v>
      </c>
      <c r="AI294" s="308" t="s">
        <v>215</v>
      </c>
      <c r="AJ294" s="303" t="s">
        <v>216</v>
      </c>
      <c r="AK294" s="309" t="s">
        <v>217</v>
      </c>
      <c r="AL294" s="310" t="s">
        <v>218</v>
      </c>
      <c r="AM294" s="311" t="s">
        <v>219</v>
      </c>
      <c r="AN294" s="312" t="s">
        <v>220</v>
      </c>
      <c r="AO294" s="313" t="s">
        <v>221</v>
      </c>
      <c r="AP294" s="51" t="s">
        <v>138</v>
      </c>
      <c r="AQ294" s="314" t="s">
        <v>139</v>
      </c>
      <c r="AR294" s="309" t="s">
        <v>140</v>
      </c>
      <c r="AS294" s="22" t="s">
        <v>141</v>
      </c>
      <c r="AT294" s="310" t="s">
        <v>142</v>
      </c>
      <c r="AU294" s="315" t="s">
        <v>143</v>
      </c>
      <c r="AV294" s="316" t="s">
        <v>144</v>
      </c>
      <c r="AW294" s="317" t="s">
        <v>145</v>
      </c>
      <c r="AX294" s="318" t="s">
        <v>146</v>
      </c>
      <c r="AY294" s="319" t="s">
        <v>147</v>
      </c>
      <c r="AZ294" s="316" t="s">
        <v>104</v>
      </c>
      <c r="BA294" s="41" t="s">
        <v>105</v>
      </c>
      <c r="BB294" s="591" t="str">
        <f t="shared" si="20"/>
        <v>TEMPLATE</v>
      </c>
      <c r="BC294" s="591" t="str">
        <f t="shared" si="21"/>
        <v>12. Education &amp; Research-KSU-KSU-FW</v>
      </c>
      <c r="BD294" s="591" t="str">
        <f t="shared" si="22"/>
        <v>KSU-KSU-FW</v>
      </c>
      <c r="BE294" s="591" t="str">
        <f t="shared" si="23"/>
        <v>NONE</v>
      </c>
      <c r="BF294" s="594">
        <f t="shared" si="24"/>
        <v>7</v>
      </c>
    </row>
    <row r="295" spans="1:58" ht="42" customHeight="1" x14ac:dyDescent="0.45">
      <c r="A295" s="42">
        <v>260</v>
      </c>
      <c r="B295" s="320" t="s">
        <v>2044</v>
      </c>
      <c r="C295" s="44" t="s">
        <v>2045</v>
      </c>
      <c r="D295" s="44" t="s">
        <v>2028</v>
      </c>
      <c r="E295" s="320" t="s">
        <v>557</v>
      </c>
      <c r="F295" s="45" t="s">
        <v>58</v>
      </c>
      <c r="G295" s="44" t="s">
        <v>59</v>
      </c>
      <c r="H295" s="44" t="s">
        <v>57</v>
      </c>
      <c r="I295" s="46" t="s">
        <v>61</v>
      </c>
      <c r="J295" s="46" t="s">
        <v>62</v>
      </c>
      <c r="K295" s="44" t="s">
        <v>558</v>
      </c>
      <c r="L295" s="66" t="s">
        <v>559</v>
      </c>
      <c r="M295" s="44" t="s">
        <v>2049</v>
      </c>
      <c r="N295" s="59" t="s">
        <v>275</v>
      </c>
      <c r="O295" s="48" t="s">
        <v>196</v>
      </c>
      <c r="P295" s="44" t="s">
        <v>561</v>
      </c>
      <c r="Q295" s="303" t="s">
        <v>562</v>
      </c>
      <c r="R295" s="303" t="s">
        <v>563</v>
      </c>
      <c r="S295" s="305" t="s">
        <v>564</v>
      </c>
      <c r="T295" s="303" t="s">
        <v>565</v>
      </c>
      <c r="U295" s="25" t="s">
        <v>566</v>
      </c>
      <c r="V295" s="303" t="s">
        <v>282</v>
      </c>
      <c r="W295" s="304" t="s">
        <v>283</v>
      </c>
      <c r="X295" s="303" t="s">
        <v>284</v>
      </c>
      <c r="Y295" s="49" t="s">
        <v>285</v>
      </c>
      <c r="Z295" s="303" t="s">
        <v>286</v>
      </c>
      <c r="AA295" s="305" t="s">
        <v>286</v>
      </c>
      <c r="AB295" s="303" t="s">
        <v>287</v>
      </c>
      <c r="AC295" s="303" t="s">
        <v>288</v>
      </c>
      <c r="AD295" s="49" t="s">
        <v>289</v>
      </c>
      <c r="AE295" s="58" t="s">
        <v>290</v>
      </c>
      <c r="AF295" s="56" t="s">
        <v>291</v>
      </c>
      <c r="AG295" s="303" t="s">
        <v>292</v>
      </c>
      <c r="AH295" s="303" t="s">
        <v>293</v>
      </c>
      <c r="AI295" s="308" t="s">
        <v>215</v>
      </c>
      <c r="AJ295" s="303" t="s">
        <v>216</v>
      </c>
      <c r="AK295" s="309" t="s">
        <v>217</v>
      </c>
      <c r="AL295" s="310" t="s">
        <v>218</v>
      </c>
      <c r="AM295" s="311" t="s">
        <v>219</v>
      </c>
      <c r="AN295" s="312" t="s">
        <v>220</v>
      </c>
      <c r="AO295" s="313" t="s">
        <v>221</v>
      </c>
      <c r="AP295" s="51" t="s">
        <v>138</v>
      </c>
      <c r="AQ295" s="314" t="s">
        <v>139</v>
      </c>
      <c r="AR295" s="309" t="s">
        <v>140</v>
      </c>
      <c r="AS295" s="22" t="s">
        <v>141</v>
      </c>
      <c r="AT295" s="310" t="s">
        <v>142</v>
      </c>
      <c r="AU295" s="315" t="s">
        <v>143</v>
      </c>
      <c r="AV295" s="316" t="s">
        <v>144</v>
      </c>
      <c r="AW295" s="317" t="s">
        <v>145</v>
      </c>
      <c r="AX295" s="318" t="s">
        <v>146</v>
      </c>
      <c r="AY295" s="319" t="s">
        <v>147</v>
      </c>
      <c r="AZ295" s="316" t="s">
        <v>567</v>
      </c>
      <c r="BA295" s="34" t="s">
        <v>320</v>
      </c>
      <c r="BB295" s="591" t="str">
        <f t="shared" si="20"/>
        <v>TEMPLATE</v>
      </c>
      <c r="BC295" s="591" t="str">
        <f t="shared" si="21"/>
        <v>12. Education &amp; Research-KSU-NCA-ECC-2:2024</v>
      </c>
      <c r="BD295" s="591" t="str">
        <f t="shared" si="22"/>
        <v>KSU-NCA-ECC-2-2024</v>
      </c>
      <c r="BE295" s="591" t="str">
        <f t="shared" si="23"/>
        <v>NCA-ECC-2-2024</v>
      </c>
      <c r="BF295" s="594">
        <f t="shared" si="24"/>
        <v>6</v>
      </c>
    </row>
    <row r="296" spans="1:58" ht="42" customHeight="1" x14ac:dyDescent="0.45">
      <c r="A296" s="301">
        <v>261</v>
      </c>
      <c r="B296" s="302" t="s">
        <v>2050</v>
      </c>
      <c r="C296" s="303" t="s">
        <v>2051</v>
      </c>
      <c r="D296" s="303" t="s">
        <v>2028</v>
      </c>
      <c r="E296" s="302" t="s">
        <v>2052</v>
      </c>
      <c r="F296" s="304" t="s">
        <v>2047</v>
      </c>
      <c r="G296" s="303" t="s">
        <v>1898</v>
      </c>
      <c r="H296" s="303" t="s">
        <v>1746</v>
      </c>
      <c r="I296" s="305" t="s">
        <v>1862</v>
      </c>
      <c r="J296" s="305" t="s">
        <v>310</v>
      </c>
      <c r="K296" s="303" t="s">
        <v>63</v>
      </c>
      <c r="L296" s="22" t="s">
        <v>64</v>
      </c>
      <c r="M296" s="303" t="s">
        <v>1900</v>
      </c>
      <c r="N296" s="306" t="s">
        <v>253</v>
      </c>
      <c r="O296" s="307" t="s">
        <v>1901</v>
      </c>
      <c r="P296" s="303" t="s">
        <v>1902</v>
      </c>
      <c r="Q296" s="303" t="s">
        <v>562</v>
      </c>
      <c r="R296" s="303" t="s">
        <v>563</v>
      </c>
      <c r="S296" s="305" t="s">
        <v>564</v>
      </c>
      <c r="T296" s="303" t="s">
        <v>565</v>
      </c>
      <c r="U296" s="25" t="s">
        <v>566</v>
      </c>
      <c r="V296" s="303" t="s">
        <v>282</v>
      </c>
      <c r="W296" s="304" t="s">
        <v>283</v>
      </c>
      <c r="X296" s="303" t="s">
        <v>284</v>
      </c>
      <c r="Y296" s="49" t="s">
        <v>285</v>
      </c>
      <c r="Z296" s="303" t="s">
        <v>286</v>
      </c>
      <c r="AA296" s="305" t="s">
        <v>286</v>
      </c>
      <c r="AB296" s="303" t="s">
        <v>287</v>
      </c>
      <c r="AC296" s="303" t="s">
        <v>288</v>
      </c>
      <c r="AD296" s="49" t="s">
        <v>289</v>
      </c>
      <c r="AE296" s="58" t="s">
        <v>290</v>
      </c>
      <c r="AF296" s="56" t="s">
        <v>291</v>
      </c>
      <c r="AG296" s="303" t="s">
        <v>292</v>
      </c>
      <c r="AH296" s="303" t="s">
        <v>293</v>
      </c>
      <c r="AI296" s="308" t="s">
        <v>215</v>
      </c>
      <c r="AJ296" s="303" t="s">
        <v>216</v>
      </c>
      <c r="AK296" s="309" t="s">
        <v>217</v>
      </c>
      <c r="AL296" s="310" t="s">
        <v>218</v>
      </c>
      <c r="AM296" s="311" t="s">
        <v>219</v>
      </c>
      <c r="AN296" s="312" t="s">
        <v>220</v>
      </c>
      <c r="AO296" s="313" t="s">
        <v>221</v>
      </c>
      <c r="AP296" s="51" t="s">
        <v>138</v>
      </c>
      <c r="AQ296" s="314" t="s">
        <v>139</v>
      </c>
      <c r="AR296" s="309" t="s">
        <v>140</v>
      </c>
      <c r="AS296" s="22" t="s">
        <v>141</v>
      </c>
      <c r="AT296" s="310" t="s">
        <v>142</v>
      </c>
      <c r="AU296" s="315" t="s">
        <v>143</v>
      </c>
      <c r="AV296" s="316" t="s">
        <v>144</v>
      </c>
      <c r="AW296" s="317" t="s">
        <v>145</v>
      </c>
      <c r="AX296" s="318" t="s">
        <v>146</v>
      </c>
      <c r="AY296" s="319" t="s">
        <v>147</v>
      </c>
      <c r="AZ296" s="316" t="s">
        <v>104</v>
      </c>
      <c r="BA296" s="41" t="s">
        <v>105</v>
      </c>
      <c r="BB296" s="591" t="str">
        <f t="shared" si="20"/>
        <v>TEMPLATE</v>
      </c>
      <c r="BC296" s="591" t="str">
        <f t="shared" si="21"/>
        <v>12. Education &amp; Research-KAU-KAU-FW</v>
      </c>
      <c r="BD296" s="591" t="str">
        <f t="shared" si="22"/>
        <v>KAU-KAU-FW</v>
      </c>
      <c r="BE296" s="591" t="str">
        <f t="shared" si="23"/>
        <v>NONE</v>
      </c>
      <c r="BF296" s="594">
        <f t="shared" si="24"/>
        <v>7</v>
      </c>
    </row>
    <row r="297" spans="1:58" ht="42" customHeight="1" x14ac:dyDescent="0.45">
      <c r="A297" s="42">
        <v>262</v>
      </c>
      <c r="B297" s="320" t="s">
        <v>2050</v>
      </c>
      <c r="C297" s="44" t="s">
        <v>2051</v>
      </c>
      <c r="D297" s="44" t="s">
        <v>2028</v>
      </c>
      <c r="E297" s="320" t="s">
        <v>557</v>
      </c>
      <c r="F297" s="45" t="s">
        <v>58</v>
      </c>
      <c r="G297" s="44" t="s">
        <v>59</v>
      </c>
      <c r="H297" s="44" t="s">
        <v>57</v>
      </c>
      <c r="I297" s="46" t="s">
        <v>61</v>
      </c>
      <c r="J297" s="46" t="s">
        <v>62</v>
      </c>
      <c r="K297" s="44" t="s">
        <v>558</v>
      </c>
      <c r="L297" s="66" t="s">
        <v>559</v>
      </c>
      <c r="M297" s="44" t="s">
        <v>2053</v>
      </c>
      <c r="N297" s="59" t="s">
        <v>275</v>
      </c>
      <c r="O297" s="48" t="s">
        <v>196</v>
      </c>
      <c r="P297" s="44" t="s">
        <v>561</v>
      </c>
      <c r="Q297" s="303" t="s">
        <v>562</v>
      </c>
      <c r="R297" s="303" t="s">
        <v>563</v>
      </c>
      <c r="S297" s="305" t="s">
        <v>564</v>
      </c>
      <c r="T297" s="303" t="s">
        <v>565</v>
      </c>
      <c r="U297" s="25" t="s">
        <v>566</v>
      </c>
      <c r="V297" s="303" t="s">
        <v>282</v>
      </c>
      <c r="W297" s="304" t="s">
        <v>283</v>
      </c>
      <c r="X297" s="303" t="s">
        <v>284</v>
      </c>
      <c r="Y297" s="49" t="s">
        <v>285</v>
      </c>
      <c r="Z297" s="303" t="s">
        <v>286</v>
      </c>
      <c r="AA297" s="305" t="s">
        <v>286</v>
      </c>
      <c r="AB297" s="303" t="s">
        <v>287</v>
      </c>
      <c r="AC297" s="303" t="s">
        <v>288</v>
      </c>
      <c r="AD297" s="49" t="s">
        <v>289</v>
      </c>
      <c r="AE297" s="58" t="s">
        <v>290</v>
      </c>
      <c r="AF297" s="56" t="s">
        <v>291</v>
      </c>
      <c r="AG297" s="303" t="s">
        <v>292</v>
      </c>
      <c r="AH297" s="303" t="s">
        <v>293</v>
      </c>
      <c r="AI297" s="308" t="s">
        <v>215</v>
      </c>
      <c r="AJ297" s="303" t="s">
        <v>216</v>
      </c>
      <c r="AK297" s="309" t="s">
        <v>217</v>
      </c>
      <c r="AL297" s="310" t="s">
        <v>218</v>
      </c>
      <c r="AM297" s="311" t="s">
        <v>219</v>
      </c>
      <c r="AN297" s="312" t="s">
        <v>220</v>
      </c>
      <c r="AO297" s="313" t="s">
        <v>221</v>
      </c>
      <c r="AP297" s="51" t="s">
        <v>138</v>
      </c>
      <c r="AQ297" s="314" t="s">
        <v>139</v>
      </c>
      <c r="AR297" s="309" t="s">
        <v>140</v>
      </c>
      <c r="AS297" s="22" t="s">
        <v>141</v>
      </c>
      <c r="AT297" s="310" t="s">
        <v>142</v>
      </c>
      <c r="AU297" s="315" t="s">
        <v>143</v>
      </c>
      <c r="AV297" s="316" t="s">
        <v>144</v>
      </c>
      <c r="AW297" s="317" t="s">
        <v>145</v>
      </c>
      <c r="AX297" s="318" t="s">
        <v>146</v>
      </c>
      <c r="AY297" s="319" t="s">
        <v>147</v>
      </c>
      <c r="AZ297" s="316" t="s">
        <v>567</v>
      </c>
      <c r="BA297" s="34" t="s">
        <v>320</v>
      </c>
      <c r="BB297" s="591" t="str">
        <f t="shared" si="20"/>
        <v>TEMPLATE</v>
      </c>
      <c r="BC297" s="591" t="str">
        <f t="shared" si="21"/>
        <v>12. Education &amp; Research-KAU-NCA-ECC-2:2024</v>
      </c>
      <c r="BD297" s="591" t="str">
        <f t="shared" si="22"/>
        <v>KAU-NCA-ECC-2-2024</v>
      </c>
      <c r="BE297" s="591" t="str">
        <f t="shared" si="23"/>
        <v>NCA-ECC-2-2024</v>
      </c>
      <c r="BF297" s="594">
        <f t="shared" si="24"/>
        <v>6</v>
      </c>
    </row>
    <row r="298" spans="1:58" ht="42" customHeight="1" x14ac:dyDescent="0.45">
      <c r="A298" s="301">
        <v>263</v>
      </c>
      <c r="B298" s="302" t="s">
        <v>2054</v>
      </c>
      <c r="C298" s="303" t="s">
        <v>2055</v>
      </c>
      <c r="D298" s="303" t="s">
        <v>2028</v>
      </c>
      <c r="E298" s="302" t="s">
        <v>2056</v>
      </c>
      <c r="F298" s="304" t="s">
        <v>2057</v>
      </c>
      <c r="G298" s="303" t="s">
        <v>1898</v>
      </c>
      <c r="H298" s="303" t="s">
        <v>1746</v>
      </c>
      <c r="I298" s="305" t="s">
        <v>2058</v>
      </c>
      <c r="J298" s="305" t="s">
        <v>310</v>
      </c>
      <c r="K298" s="303" t="s">
        <v>63</v>
      </c>
      <c r="L298" s="22" t="s">
        <v>64</v>
      </c>
      <c r="M298" s="303" t="s">
        <v>1900</v>
      </c>
      <c r="N298" s="306" t="s">
        <v>253</v>
      </c>
      <c r="O298" s="307" t="s">
        <v>1901</v>
      </c>
      <c r="P298" s="303" t="s">
        <v>1902</v>
      </c>
      <c r="Q298" s="303" t="s">
        <v>562</v>
      </c>
      <c r="R298" s="303" t="s">
        <v>563</v>
      </c>
      <c r="S298" s="305" t="s">
        <v>564</v>
      </c>
      <c r="T298" s="303" t="s">
        <v>565</v>
      </c>
      <c r="U298" s="25" t="s">
        <v>566</v>
      </c>
      <c r="V298" s="303" t="s">
        <v>282</v>
      </c>
      <c r="W298" s="304" t="s">
        <v>283</v>
      </c>
      <c r="X298" s="303" t="s">
        <v>284</v>
      </c>
      <c r="Y298" s="49" t="s">
        <v>285</v>
      </c>
      <c r="Z298" s="303" t="s">
        <v>286</v>
      </c>
      <c r="AA298" s="305" t="s">
        <v>286</v>
      </c>
      <c r="AB298" s="303" t="s">
        <v>287</v>
      </c>
      <c r="AC298" s="303" t="s">
        <v>288</v>
      </c>
      <c r="AD298" s="49" t="s">
        <v>289</v>
      </c>
      <c r="AE298" s="58" t="s">
        <v>290</v>
      </c>
      <c r="AF298" s="56" t="s">
        <v>291</v>
      </c>
      <c r="AG298" s="303" t="s">
        <v>292</v>
      </c>
      <c r="AH298" s="303" t="s">
        <v>293</v>
      </c>
      <c r="AI298" s="308" t="s">
        <v>215</v>
      </c>
      <c r="AJ298" s="303" t="s">
        <v>216</v>
      </c>
      <c r="AK298" s="309" t="s">
        <v>217</v>
      </c>
      <c r="AL298" s="310" t="s">
        <v>218</v>
      </c>
      <c r="AM298" s="311" t="s">
        <v>219</v>
      </c>
      <c r="AN298" s="312" t="s">
        <v>220</v>
      </c>
      <c r="AO298" s="313" t="s">
        <v>221</v>
      </c>
      <c r="AP298" s="51" t="s">
        <v>138</v>
      </c>
      <c r="AQ298" s="314" t="s">
        <v>139</v>
      </c>
      <c r="AR298" s="309" t="s">
        <v>140</v>
      </c>
      <c r="AS298" s="22" t="s">
        <v>141</v>
      </c>
      <c r="AT298" s="310" t="s">
        <v>142</v>
      </c>
      <c r="AU298" s="315" t="s">
        <v>143</v>
      </c>
      <c r="AV298" s="316" t="s">
        <v>144</v>
      </c>
      <c r="AW298" s="317" t="s">
        <v>145</v>
      </c>
      <c r="AX298" s="318" t="s">
        <v>146</v>
      </c>
      <c r="AY298" s="319" t="s">
        <v>147</v>
      </c>
      <c r="AZ298" s="316" t="s">
        <v>104</v>
      </c>
      <c r="BA298" s="41" t="s">
        <v>105</v>
      </c>
      <c r="BB298" s="591" t="str">
        <f t="shared" si="20"/>
        <v>TEMPLATE</v>
      </c>
      <c r="BC298" s="591" t="str">
        <f t="shared" si="21"/>
        <v>12. Education &amp; Research-KFUPM-KFUPM-FW</v>
      </c>
      <c r="BD298" s="591" t="str">
        <f t="shared" si="22"/>
        <v>KFUPM-KFUPM-FW</v>
      </c>
      <c r="BE298" s="591" t="str">
        <f t="shared" si="23"/>
        <v>NONE</v>
      </c>
      <c r="BF298" s="594">
        <f t="shared" si="24"/>
        <v>7</v>
      </c>
    </row>
    <row r="299" spans="1:58" ht="42" customHeight="1" x14ac:dyDescent="0.45">
      <c r="A299" s="42">
        <v>264</v>
      </c>
      <c r="B299" s="320" t="s">
        <v>2054</v>
      </c>
      <c r="C299" s="44" t="s">
        <v>2055</v>
      </c>
      <c r="D299" s="44" t="s">
        <v>2028</v>
      </c>
      <c r="E299" s="320" t="s">
        <v>557</v>
      </c>
      <c r="F299" s="45" t="s">
        <v>58</v>
      </c>
      <c r="G299" s="44" t="s">
        <v>59</v>
      </c>
      <c r="H299" s="44" t="s">
        <v>57</v>
      </c>
      <c r="I299" s="46" t="s">
        <v>61</v>
      </c>
      <c r="J299" s="46" t="s">
        <v>62</v>
      </c>
      <c r="K299" s="44" t="s">
        <v>558</v>
      </c>
      <c r="L299" s="66" t="s">
        <v>559</v>
      </c>
      <c r="M299" s="44" t="s">
        <v>2059</v>
      </c>
      <c r="N299" s="59" t="s">
        <v>275</v>
      </c>
      <c r="O299" s="48" t="s">
        <v>196</v>
      </c>
      <c r="P299" s="44" t="s">
        <v>561</v>
      </c>
      <c r="Q299" s="303" t="s">
        <v>562</v>
      </c>
      <c r="R299" s="303" t="s">
        <v>563</v>
      </c>
      <c r="S299" s="305" t="s">
        <v>564</v>
      </c>
      <c r="T299" s="303" t="s">
        <v>565</v>
      </c>
      <c r="U299" s="25" t="s">
        <v>566</v>
      </c>
      <c r="V299" s="303" t="s">
        <v>282</v>
      </c>
      <c r="W299" s="304" t="s">
        <v>283</v>
      </c>
      <c r="X299" s="303" t="s">
        <v>284</v>
      </c>
      <c r="Y299" s="49" t="s">
        <v>285</v>
      </c>
      <c r="Z299" s="303" t="s">
        <v>286</v>
      </c>
      <c r="AA299" s="305" t="s">
        <v>286</v>
      </c>
      <c r="AB299" s="303" t="s">
        <v>287</v>
      </c>
      <c r="AC299" s="303" t="s">
        <v>288</v>
      </c>
      <c r="AD299" s="49" t="s">
        <v>289</v>
      </c>
      <c r="AE299" s="58" t="s">
        <v>290</v>
      </c>
      <c r="AF299" s="56" t="s">
        <v>291</v>
      </c>
      <c r="AG299" s="303" t="s">
        <v>292</v>
      </c>
      <c r="AH299" s="303" t="s">
        <v>293</v>
      </c>
      <c r="AI299" s="308" t="s">
        <v>215</v>
      </c>
      <c r="AJ299" s="303" t="s">
        <v>216</v>
      </c>
      <c r="AK299" s="309" t="s">
        <v>217</v>
      </c>
      <c r="AL299" s="310" t="s">
        <v>218</v>
      </c>
      <c r="AM299" s="311" t="s">
        <v>219</v>
      </c>
      <c r="AN299" s="312" t="s">
        <v>220</v>
      </c>
      <c r="AO299" s="313" t="s">
        <v>221</v>
      </c>
      <c r="AP299" s="51" t="s">
        <v>138</v>
      </c>
      <c r="AQ299" s="314" t="s">
        <v>139</v>
      </c>
      <c r="AR299" s="309" t="s">
        <v>140</v>
      </c>
      <c r="AS299" s="22" t="s">
        <v>141</v>
      </c>
      <c r="AT299" s="310" t="s">
        <v>142</v>
      </c>
      <c r="AU299" s="315" t="s">
        <v>143</v>
      </c>
      <c r="AV299" s="316" t="s">
        <v>144</v>
      </c>
      <c r="AW299" s="317" t="s">
        <v>145</v>
      </c>
      <c r="AX299" s="318" t="s">
        <v>146</v>
      </c>
      <c r="AY299" s="319" t="s">
        <v>147</v>
      </c>
      <c r="AZ299" s="316" t="s">
        <v>567</v>
      </c>
      <c r="BA299" s="34" t="s">
        <v>320</v>
      </c>
      <c r="BB299" s="591" t="str">
        <f t="shared" si="20"/>
        <v>TEMPLATE</v>
      </c>
      <c r="BC299" s="591" t="str">
        <f t="shared" si="21"/>
        <v>12. Education &amp; Research-KFUPM-NCA-ECC-2:2024</v>
      </c>
      <c r="BD299" s="591" t="str">
        <f t="shared" si="22"/>
        <v>KFUPM-NCA-ECC-2-2024</v>
      </c>
      <c r="BE299" s="591" t="str">
        <f t="shared" si="23"/>
        <v>NCA-ECC-2-2024</v>
      </c>
      <c r="BF299" s="594">
        <f t="shared" si="24"/>
        <v>6</v>
      </c>
    </row>
    <row r="300" spans="1:58" x14ac:dyDescent="0.45">
      <c r="BB300" s="591" t="str">
        <f t="shared" si="20"/>
        <v/>
      </c>
      <c r="BC300" s="591" t="str">
        <f t="shared" si="21"/>
        <v/>
      </c>
      <c r="BD300" s="591" t="str">
        <f t="shared" si="22"/>
        <v/>
      </c>
      <c r="BE300" s="591" t="str">
        <f t="shared" si="23"/>
        <v/>
      </c>
      <c r="BF300" s="594" t="str">
        <f t="shared" si="24"/>
        <v/>
      </c>
    </row>
    <row r="301" spans="1:58" ht="19.5" customHeight="1" x14ac:dyDescent="0.45">
      <c r="A301" s="321"/>
      <c r="B301" s="322" t="s">
        <v>2060</v>
      </c>
      <c r="C301" s="321"/>
      <c r="D301" s="321"/>
      <c r="E301" s="321"/>
      <c r="F301" s="321"/>
      <c r="G301" s="321"/>
      <c r="H301" s="321"/>
      <c r="I301" s="321"/>
      <c r="J301" s="321"/>
      <c r="K301" s="321"/>
      <c r="L301" s="321"/>
      <c r="M301" s="321"/>
      <c r="N301" s="321"/>
      <c r="O301" s="321"/>
      <c r="P301" s="321"/>
      <c r="BB301" s="591" t="str">
        <f t="shared" si="20"/>
        <v/>
      </c>
      <c r="BC301" s="591" t="str">
        <f t="shared" si="21"/>
        <v/>
      </c>
      <c r="BD301" s="591" t="str">
        <f t="shared" si="22"/>
        <v/>
      </c>
      <c r="BE301" s="591" t="str">
        <f t="shared" si="23"/>
        <v/>
      </c>
      <c r="BF301" s="594" t="str">
        <f t="shared" si="24"/>
        <v/>
      </c>
    </row>
    <row r="302" spans="1:58" ht="42" customHeight="1" x14ac:dyDescent="0.45">
      <c r="A302" s="323">
        <v>265</v>
      </c>
      <c r="B302" s="324" t="s">
        <v>2061</v>
      </c>
      <c r="C302" s="325" t="s">
        <v>2062</v>
      </c>
      <c r="D302" s="325" t="s">
        <v>2063</v>
      </c>
      <c r="E302" s="324" t="s">
        <v>2064</v>
      </c>
      <c r="F302" s="326" t="s">
        <v>2065</v>
      </c>
      <c r="G302" s="325" t="s">
        <v>1898</v>
      </c>
      <c r="H302" s="325" t="s">
        <v>1746</v>
      </c>
      <c r="I302" s="327" t="s">
        <v>2066</v>
      </c>
      <c r="J302" s="327" t="s">
        <v>310</v>
      </c>
      <c r="K302" s="325" t="s">
        <v>63</v>
      </c>
      <c r="L302" s="22" t="s">
        <v>64</v>
      </c>
      <c r="M302" s="325" t="s">
        <v>1900</v>
      </c>
      <c r="N302" s="328" t="s">
        <v>253</v>
      </c>
      <c r="O302" s="329" t="s">
        <v>1901</v>
      </c>
      <c r="P302" s="325" t="s">
        <v>1902</v>
      </c>
      <c r="Q302" s="325" t="s">
        <v>562</v>
      </c>
      <c r="R302" s="325" t="s">
        <v>563</v>
      </c>
      <c r="S302" s="327" t="s">
        <v>564</v>
      </c>
      <c r="T302" s="325" t="s">
        <v>565</v>
      </c>
      <c r="U302" s="25" t="s">
        <v>566</v>
      </c>
      <c r="V302" s="325" t="s">
        <v>282</v>
      </c>
      <c r="W302" s="326" t="s">
        <v>283</v>
      </c>
      <c r="X302" s="325" t="s">
        <v>284</v>
      </c>
      <c r="Y302" s="49" t="s">
        <v>285</v>
      </c>
      <c r="Z302" s="325" t="s">
        <v>286</v>
      </c>
      <c r="AA302" s="327" t="s">
        <v>286</v>
      </c>
      <c r="AB302" s="325" t="s">
        <v>287</v>
      </c>
      <c r="AC302" s="325" t="s">
        <v>288</v>
      </c>
      <c r="AD302" s="49" t="s">
        <v>289</v>
      </c>
      <c r="AE302" s="58" t="s">
        <v>290</v>
      </c>
      <c r="AF302" s="56" t="s">
        <v>291</v>
      </c>
      <c r="AG302" s="325" t="s">
        <v>292</v>
      </c>
      <c r="AH302" s="325" t="s">
        <v>293</v>
      </c>
      <c r="AI302" s="330" t="s">
        <v>215</v>
      </c>
      <c r="AJ302" s="325" t="s">
        <v>216</v>
      </c>
      <c r="AK302" s="331" t="s">
        <v>217</v>
      </c>
      <c r="AL302" s="332" t="s">
        <v>218</v>
      </c>
      <c r="AM302" s="333" t="s">
        <v>219</v>
      </c>
      <c r="AN302" s="334" t="s">
        <v>220</v>
      </c>
      <c r="AO302" s="335" t="s">
        <v>221</v>
      </c>
      <c r="AP302" s="51" t="s">
        <v>138</v>
      </c>
      <c r="AQ302" s="336" t="s">
        <v>139</v>
      </c>
      <c r="AR302" s="331" t="s">
        <v>140</v>
      </c>
      <c r="AS302" s="22" t="s">
        <v>141</v>
      </c>
      <c r="AT302" s="332" t="s">
        <v>142</v>
      </c>
      <c r="AU302" s="337" t="s">
        <v>143</v>
      </c>
      <c r="AV302" s="338" t="s">
        <v>144</v>
      </c>
      <c r="AW302" s="339" t="s">
        <v>145</v>
      </c>
      <c r="AX302" s="340" t="s">
        <v>146</v>
      </c>
      <c r="AY302" s="341" t="s">
        <v>147</v>
      </c>
      <c r="AZ302" s="338" t="s">
        <v>104</v>
      </c>
      <c r="BA302" s="41" t="s">
        <v>105</v>
      </c>
      <c r="BB302" s="591" t="str">
        <f t="shared" si="20"/>
        <v>TEMPLATE</v>
      </c>
      <c r="BC302" s="591" t="str">
        <f t="shared" si="21"/>
        <v>13. Legal &amp; Judicial-BOE-BOE-FW</v>
      </c>
      <c r="BD302" s="591" t="str">
        <f t="shared" si="22"/>
        <v>BOE-BOE-FW</v>
      </c>
      <c r="BE302" s="591" t="str">
        <f t="shared" si="23"/>
        <v>NONE</v>
      </c>
      <c r="BF302" s="594">
        <f t="shared" si="24"/>
        <v>7</v>
      </c>
    </row>
    <row r="303" spans="1:58" ht="42" customHeight="1" x14ac:dyDescent="0.45">
      <c r="A303" s="42">
        <v>266</v>
      </c>
      <c r="B303" s="342" t="s">
        <v>2061</v>
      </c>
      <c r="C303" s="44" t="s">
        <v>2062</v>
      </c>
      <c r="D303" s="44" t="s">
        <v>2063</v>
      </c>
      <c r="E303" s="342" t="s">
        <v>557</v>
      </c>
      <c r="F303" s="45" t="s">
        <v>58</v>
      </c>
      <c r="G303" s="44" t="s">
        <v>59</v>
      </c>
      <c r="H303" s="44" t="s">
        <v>57</v>
      </c>
      <c r="I303" s="46" t="s">
        <v>61</v>
      </c>
      <c r="J303" s="46" t="s">
        <v>62</v>
      </c>
      <c r="K303" s="44" t="s">
        <v>558</v>
      </c>
      <c r="L303" s="66" t="s">
        <v>559</v>
      </c>
      <c r="M303" s="44" t="s">
        <v>2067</v>
      </c>
      <c r="N303" s="59" t="s">
        <v>275</v>
      </c>
      <c r="O303" s="48" t="s">
        <v>196</v>
      </c>
      <c r="P303" s="44" t="s">
        <v>561</v>
      </c>
      <c r="Q303" s="325" t="s">
        <v>562</v>
      </c>
      <c r="R303" s="325" t="s">
        <v>563</v>
      </c>
      <c r="S303" s="327" t="s">
        <v>564</v>
      </c>
      <c r="T303" s="325" t="s">
        <v>565</v>
      </c>
      <c r="U303" s="25" t="s">
        <v>566</v>
      </c>
      <c r="V303" s="325" t="s">
        <v>282</v>
      </c>
      <c r="W303" s="326" t="s">
        <v>283</v>
      </c>
      <c r="X303" s="325" t="s">
        <v>284</v>
      </c>
      <c r="Y303" s="49" t="s">
        <v>285</v>
      </c>
      <c r="Z303" s="325" t="s">
        <v>286</v>
      </c>
      <c r="AA303" s="327" t="s">
        <v>286</v>
      </c>
      <c r="AB303" s="325" t="s">
        <v>287</v>
      </c>
      <c r="AC303" s="325" t="s">
        <v>288</v>
      </c>
      <c r="AD303" s="49" t="s">
        <v>289</v>
      </c>
      <c r="AE303" s="58" t="s">
        <v>290</v>
      </c>
      <c r="AF303" s="56" t="s">
        <v>291</v>
      </c>
      <c r="AG303" s="325" t="s">
        <v>292</v>
      </c>
      <c r="AH303" s="325" t="s">
        <v>293</v>
      </c>
      <c r="AI303" s="330" t="s">
        <v>215</v>
      </c>
      <c r="AJ303" s="325" t="s">
        <v>216</v>
      </c>
      <c r="AK303" s="331" t="s">
        <v>217</v>
      </c>
      <c r="AL303" s="332" t="s">
        <v>218</v>
      </c>
      <c r="AM303" s="333" t="s">
        <v>219</v>
      </c>
      <c r="AN303" s="334" t="s">
        <v>220</v>
      </c>
      <c r="AO303" s="335" t="s">
        <v>221</v>
      </c>
      <c r="AP303" s="51" t="s">
        <v>138</v>
      </c>
      <c r="AQ303" s="336" t="s">
        <v>139</v>
      </c>
      <c r="AR303" s="331" t="s">
        <v>140</v>
      </c>
      <c r="AS303" s="22" t="s">
        <v>141</v>
      </c>
      <c r="AT303" s="332" t="s">
        <v>142</v>
      </c>
      <c r="AU303" s="337" t="s">
        <v>143</v>
      </c>
      <c r="AV303" s="338" t="s">
        <v>144</v>
      </c>
      <c r="AW303" s="339" t="s">
        <v>145</v>
      </c>
      <c r="AX303" s="340" t="s">
        <v>146</v>
      </c>
      <c r="AY303" s="341" t="s">
        <v>147</v>
      </c>
      <c r="AZ303" s="338" t="s">
        <v>567</v>
      </c>
      <c r="BA303" s="34" t="s">
        <v>320</v>
      </c>
      <c r="BB303" s="591" t="str">
        <f t="shared" si="20"/>
        <v>TEMPLATE</v>
      </c>
      <c r="BC303" s="591" t="str">
        <f t="shared" si="21"/>
        <v>13. Legal &amp; Judicial-BOE-NCA-ECC-2:2024</v>
      </c>
      <c r="BD303" s="591" t="str">
        <f t="shared" si="22"/>
        <v>BOE-NCA-ECC-2-2024</v>
      </c>
      <c r="BE303" s="591" t="str">
        <f t="shared" si="23"/>
        <v>NCA-ECC-2-2024</v>
      </c>
      <c r="BF303" s="594">
        <f t="shared" si="24"/>
        <v>6</v>
      </c>
    </row>
    <row r="304" spans="1:58" ht="42" customHeight="1" x14ac:dyDescent="0.45">
      <c r="A304" s="323">
        <v>267</v>
      </c>
      <c r="B304" s="324" t="s">
        <v>2068</v>
      </c>
      <c r="C304" s="325" t="s">
        <v>2069</v>
      </c>
      <c r="D304" s="325" t="s">
        <v>2063</v>
      </c>
      <c r="E304" s="324" t="s">
        <v>2070</v>
      </c>
      <c r="F304" s="326" t="s">
        <v>2071</v>
      </c>
      <c r="G304" s="325" t="s">
        <v>1898</v>
      </c>
      <c r="H304" s="325" t="s">
        <v>1746</v>
      </c>
      <c r="I304" s="327" t="s">
        <v>907</v>
      </c>
      <c r="J304" s="327" t="s">
        <v>310</v>
      </c>
      <c r="K304" s="325" t="s">
        <v>63</v>
      </c>
      <c r="L304" s="22" t="s">
        <v>64</v>
      </c>
      <c r="M304" s="325" t="s">
        <v>1900</v>
      </c>
      <c r="N304" s="328" t="s">
        <v>253</v>
      </c>
      <c r="O304" s="329" t="s">
        <v>1901</v>
      </c>
      <c r="P304" s="325" t="s">
        <v>1902</v>
      </c>
      <c r="Q304" s="325" t="s">
        <v>562</v>
      </c>
      <c r="R304" s="325" t="s">
        <v>563</v>
      </c>
      <c r="S304" s="327" t="s">
        <v>564</v>
      </c>
      <c r="T304" s="325" t="s">
        <v>565</v>
      </c>
      <c r="U304" s="25" t="s">
        <v>566</v>
      </c>
      <c r="V304" s="325" t="s">
        <v>282</v>
      </c>
      <c r="W304" s="326" t="s">
        <v>283</v>
      </c>
      <c r="X304" s="325" t="s">
        <v>284</v>
      </c>
      <c r="Y304" s="49" t="s">
        <v>285</v>
      </c>
      <c r="Z304" s="325" t="s">
        <v>286</v>
      </c>
      <c r="AA304" s="327" t="s">
        <v>286</v>
      </c>
      <c r="AB304" s="325" t="s">
        <v>287</v>
      </c>
      <c r="AC304" s="325" t="s">
        <v>288</v>
      </c>
      <c r="AD304" s="49" t="s">
        <v>289</v>
      </c>
      <c r="AE304" s="58" t="s">
        <v>290</v>
      </c>
      <c r="AF304" s="56" t="s">
        <v>291</v>
      </c>
      <c r="AG304" s="325" t="s">
        <v>292</v>
      </c>
      <c r="AH304" s="325" t="s">
        <v>293</v>
      </c>
      <c r="AI304" s="330" t="s">
        <v>215</v>
      </c>
      <c r="AJ304" s="325" t="s">
        <v>216</v>
      </c>
      <c r="AK304" s="331" t="s">
        <v>217</v>
      </c>
      <c r="AL304" s="332" t="s">
        <v>218</v>
      </c>
      <c r="AM304" s="333" t="s">
        <v>219</v>
      </c>
      <c r="AN304" s="334" t="s">
        <v>220</v>
      </c>
      <c r="AO304" s="335" t="s">
        <v>221</v>
      </c>
      <c r="AP304" s="51" t="s">
        <v>138</v>
      </c>
      <c r="AQ304" s="336" t="s">
        <v>139</v>
      </c>
      <c r="AR304" s="331" t="s">
        <v>140</v>
      </c>
      <c r="AS304" s="22" t="s">
        <v>141</v>
      </c>
      <c r="AT304" s="332" t="s">
        <v>142</v>
      </c>
      <c r="AU304" s="337" t="s">
        <v>143</v>
      </c>
      <c r="AV304" s="338" t="s">
        <v>144</v>
      </c>
      <c r="AW304" s="339" t="s">
        <v>145</v>
      </c>
      <c r="AX304" s="340" t="s">
        <v>146</v>
      </c>
      <c r="AY304" s="341" t="s">
        <v>147</v>
      </c>
      <c r="AZ304" s="338" t="s">
        <v>104</v>
      </c>
      <c r="BA304" s="41" t="s">
        <v>105</v>
      </c>
      <c r="BB304" s="591" t="str">
        <f t="shared" si="20"/>
        <v>TEMPLATE</v>
      </c>
      <c r="BC304" s="591" t="str">
        <f t="shared" si="21"/>
        <v>13. Legal &amp; Judicial-NAZAHA-NAZAHA-FW</v>
      </c>
      <c r="BD304" s="591" t="str">
        <f t="shared" si="22"/>
        <v>NAZAHA-NAZAHA-FW</v>
      </c>
      <c r="BE304" s="591" t="str">
        <f t="shared" si="23"/>
        <v>NONE</v>
      </c>
      <c r="BF304" s="594">
        <f t="shared" si="24"/>
        <v>7</v>
      </c>
    </row>
    <row r="305" spans="1:58" ht="42" customHeight="1" x14ac:dyDescent="0.45">
      <c r="A305" s="42">
        <v>268</v>
      </c>
      <c r="B305" s="342" t="s">
        <v>2068</v>
      </c>
      <c r="C305" s="44" t="s">
        <v>2069</v>
      </c>
      <c r="D305" s="44" t="s">
        <v>2063</v>
      </c>
      <c r="E305" s="342" t="s">
        <v>557</v>
      </c>
      <c r="F305" s="45" t="s">
        <v>58</v>
      </c>
      <c r="G305" s="44" t="s">
        <v>59</v>
      </c>
      <c r="H305" s="44" t="s">
        <v>57</v>
      </c>
      <c r="I305" s="46" t="s">
        <v>61</v>
      </c>
      <c r="J305" s="46" t="s">
        <v>62</v>
      </c>
      <c r="K305" s="44" t="s">
        <v>558</v>
      </c>
      <c r="L305" s="66" t="s">
        <v>559</v>
      </c>
      <c r="M305" s="44" t="s">
        <v>2072</v>
      </c>
      <c r="N305" s="59" t="s">
        <v>275</v>
      </c>
      <c r="O305" s="48" t="s">
        <v>196</v>
      </c>
      <c r="P305" s="44" t="s">
        <v>561</v>
      </c>
      <c r="Q305" s="325" t="s">
        <v>562</v>
      </c>
      <c r="R305" s="325" t="s">
        <v>563</v>
      </c>
      <c r="S305" s="327" t="s">
        <v>564</v>
      </c>
      <c r="T305" s="325" t="s">
        <v>565</v>
      </c>
      <c r="U305" s="25" t="s">
        <v>566</v>
      </c>
      <c r="V305" s="325" t="s">
        <v>282</v>
      </c>
      <c r="W305" s="326" t="s">
        <v>283</v>
      </c>
      <c r="X305" s="325" t="s">
        <v>284</v>
      </c>
      <c r="Y305" s="49" t="s">
        <v>285</v>
      </c>
      <c r="Z305" s="325" t="s">
        <v>286</v>
      </c>
      <c r="AA305" s="327" t="s">
        <v>286</v>
      </c>
      <c r="AB305" s="325" t="s">
        <v>287</v>
      </c>
      <c r="AC305" s="325" t="s">
        <v>288</v>
      </c>
      <c r="AD305" s="49" t="s">
        <v>289</v>
      </c>
      <c r="AE305" s="58" t="s">
        <v>290</v>
      </c>
      <c r="AF305" s="56" t="s">
        <v>291</v>
      </c>
      <c r="AG305" s="325" t="s">
        <v>292</v>
      </c>
      <c r="AH305" s="325" t="s">
        <v>293</v>
      </c>
      <c r="AI305" s="330" t="s">
        <v>215</v>
      </c>
      <c r="AJ305" s="325" t="s">
        <v>216</v>
      </c>
      <c r="AK305" s="331" t="s">
        <v>217</v>
      </c>
      <c r="AL305" s="332" t="s">
        <v>218</v>
      </c>
      <c r="AM305" s="333" t="s">
        <v>219</v>
      </c>
      <c r="AN305" s="334" t="s">
        <v>220</v>
      </c>
      <c r="AO305" s="335" t="s">
        <v>221</v>
      </c>
      <c r="AP305" s="51" t="s">
        <v>138</v>
      </c>
      <c r="AQ305" s="336" t="s">
        <v>139</v>
      </c>
      <c r="AR305" s="331" t="s">
        <v>140</v>
      </c>
      <c r="AS305" s="22" t="s">
        <v>141</v>
      </c>
      <c r="AT305" s="332" t="s">
        <v>142</v>
      </c>
      <c r="AU305" s="337" t="s">
        <v>143</v>
      </c>
      <c r="AV305" s="338" t="s">
        <v>144</v>
      </c>
      <c r="AW305" s="339" t="s">
        <v>145</v>
      </c>
      <c r="AX305" s="340" t="s">
        <v>146</v>
      </c>
      <c r="AY305" s="341" t="s">
        <v>147</v>
      </c>
      <c r="AZ305" s="338" t="s">
        <v>567</v>
      </c>
      <c r="BA305" s="34" t="s">
        <v>320</v>
      </c>
      <c r="BB305" s="591" t="str">
        <f t="shared" si="20"/>
        <v>TEMPLATE</v>
      </c>
      <c r="BC305" s="591" t="str">
        <f t="shared" si="21"/>
        <v>13. Legal &amp; Judicial-NAZAHA-NCA-ECC-2:2024</v>
      </c>
      <c r="BD305" s="591" t="str">
        <f t="shared" si="22"/>
        <v>NAZAHA-NCA-ECC-2-2024</v>
      </c>
      <c r="BE305" s="591" t="str">
        <f t="shared" si="23"/>
        <v>NCA-ECC-2-2024</v>
      </c>
      <c r="BF305" s="594">
        <f t="shared" si="24"/>
        <v>6</v>
      </c>
    </row>
    <row r="306" spans="1:58" x14ac:dyDescent="0.45">
      <c r="BB306" s="591" t="str">
        <f t="shared" si="20"/>
        <v/>
      </c>
      <c r="BC306" s="591" t="str">
        <f t="shared" si="21"/>
        <v/>
      </c>
      <c r="BD306" s="591" t="str">
        <f t="shared" si="22"/>
        <v/>
      </c>
      <c r="BE306" s="591" t="str">
        <f t="shared" si="23"/>
        <v/>
      </c>
      <c r="BF306" s="594" t="str">
        <f t="shared" si="24"/>
        <v/>
      </c>
    </row>
    <row r="307" spans="1:58" ht="19.5" customHeight="1" x14ac:dyDescent="0.45">
      <c r="A307" s="343"/>
      <c r="B307" s="344" t="s">
        <v>2073</v>
      </c>
      <c r="C307" s="343"/>
      <c r="D307" s="343"/>
      <c r="E307" s="343"/>
      <c r="F307" s="343"/>
      <c r="G307" s="343"/>
      <c r="H307" s="343"/>
      <c r="I307" s="343"/>
      <c r="J307" s="343"/>
      <c r="K307" s="343"/>
      <c r="L307" s="343"/>
      <c r="M307" s="343"/>
      <c r="N307" s="343"/>
      <c r="O307" s="343"/>
      <c r="P307" s="343"/>
      <c r="BB307" s="591" t="str">
        <f t="shared" si="20"/>
        <v/>
      </c>
      <c r="BC307" s="591" t="str">
        <f t="shared" si="21"/>
        <v/>
      </c>
      <c r="BD307" s="591" t="str">
        <f t="shared" si="22"/>
        <v/>
      </c>
      <c r="BE307" s="591" t="str">
        <f t="shared" si="23"/>
        <v/>
      </c>
      <c r="BF307" s="594" t="str">
        <f t="shared" si="24"/>
        <v/>
      </c>
    </row>
    <row r="308" spans="1:58" ht="42" customHeight="1" x14ac:dyDescent="0.45">
      <c r="A308" s="345">
        <v>269</v>
      </c>
      <c r="B308" s="346" t="s">
        <v>2074</v>
      </c>
      <c r="C308" s="347" t="s">
        <v>2075</v>
      </c>
      <c r="D308" s="347" t="s">
        <v>2076</v>
      </c>
      <c r="E308" s="346" t="s">
        <v>2077</v>
      </c>
      <c r="F308" s="348" t="s">
        <v>1610</v>
      </c>
      <c r="G308" s="347" t="s">
        <v>1898</v>
      </c>
      <c r="H308" s="347" t="s">
        <v>1746</v>
      </c>
      <c r="I308" s="349" t="s">
        <v>887</v>
      </c>
      <c r="J308" s="349" t="s">
        <v>310</v>
      </c>
      <c r="K308" s="347" t="s">
        <v>63</v>
      </c>
      <c r="L308" s="22" t="s">
        <v>64</v>
      </c>
      <c r="M308" s="347" t="s">
        <v>1900</v>
      </c>
      <c r="N308" s="350" t="s">
        <v>253</v>
      </c>
      <c r="O308" s="351" t="s">
        <v>1901</v>
      </c>
      <c r="P308" s="347" t="s">
        <v>1902</v>
      </c>
      <c r="Q308" s="347" t="s">
        <v>562</v>
      </c>
      <c r="R308" s="347" t="s">
        <v>563</v>
      </c>
      <c r="S308" s="349" t="s">
        <v>564</v>
      </c>
      <c r="T308" s="347" t="s">
        <v>565</v>
      </c>
      <c r="U308" s="25" t="s">
        <v>566</v>
      </c>
      <c r="V308" s="347" t="s">
        <v>282</v>
      </c>
      <c r="W308" s="348" t="s">
        <v>283</v>
      </c>
      <c r="X308" s="347" t="s">
        <v>284</v>
      </c>
      <c r="Y308" s="49" t="s">
        <v>285</v>
      </c>
      <c r="Z308" s="347" t="s">
        <v>286</v>
      </c>
      <c r="AA308" s="349" t="s">
        <v>286</v>
      </c>
      <c r="AB308" s="347" t="s">
        <v>287</v>
      </c>
      <c r="AC308" s="347" t="s">
        <v>288</v>
      </c>
      <c r="AD308" s="49" t="s">
        <v>289</v>
      </c>
      <c r="AE308" s="58" t="s">
        <v>290</v>
      </c>
      <c r="AF308" s="56" t="s">
        <v>291</v>
      </c>
      <c r="AG308" s="347" t="s">
        <v>292</v>
      </c>
      <c r="AH308" s="347" t="s">
        <v>293</v>
      </c>
      <c r="AI308" s="352" t="s">
        <v>215</v>
      </c>
      <c r="AJ308" s="347" t="s">
        <v>216</v>
      </c>
      <c r="AK308" s="353" t="s">
        <v>217</v>
      </c>
      <c r="AL308" s="354" t="s">
        <v>218</v>
      </c>
      <c r="AM308" s="355" t="s">
        <v>219</v>
      </c>
      <c r="AN308" s="356" t="s">
        <v>220</v>
      </c>
      <c r="AO308" s="357" t="s">
        <v>221</v>
      </c>
      <c r="AP308" s="51" t="s">
        <v>138</v>
      </c>
      <c r="AQ308" s="358" t="s">
        <v>139</v>
      </c>
      <c r="AR308" s="353" t="s">
        <v>140</v>
      </c>
      <c r="AS308" s="22" t="s">
        <v>141</v>
      </c>
      <c r="AT308" s="354" t="s">
        <v>142</v>
      </c>
      <c r="AU308" s="359" t="s">
        <v>143</v>
      </c>
      <c r="AV308" s="360" t="s">
        <v>144</v>
      </c>
      <c r="AW308" s="361" t="s">
        <v>145</v>
      </c>
      <c r="AX308" s="362" t="s">
        <v>146</v>
      </c>
      <c r="AY308" s="363" t="s">
        <v>147</v>
      </c>
      <c r="AZ308" s="360" t="s">
        <v>104</v>
      </c>
      <c r="BA308" s="41" t="s">
        <v>105</v>
      </c>
      <c r="BB308" s="591" t="str">
        <f t="shared" si="20"/>
        <v>TEMPLATE</v>
      </c>
      <c r="BC308" s="591" t="str">
        <f t="shared" si="21"/>
        <v>14. Labour &amp; Occ. Health-OSH-OSH-FW</v>
      </c>
      <c r="BD308" s="591" t="str">
        <f t="shared" si="22"/>
        <v>OSH-OSH-FW</v>
      </c>
      <c r="BE308" s="591" t="str">
        <f t="shared" si="23"/>
        <v>NONE</v>
      </c>
      <c r="BF308" s="594">
        <f t="shared" si="24"/>
        <v>7</v>
      </c>
    </row>
    <row r="309" spans="1:58" ht="42" customHeight="1" x14ac:dyDescent="0.45">
      <c r="A309" s="42">
        <v>270</v>
      </c>
      <c r="B309" s="364" t="s">
        <v>2074</v>
      </c>
      <c r="C309" s="44" t="s">
        <v>2075</v>
      </c>
      <c r="D309" s="44" t="s">
        <v>2076</v>
      </c>
      <c r="E309" s="364" t="s">
        <v>557</v>
      </c>
      <c r="F309" s="45" t="s">
        <v>58</v>
      </c>
      <c r="G309" s="44" t="s">
        <v>59</v>
      </c>
      <c r="H309" s="44" t="s">
        <v>57</v>
      </c>
      <c r="I309" s="46" t="s">
        <v>61</v>
      </c>
      <c r="J309" s="46" t="s">
        <v>62</v>
      </c>
      <c r="K309" s="44" t="s">
        <v>558</v>
      </c>
      <c r="L309" s="66" t="s">
        <v>559</v>
      </c>
      <c r="M309" s="44" t="s">
        <v>2078</v>
      </c>
      <c r="N309" s="59" t="s">
        <v>275</v>
      </c>
      <c r="O309" s="48" t="s">
        <v>196</v>
      </c>
      <c r="P309" s="44" t="s">
        <v>561</v>
      </c>
      <c r="Q309" s="347" t="s">
        <v>562</v>
      </c>
      <c r="R309" s="347" t="s">
        <v>563</v>
      </c>
      <c r="S309" s="349" t="s">
        <v>564</v>
      </c>
      <c r="T309" s="347" t="s">
        <v>565</v>
      </c>
      <c r="U309" s="25" t="s">
        <v>566</v>
      </c>
      <c r="V309" s="347" t="s">
        <v>282</v>
      </c>
      <c r="W309" s="348" t="s">
        <v>283</v>
      </c>
      <c r="X309" s="347" t="s">
        <v>284</v>
      </c>
      <c r="Y309" s="49" t="s">
        <v>285</v>
      </c>
      <c r="Z309" s="347" t="s">
        <v>286</v>
      </c>
      <c r="AA309" s="349" t="s">
        <v>286</v>
      </c>
      <c r="AB309" s="347" t="s">
        <v>287</v>
      </c>
      <c r="AC309" s="347" t="s">
        <v>288</v>
      </c>
      <c r="AD309" s="49" t="s">
        <v>289</v>
      </c>
      <c r="AE309" s="58" t="s">
        <v>290</v>
      </c>
      <c r="AF309" s="56" t="s">
        <v>291</v>
      </c>
      <c r="AG309" s="347" t="s">
        <v>292</v>
      </c>
      <c r="AH309" s="347" t="s">
        <v>293</v>
      </c>
      <c r="AI309" s="352" t="s">
        <v>215</v>
      </c>
      <c r="AJ309" s="347" t="s">
        <v>216</v>
      </c>
      <c r="AK309" s="353" t="s">
        <v>217</v>
      </c>
      <c r="AL309" s="354" t="s">
        <v>218</v>
      </c>
      <c r="AM309" s="355" t="s">
        <v>219</v>
      </c>
      <c r="AN309" s="356" t="s">
        <v>220</v>
      </c>
      <c r="AO309" s="357" t="s">
        <v>221</v>
      </c>
      <c r="AP309" s="51" t="s">
        <v>138</v>
      </c>
      <c r="AQ309" s="358" t="s">
        <v>139</v>
      </c>
      <c r="AR309" s="353" t="s">
        <v>140</v>
      </c>
      <c r="AS309" s="22" t="s">
        <v>141</v>
      </c>
      <c r="AT309" s="354" t="s">
        <v>142</v>
      </c>
      <c r="AU309" s="359" t="s">
        <v>143</v>
      </c>
      <c r="AV309" s="360" t="s">
        <v>144</v>
      </c>
      <c r="AW309" s="361" t="s">
        <v>145</v>
      </c>
      <c r="AX309" s="362" t="s">
        <v>146</v>
      </c>
      <c r="AY309" s="363" t="s">
        <v>147</v>
      </c>
      <c r="AZ309" s="360" t="s">
        <v>567</v>
      </c>
      <c r="BA309" s="34" t="s">
        <v>320</v>
      </c>
      <c r="BB309" s="591" t="str">
        <f t="shared" si="20"/>
        <v>TEMPLATE</v>
      </c>
      <c r="BC309" s="591" t="str">
        <f t="shared" si="21"/>
        <v>14. Labour &amp; Occ. Health-OSH-NCA-ECC-2:2024</v>
      </c>
      <c r="BD309" s="591" t="str">
        <f t="shared" si="22"/>
        <v>OSH-NCA-ECC-2-2024</v>
      </c>
      <c r="BE309" s="591" t="str">
        <f t="shared" si="23"/>
        <v>NCA-ECC-2-2024</v>
      </c>
      <c r="BF309" s="594">
        <f t="shared" si="24"/>
        <v>6</v>
      </c>
    </row>
    <row r="310" spans="1:58" x14ac:dyDescent="0.45">
      <c r="BB310" s="591" t="str">
        <f t="shared" si="20"/>
        <v/>
      </c>
      <c r="BC310" s="591" t="str">
        <f t="shared" si="21"/>
        <v/>
      </c>
      <c r="BD310" s="591" t="str">
        <f t="shared" si="22"/>
        <v/>
      </c>
      <c r="BE310" s="591" t="str">
        <f t="shared" si="23"/>
        <v/>
      </c>
      <c r="BF310" s="594" t="str">
        <f t="shared" si="24"/>
        <v/>
      </c>
    </row>
    <row r="311" spans="1:58" ht="19.5" customHeight="1" x14ac:dyDescent="0.45">
      <c r="A311" s="117"/>
      <c r="B311" s="118" t="s">
        <v>1339</v>
      </c>
      <c r="C311" s="117"/>
      <c r="D311" s="117"/>
      <c r="E311" s="117"/>
      <c r="F311" s="117"/>
      <c r="G311" s="117"/>
      <c r="H311" s="117"/>
      <c r="I311" s="117"/>
      <c r="J311" s="117"/>
      <c r="K311" s="117"/>
      <c r="L311" s="117"/>
      <c r="M311" s="117"/>
      <c r="N311" s="117"/>
      <c r="O311" s="117"/>
      <c r="P311" s="117"/>
      <c r="BB311" s="591" t="str">
        <f t="shared" si="20"/>
        <v/>
      </c>
      <c r="BC311" s="591" t="str">
        <f t="shared" si="21"/>
        <v/>
      </c>
      <c r="BD311" s="591" t="str">
        <f t="shared" si="22"/>
        <v/>
      </c>
      <c r="BE311" s="591" t="str">
        <f t="shared" si="23"/>
        <v/>
      </c>
      <c r="BF311" s="594" t="str">
        <f t="shared" si="24"/>
        <v/>
      </c>
    </row>
    <row r="312" spans="1:58" ht="42" customHeight="1" x14ac:dyDescent="0.45">
      <c r="A312" s="119">
        <v>271</v>
      </c>
      <c r="B312" s="120" t="s">
        <v>2079</v>
      </c>
      <c r="C312" s="121" t="s">
        <v>2080</v>
      </c>
      <c r="D312" s="121" t="s">
        <v>1342</v>
      </c>
      <c r="E312" s="120" t="s">
        <v>2081</v>
      </c>
      <c r="F312" s="122" t="s">
        <v>2082</v>
      </c>
      <c r="G312" s="121" t="s">
        <v>1898</v>
      </c>
      <c r="H312" s="121" t="s">
        <v>1746</v>
      </c>
      <c r="I312" s="123" t="s">
        <v>225</v>
      </c>
      <c r="J312" s="123" t="s">
        <v>310</v>
      </c>
      <c r="K312" s="121" t="s">
        <v>63</v>
      </c>
      <c r="L312" s="22" t="s">
        <v>64</v>
      </c>
      <c r="M312" s="121" t="s">
        <v>1900</v>
      </c>
      <c r="N312" s="140" t="s">
        <v>253</v>
      </c>
      <c r="O312" s="125" t="s">
        <v>1901</v>
      </c>
      <c r="P312" s="121" t="s">
        <v>1902</v>
      </c>
      <c r="Q312" s="121" t="s">
        <v>562</v>
      </c>
      <c r="R312" s="121" t="s">
        <v>563</v>
      </c>
      <c r="S312" s="123" t="s">
        <v>564</v>
      </c>
      <c r="T312" s="121" t="s">
        <v>565</v>
      </c>
      <c r="U312" s="25" t="s">
        <v>566</v>
      </c>
      <c r="V312" s="121" t="s">
        <v>282</v>
      </c>
      <c r="W312" s="122" t="s">
        <v>283</v>
      </c>
      <c r="X312" s="121" t="s">
        <v>284</v>
      </c>
      <c r="Y312" s="49" t="s">
        <v>285</v>
      </c>
      <c r="Z312" s="121" t="s">
        <v>286</v>
      </c>
      <c r="AA312" s="123" t="s">
        <v>286</v>
      </c>
      <c r="AB312" s="121" t="s">
        <v>287</v>
      </c>
      <c r="AC312" s="121" t="s">
        <v>288</v>
      </c>
      <c r="AD312" s="49" t="s">
        <v>289</v>
      </c>
      <c r="AE312" s="58" t="s">
        <v>290</v>
      </c>
      <c r="AF312" s="56" t="s">
        <v>291</v>
      </c>
      <c r="AG312" s="121" t="s">
        <v>292</v>
      </c>
      <c r="AH312" s="121" t="s">
        <v>293</v>
      </c>
      <c r="AI312" s="126" t="s">
        <v>215</v>
      </c>
      <c r="AJ312" s="121" t="s">
        <v>216</v>
      </c>
      <c r="AK312" s="127" t="s">
        <v>217</v>
      </c>
      <c r="AL312" s="128" t="s">
        <v>218</v>
      </c>
      <c r="AM312" s="129" t="s">
        <v>219</v>
      </c>
      <c r="AN312" s="130" t="s">
        <v>220</v>
      </c>
      <c r="AO312" s="131" t="s">
        <v>221</v>
      </c>
      <c r="AP312" s="51" t="s">
        <v>138</v>
      </c>
      <c r="AQ312" s="132" t="s">
        <v>139</v>
      </c>
      <c r="AR312" s="127" t="s">
        <v>140</v>
      </c>
      <c r="AS312" s="22" t="s">
        <v>141</v>
      </c>
      <c r="AT312" s="128" t="s">
        <v>142</v>
      </c>
      <c r="AU312" s="133" t="s">
        <v>143</v>
      </c>
      <c r="AV312" s="134" t="s">
        <v>144</v>
      </c>
      <c r="AW312" s="135" t="s">
        <v>145</v>
      </c>
      <c r="AX312" s="136" t="s">
        <v>146</v>
      </c>
      <c r="AY312" s="137" t="s">
        <v>147</v>
      </c>
      <c r="AZ312" s="134" t="s">
        <v>104</v>
      </c>
      <c r="BA312" s="41" t="s">
        <v>105</v>
      </c>
      <c r="BB312" s="591" t="str">
        <f t="shared" si="20"/>
        <v>TEMPLATE</v>
      </c>
      <c r="BC312" s="591" t="str">
        <f t="shared" si="21"/>
        <v>4. ICT / Digital / Telecom-RDIA-RDIA-FW</v>
      </c>
      <c r="BD312" s="591" t="str">
        <f t="shared" si="22"/>
        <v>RDIA-RDIA-FW</v>
      </c>
      <c r="BE312" s="591" t="str">
        <f t="shared" si="23"/>
        <v>NONE</v>
      </c>
      <c r="BF312" s="594">
        <f t="shared" si="24"/>
        <v>7</v>
      </c>
    </row>
    <row r="313" spans="1:58" ht="42" customHeight="1" x14ac:dyDescent="0.45">
      <c r="A313" s="42">
        <v>272</v>
      </c>
      <c r="B313" s="138" t="s">
        <v>2079</v>
      </c>
      <c r="C313" s="44" t="s">
        <v>2080</v>
      </c>
      <c r="D313" s="44" t="s">
        <v>1342</v>
      </c>
      <c r="E313" s="138" t="s">
        <v>557</v>
      </c>
      <c r="F313" s="45" t="s">
        <v>58</v>
      </c>
      <c r="G313" s="44" t="s">
        <v>59</v>
      </c>
      <c r="H313" s="44" t="s">
        <v>57</v>
      </c>
      <c r="I313" s="46" t="s">
        <v>61</v>
      </c>
      <c r="J313" s="46" t="s">
        <v>62</v>
      </c>
      <c r="K313" s="44" t="s">
        <v>558</v>
      </c>
      <c r="L313" s="66" t="s">
        <v>559</v>
      </c>
      <c r="M313" s="44" t="s">
        <v>2083</v>
      </c>
      <c r="N313" s="59" t="s">
        <v>275</v>
      </c>
      <c r="O313" s="48" t="s">
        <v>196</v>
      </c>
      <c r="P313" s="44" t="s">
        <v>561</v>
      </c>
      <c r="Q313" s="121" t="s">
        <v>562</v>
      </c>
      <c r="R313" s="121" t="s">
        <v>563</v>
      </c>
      <c r="S313" s="123" t="s">
        <v>564</v>
      </c>
      <c r="T313" s="121" t="s">
        <v>565</v>
      </c>
      <c r="U313" s="25" t="s">
        <v>566</v>
      </c>
      <c r="V313" s="121" t="s">
        <v>282</v>
      </c>
      <c r="W313" s="122" t="s">
        <v>283</v>
      </c>
      <c r="X313" s="121" t="s">
        <v>284</v>
      </c>
      <c r="Y313" s="49" t="s">
        <v>285</v>
      </c>
      <c r="Z313" s="121" t="s">
        <v>286</v>
      </c>
      <c r="AA313" s="123" t="s">
        <v>286</v>
      </c>
      <c r="AB313" s="121" t="s">
        <v>287</v>
      </c>
      <c r="AC313" s="121" t="s">
        <v>288</v>
      </c>
      <c r="AD313" s="49" t="s">
        <v>289</v>
      </c>
      <c r="AE313" s="58" t="s">
        <v>290</v>
      </c>
      <c r="AF313" s="56" t="s">
        <v>291</v>
      </c>
      <c r="AG313" s="121" t="s">
        <v>292</v>
      </c>
      <c r="AH313" s="121" t="s">
        <v>293</v>
      </c>
      <c r="AI313" s="126" t="s">
        <v>215</v>
      </c>
      <c r="AJ313" s="121" t="s">
        <v>216</v>
      </c>
      <c r="AK313" s="127" t="s">
        <v>217</v>
      </c>
      <c r="AL313" s="128" t="s">
        <v>218</v>
      </c>
      <c r="AM313" s="129" t="s">
        <v>219</v>
      </c>
      <c r="AN313" s="130" t="s">
        <v>220</v>
      </c>
      <c r="AO313" s="131" t="s">
        <v>221</v>
      </c>
      <c r="AP313" s="51" t="s">
        <v>138</v>
      </c>
      <c r="AQ313" s="132" t="s">
        <v>139</v>
      </c>
      <c r="AR313" s="127" t="s">
        <v>140</v>
      </c>
      <c r="AS313" s="22" t="s">
        <v>141</v>
      </c>
      <c r="AT313" s="128" t="s">
        <v>142</v>
      </c>
      <c r="AU313" s="133" t="s">
        <v>143</v>
      </c>
      <c r="AV313" s="134" t="s">
        <v>144</v>
      </c>
      <c r="AW313" s="135" t="s">
        <v>145</v>
      </c>
      <c r="AX313" s="136" t="s">
        <v>146</v>
      </c>
      <c r="AY313" s="137" t="s">
        <v>147</v>
      </c>
      <c r="AZ313" s="134" t="s">
        <v>567</v>
      </c>
      <c r="BA313" s="34" t="s">
        <v>320</v>
      </c>
      <c r="BB313" s="591" t="str">
        <f t="shared" si="20"/>
        <v>TEMPLATE</v>
      </c>
      <c r="BC313" s="591" t="str">
        <f t="shared" si="21"/>
        <v>4. ICT / Digital / Telecom-RDIA-NCA-ECC-2:2024</v>
      </c>
      <c r="BD313" s="591" t="str">
        <f t="shared" si="22"/>
        <v>RDIA-NCA-ECC-2-2024</v>
      </c>
      <c r="BE313" s="591" t="str">
        <f t="shared" si="23"/>
        <v>NCA-ECC-2-2024</v>
      </c>
      <c r="BF313" s="594">
        <f t="shared" si="24"/>
        <v>6</v>
      </c>
    </row>
    <row r="314" spans="1:58" ht="42" customHeight="1" x14ac:dyDescent="0.45">
      <c r="A314" s="119">
        <v>273</v>
      </c>
      <c r="B314" s="120" t="s">
        <v>2084</v>
      </c>
      <c r="C314" s="121" t="s">
        <v>2085</v>
      </c>
      <c r="D314" s="121" t="s">
        <v>1342</v>
      </c>
      <c r="E314" s="120" t="s">
        <v>2086</v>
      </c>
      <c r="F314" s="122" t="s">
        <v>2087</v>
      </c>
      <c r="G314" s="121" t="s">
        <v>1898</v>
      </c>
      <c r="H314" s="121" t="s">
        <v>1746</v>
      </c>
      <c r="I314" s="123" t="s">
        <v>1155</v>
      </c>
      <c r="J314" s="123" t="s">
        <v>310</v>
      </c>
      <c r="K314" s="121" t="s">
        <v>63</v>
      </c>
      <c r="L314" s="22" t="s">
        <v>64</v>
      </c>
      <c r="M314" s="121" t="s">
        <v>1900</v>
      </c>
      <c r="N314" s="140" t="s">
        <v>253</v>
      </c>
      <c r="O314" s="125" t="s">
        <v>1901</v>
      </c>
      <c r="P314" s="121" t="s">
        <v>1902</v>
      </c>
      <c r="Q314" s="121" t="s">
        <v>562</v>
      </c>
      <c r="R314" s="121" t="s">
        <v>563</v>
      </c>
      <c r="S314" s="123" t="s">
        <v>564</v>
      </c>
      <c r="T314" s="121" t="s">
        <v>565</v>
      </c>
      <c r="U314" s="25" t="s">
        <v>566</v>
      </c>
      <c r="V314" s="121" t="s">
        <v>282</v>
      </c>
      <c r="W314" s="122" t="s">
        <v>283</v>
      </c>
      <c r="X314" s="121" t="s">
        <v>284</v>
      </c>
      <c r="Y314" s="49" t="s">
        <v>285</v>
      </c>
      <c r="Z314" s="121" t="s">
        <v>286</v>
      </c>
      <c r="AA314" s="123" t="s">
        <v>286</v>
      </c>
      <c r="AB314" s="121" t="s">
        <v>287</v>
      </c>
      <c r="AC314" s="121" t="s">
        <v>288</v>
      </c>
      <c r="AD314" s="49" t="s">
        <v>289</v>
      </c>
      <c r="AE314" s="58" t="s">
        <v>290</v>
      </c>
      <c r="AF314" s="56" t="s">
        <v>291</v>
      </c>
      <c r="AG314" s="121" t="s">
        <v>292</v>
      </c>
      <c r="AH314" s="121" t="s">
        <v>293</v>
      </c>
      <c r="AI314" s="126" t="s">
        <v>215</v>
      </c>
      <c r="AJ314" s="121" t="s">
        <v>216</v>
      </c>
      <c r="AK314" s="127" t="s">
        <v>217</v>
      </c>
      <c r="AL314" s="128" t="s">
        <v>218</v>
      </c>
      <c r="AM314" s="129" t="s">
        <v>219</v>
      </c>
      <c r="AN314" s="130" t="s">
        <v>220</v>
      </c>
      <c r="AO314" s="131" t="s">
        <v>221</v>
      </c>
      <c r="AP314" s="51" t="s">
        <v>138</v>
      </c>
      <c r="AQ314" s="132" t="s">
        <v>139</v>
      </c>
      <c r="AR314" s="127" t="s">
        <v>140</v>
      </c>
      <c r="AS314" s="22" t="s">
        <v>141</v>
      </c>
      <c r="AT314" s="128" t="s">
        <v>142</v>
      </c>
      <c r="AU314" s="133" t="s">
        <v>143</v>
      </c>
      <c r="AV314" s="134" t="s">
        <v>144</v>
      </c>
      <c r="AW314" s="135" t="s">
        <v>145</v>
      </c>
      <c r="AX314" s="136" t="s">
        <v>146</v>
      </c>
      <c r="AY314" s="137" t="s">
        <v>147</v>
      </c>
      <c r="AZ314" s="134" t="s">
        <v>104</v>
      </c>
      <c r="BA314" s="41" t="s">
        <v>105</v>
      </c>
      <c r="BB314" s="591" t="str">
        <f t="shared" si="20"/>
        <v>TEMPLATE</v>
      </c>
      <c r="BC314" s="591" t="str">
        <f t="shared" si="21"/>
        <v>4. ICT / Digital / Telecom-NCSA-NCSA-FW</v>
      </c>
      <c r="BD314" s="591" t="str">
        <f t="shared" si="22"/>
        <v>NCSA-NCSA-FW</v>
      </c>
      <c r="BE314" s="591" t="str">
        <f t="shared" si="23"/>
        <v>NONE</v>
      </c>
      <c r="BF314" s="594">
        <f t="shared" si="24"/>
        <v>7</v>
      </c>
    </row>
    <row r="315" spans="1:58" ht="42" customHeight="1" x14ac:dyDescent="0.45">
      <c r="A315" s="42">
        <v>274</v>
      </c>
      <c r="B315" s="138" t="s">
        <v>2084</v>
      </c>
      <c r="C315" s="44" t="s">
        <v>2085</v>
      </c>
      <c r="D315" s="44" t="s">
        <v>1342</v>
      </c>
      <c r="E315" s="138" t="s">
        <v>557</v>
      </c>
      <c r="F315" s="45" t="s">
        <v>58</v>
      </c>
      <c r="G315" s="44" t="s">
        <v>59</v>
      </c>
      <c r="H315" s="44" t="s">
        <v>57</v>
      </c>
      <c r="I315" s="46" t="s">
        <v>61</v>
      </c>
      <c r="J315" s="46" t="s">
        <v>62</v>
      </c>
      <c r="K315" s="44" t="s">
        <v>558</v>
      </c>
      <c r="L315" s="66" t="s">
        <v>559</v>
      </c>
      <c r="M315" s="44" t="s">
        <v>2088</v>
      </c>
      <c r="N315" s="59" t="s">
        <v>275</v>
      </c>
      <c r="O315" s="48" t="s">
        <v>196</v>
      </c>
      <c r="P315" s="44" t="s">
        <v>561</v>
      </c>
      <c r="Q315" s="121" t="s">
        <v>562</v>
      </c>
      <c r="R315" s="121" t="s">
        <v>563</v>
      </c>
      <c r="S315" s="123" t="s">
        <v>564</v>
      </c>
      <c r="T315" s="121" t="s">
        <v>565</v>
      </c>
      <c r="U315" s="25" t="s">
        <v>566</v>
      </c>
      <c r="V315" s="121" t="s">
        <v>282</v>
      </c>
      <c r="W315" s="122" t="s">
        <v>283</v>
      </c>
      <c r="X315" s="121" t="s">
        <v>284</v>
      </c>
      <c r="Y315" s="49" t="s">
        <v>285</v>
      </c>
      <c r="Z315" s="121" t="s">
        <v>286</v>
      </c>
      <c r="AA315" s="123" t="s">
        <v>286</v>
      </c>
      <c r="AB315" s="121" t="s">
        <v>287</v>
      </c>
      <c r="AC315" s="121" t="s">
        <v>288</v>
      </c>
      <c r="AD315" s="49" t="s">
        <v>289</v>
      </c>
      <c r="AE315" s="58" t="s">
        <v>290</v>
      </c>
      <c r="AF315" s="56" t="s">
        <v>291</v>
      </c>
      <c r="AG315" s="121" t="s">
        <v>292</v>
      </c>
      <c r="AH315" s="121" t="s">
        <v>293</v>
      </c>
      <c r="AI315" s="126" t="s">
        <v>215</v>
      </c>
      <c r="AJ315" s="121" t="s">
        <v>216</v>
      </c>
      <c r="AK315" s="127" t="s">
        <v>217</v>
      </c>
      <c r="AL315" s="128" t="s">
        <v>218</v>
      </c>
      <c r="AM315" s="129" t="s">
        <v>219</v>
      </c>
      <c r="AN315" s="130" t="s">
        <v>220</v>
      </c>
      <c r="AO315" s="131" t="s">
        <v>221</v>
      </c>
      <c r="AP315" s="51" t="s">
        <v>138</v>
      </c>
      <c r="AQ315" s="132" t="s">
        <v>139</v>
      </c>
      <c r="AR315" s="127" t="s">
        <v>140</v>
      </c>
      <c r="AS315" s="22" t="s">
        <v>141</v>
      </c>
      <c r="AT315" s="128" t="s">
        <v>142</v>
      </c>
      <c r="AU315" s="133" t="s">
        <v>143</v>
      </c>
      <c r="AV315" s="134" t="s">
        <v>144</v>
      </c>
      <c r="AW315" s="135" t="s">
        <v>145</v>
      </c>
      <c r="AX315" s="136" t="s">
        <v>146</v>
      </c>
      <c r="AY315" s="137" t="s">
        <v>147</v>
      </c>
      <c r="AZ315" s="134" t="s">
        <v>567</v>
      </c>
      <c r="BA315" s="34" t="s">
        <v>320</v>
      </c>
      <c r="BB315" s="591" t="str">
        <f t="shared" si="20"/>
        <v>TEMPLATE</v>
      </c>
      <c r="BC315" s="591" t="str">
        <f t="shared" si="21"/>
        <v>4. ICT / Digital / Telecom-NCSA-NCA-ECC-2:2024</v>
      </c>
      <c r="BD315" s="591" t="str">
        <f t="shared" si="22"/>
        <v>NCSA-NCA-ECC-2-2024</v>
      </c>
      <c r="BE315" s="591" t="str">
        <f t="shared" si="23"/>
        <v>NCA-ECC-2-2024</v>
      </c>
      <c r="BF315" s="594">
        <f t="shared" si="24"/>
        <v>6</v>
      </c>
    </row>
    <row r="316" spans="1:58" ht="42" customHeight="1" x14ac:dyDescent="0.45">
      <c r="A316" s="119">
        <v>275</v>
      </c>
      <c r="B316" s="120" t="s">
        <v>2089</v>
      </c>
      <c r="C316" s="121" t="s">
        <v>2090</v>
      </c>
      <c r="D316" s="121" t="s">
        <v>1342</v>
      </c>
      <c r="E316" s="120" t="s">
        <v>2091</v>
      </c>
      <c r="F316" s="122" t="s">
        <v>2092</v>
      </c>
      <c r="G316" s="121" t="s">
        <v>1898</v>
      </c>
      <c r="H316" s="121" t="s">
        <v>1746</v>
      </c>
      <c r="I316" s="123" t="s">
        <v>61</v>
      </c>
      <c r="J316" s="123" t="s">
        <v>310</v>
      </c>
      <c r="K316" s="121" t="s">
        <v>63</v>
      </c>
      <c r="L316" s="22" t="s">
        <v>64</v>
      </c>
      <c r="M316" s="121" t="s">
        <v>1900</v>
      </c>
      <c r="N316" s="140" t="s">
        <v>253</v>
      </c>
      <c r="O316" s="125" t="s">
        <v>1901</v>
      </c>
      <c r="P316" s="121" t="s">
        <v>1902</v>
      </c>
      <c r="Q316" s="121" t="s">
        <v>562</v>
      </c>
      <c r="R316" s="121" t="s">
        <v>563</v>
      </c>
      <c r="S316" s="123" t="s">
        <v>564</v>
      </c>
      <c r="T316" s="121" t="s">
        <v>565</v>
      </c>
      <c r="U316" s="25" t="s">
        <v>566</v>
      </c>
      <c r="V316" s="121" t="s">
        <v>282</v>
      </c>
      <c r="W316" s="122" t="s">
        <v>283</v>
      </c>
      <c r="X316" s="121" t="s">
        <v>284</v>
      </c>
      <c r="Y316" s="49" t="s">
        <v>285</v>
      </c>
      <c r="Z316" s="121" t="s">
        <v>286</v>
      </c>
      <c r="AA316" s="123" t="s">
        <v>286</v>
      </c>
      <c r="AB316" s="121" t="s">
        <v>287</v>
      </c>
      <c r="AC316" s="121" t="s">
        <v>288</v>
      </c>
      <c r="AD316" s="49" t="s">
        <v>289</v>
      </c>
      <c r="AE316" s="58" t="s">
        <v>290</v>
      </c>
      <c r="AF316" s="56" t="s">
        <v>291</v>
      </c>
      <c r="AG316" s="121" t="s">
        <v>292</v>
      </c>
      <c r="AH316" s="121" t="s">
        <v>293</v>
      </c>
      <c r="AI316" s="126" t="s">
        <v>215</v>
      </c>
      <c r="AJ316" s="121" t="s">
        <v>216</v>
      </c>
      <c r="AK316" s="127" t="s">
        <v>217</v>
      </c>
      <c r="AL316" s="128" t="s">
        <v>218</v>
      </c>
      <c r="AM316" s="129" t="s">
        <v>219</v>
      </c>
      <c r="AN316" s="130" t="s">
        <v>220</v>
      </c>
      <c r="AO316" s="131" t="s">
        <v>221</v>
      </c>
      <c r="AP316" s="51" t="s">
        <v>138</v>
      </c>
      <c r="AQ316" s="132" t="s">
        <v>139</v>
      </c>
      <c r="AR316" s="127" t="s">
        <v>140</v>
      </c>
      <c r="AS316" s="22" t="s">
        <v>141</v>
      </c>
      <c r="AT316" s="128" t="s">
        <v>142</v>
      </c>
      <c r="AU316" s="133" t="s">
        <v>143</v>
      </c>
      <c r="AV316" s="134" t="s">
        <v>144</v>
      </c>
      <c r="AW316" s="135" t="s">
        <v>145</v>
      </c>
      <c r="AX316" s="136" t="s">
        <v>146</v>
      </c>
      <c r="AY316" s="137" t="s">
        <v>147</v>
      </c>
      <c r="AZ316" s="134" t="s">
        <v>104</v>
      </c>
      <c r="BA316" s="41" t="s">
        <v>105</v>
      </c>
      <c r="BB316" s="591" t="str">
        <f t="shared" si="20"/>
        <v>TEMPLATE</v>
      </c>
      <c r="BC316" s="591" t="str">
        <f t="shared" si="21"/>
        <v>4. ICT / Digital / Telecom-SSA-SSA-FW</v>
      </c>
      <c r="BD316" s="591" t="str">
        <f t="shared" si="22"/>
        <v>SSA-SSA-FW</v>
      </c>
      <c r="BE316" s="591" t="str">
        <f t="shared" si="23"/>
        <v>NONE</v>
      </c>
      <c r="BF316" s="594">
        <f t="shared" si="24"/>
        <v>7</v>
      </c>
    </row>
    <row r="317" spans="1:58" ht="42" customHeight="1" x14ac:dyDescent="0.45">
      <c r="A317" s="42">
        <v>276</v>
      </c>
      <c r="B317" s="138" t="s">
        <v>2089</v>
      </c>
      <c r="C317" s="44" t="s">
        <v>2090</v>
      </c>
      <c r="D317" s="44" t="s">
        <v>1342</v>
      </c>
      <c r="E317" s="138" t="s">
        <v>557</v>
      </c>
      <c r="F317" s="45" t="s">
        <v>58</v>
      </c>
      <c r="G317" s="44" t="s">
        <v>59</v>
      </c>
      <c r="H317" s="44" t="s">
        <v>57</v>
      </c>
      <c r="I317" s="46" t="s">
        <v>61</v>
      </c>
      <c r="J317" s="46" t="s">
        <v>62</v>
      </c>
      <c r="K317" s="44" t="s">
        <v>558</v>
      </c>
      <c r="L317" s="66" t="s">
        <v>559</v>
      </c>
      <c r="M317" s="44" t="s">
        <v>2093</v>
      </c>
      <c r="N317" s="59" t="s">
        <v>275</v>
      </c>
      <c r="O317" s="48" t="s">
        <v>196</v>
      </c>
      <c r="P317" s="44" t="s">
        <v>561</v>
      </c>
      <c r="Q317" s="121" t="s">
        <v>562</v>
      </c>
      <c r="R317" s="121" t="s">
        <v>563</v>
      </c>
      <c r="S317" s="123" t="s">
        <v>564</v>
      </c>
      <c r="T317" s="121" t="s">
        <v>565</v>
      </c>
      <c r="U317" s="25" t="s">
        <v>566</v>
      </c>
      <c r="V317" s="121" t="s">
        <v>282</v>
      </c>
      <c r="W317" s="122" t="s">
        <v>283</v>
      </c>
      <c r="X317" s="121" t="s">
        <v>284</v>
      </c>
      <c r="Y317" s="49" t="s">
        <v>285</v>
      </c>
      <c r="Z317" s="121" t="s">
        <v>286</v>
      </c>
      <c r="AA317" s="123" t="s">
        <v>286</v>
      </c>
      <c r="AB317" s="121" t="s">
        <v>287</v>
      </c>
      <c r="AC317" s="121" t="s">
        <v>288</v>
      </c>
      <c r="AD317" s="49" t="s">
        <v>289</v>
      </c>
      <c r="AE317" s="58" t="s">
        <v>290</v>
      </c>
      <c r="AF317" s="56" t="s">
        <v>291</v>
      </c>
      <c r="AG317" s="121" t="s">
        <v>292</v>
      </c>
      <c r="AH317" s="121" t="s">
        <v>293</v>
      </c>
      <c r="AI317" s="126" t="s">
        <v>215</v>
      </c>
      <c r="AJ317" s="121" t="s">
        <v>216</v>
      </c>
      <c r="AK317" s="127" t="s">
        <v>217</v>
      </c>
      <c r="AL317" s="128" t="s">
        <v>218</v>
      </c>
      <c r="AM317" s="129" t="s">
        <v>219</v>
      </c>
      <c r="AN317" s="130" t="s">
        <v>220</v>
      </c>
      <c r="AO317" s="131" t="s">
        <v>221</v>
      </c>
      <c r="AP317" s="51" t="s">
        <v>138</v>
      </c>
      <c r="AQ317" s="132" t="s">
        <v>139</v>
      </c>
      <c r="AR317" s="127" t="s">
        <v>140</v>
      </c>
      <c r="AS317" s="22" t="s">
        <v>141</v>
      </c>
      <c r="AT317" s="128" t="s">
        <v>142</v>
      </c>
      <c r="AU317" s="133" t="s">
        <v>143</v>
      </c>
      <c r="AV317" s="134" t="s">
        <v>144</v>
      </c>
      <c r="AW317" s="135" t="s">
        <v>145</v>
      </c>
      <c r="AX317" s="136" t="s">
        <v>146</v>
      </c>
      <c r="AY317" s="137" t="s">
        <v>147</v>
      </c>
      <c r="AZ317" s="134" t="s">
        <v>567</v>
      </c>
      <c r="BA317" s="34" t="s">
        <v>320</v>
      </c>
      <c r="BB317" s="591" t="str">
        <f t="shared" si="20"/>
        <v>TEMPLATE</v>
      </c>
      <c r="BC317" s="591" t="str">
        <f t="shared" si="21"/>
        <v>4. ICT / Digital / Telecom-SSA-NCA-ECC-2:2024</v>
      </c>
      <c r="BD317" s="591" t="str">
        <f t="shared" si="22"/>
        <v>SSA-NCA-ECC-2-2024</v>
      </c>
      <c r="BE317" s="591" t="str">
        <f t="shared" si="23"/>
        <v>NCA-ECC-2-2024</v>
      </c>
      <c r="BF317" s="594">
        <f t="shared" si="24"/>
        <v>6</v>
      </c>
    </row>
    <row r="318" spans="1:58" x14ac:dyDescent="0.45">
      <c r="BB318" s="591" t="str">
        <f t="shared" si="20"/>
        <v/>
      </c>
      <c r="BC318" s="591" t="str">
        <f t="shared" si="21"/>
        <v/>
      </c>
      <c r="BD318" s="591" t="str">
        <f t="shared" si="22"/>
        <v/>
      </c>
      <c r="BE318" s="591" t="str">
        <f t="shared" si="23"/>
        <v/>
      </c>
      <c r="BF318" s="594" t="str">
        <f t="shared" si="24"/>
        <v/>
      </c>
    </row>
    <row r="319" spans="1:58" ht="19.5" customHeight="1" x14ac:dyDescent="0.45">
      <c r="A319" s="365"/>
      <c r="B319" s="366" t="s">
        <v>2094</v>
      </c>
      <c r="C319" s="365"/>
      <c r="D319" s="365"/>
      <c r="E319" s="365"/>
      <c r="F319" s="365"/>
      <c r="G319" s="365"/>
      <c r="H319" s="365"/>
      <c r="I319" s="365"/>
      <c r="J319" s="365"/>
      <c r="K319" s="365"/>
      <c r="L319" s="365"/>
      <c r="M319" s="365"/>
      <c r="N319" s="365"/>
      <c r="O319" s="365"/>
      <c r="P319" s="365"/>
      <c r="BB319" s="591" t="str">
        <f t="shared" si="20"/>
        <v/>
      </c>
      <c r="BC319" s="591" t="str">
        <f t="shared" si="21"/>
        <v/>
      </c>
      <c r="BD319" s="591" t="str">
        <f t="shared" si="22"/>
        <v/>
      </c>
      <c r="BE319" s="591" t="str">
        <f t="shared" si="23"/>
        <v/>
      </c>
      <c r="BF319" s="594" t="str">
        <f t="shared" si="24"/>
        <v/>
      </c>
    </row>
    <row r="320" spans="1:58" ht="42" customHeight="1" x14ac:dyDescent="0.45">
      <c r="A320" s="367">
        <v>277</v>
      </c>
      <c r="B320" s="368" t="s">
        <v>2095</v>
      </c>
      <c r="C320" s="369" t="s">
        <v>2096</v>
      </c>
      <c r="D320" s="369" t="s">
        <v>2097</v>
      </c>
      <c r="E320" s="368" t="s">
        <v>2098</v>
      </c>
      <c r="F320" s="370" t="s">
        <v>2099</v>
      </c>
      <c r="G320" s="369" t="s">
        <v>1898</v>
      </c>
      <c r="H320" s="369" t="s">
        <v>1746</v>
      </c>
      <c r="I320" s="371" t="s">
        <v>1155</v>
      </c>
      <c r="J320" s="371" t="s">
        <v>310</v>
      </c>
      <c r="K320" s="369" t="s">
        <v>63</v>
      </c>
      <c r="L320" s="22" t="s">
        <v>64</v>
      </c>
      <c r="M320" s="369" t="s">
        <v>1900</v>
      </c>
      <c r="N320" s="372" t="s">
        <v>253</v>
      </c>
      <c r="O320" s="373" t="s">
        <v>1901</v>
      </c>
      <c r="P320" s="369" t="s">
        <v>1902</v>
      </c>
      <c r="Q320" s="369" t="s">
        <v>562</v>
      </c>
      <c r="R320" s="369" t="s">
        <v>563</v>
      </c>
      <c r="S320" s="371" t="s">
        <v>564</v>
      </c>
      <c r="T320" s="369" t="s">
        <v>565</v>
      </c>
      <c r="U320" s="25" t="s">
        <v>566</v>
      </c>
      <c r="V320" s="369" t="s">
        <v>282</v>
      </c>
      <c r="W320" s="370" t="s">
        <v>283</v>
      </c>
      <c r="X320" s="369" t="s">
        <v>284</v>
      </c>
      <c r="Y320" s="49" t="s">
        <v>285</v>
      </c>
      <c r="Z320" s="369" t="s">
        <v>286</v>
      </c>
      <c r="AA320" s="371" t="s">
        <v>286</v>
      </c>
      <c r="AB320" s="369" t="s">
        <v>287</v>
      </c>
      <c r="AC320" s="369" t="s">
        <v>288</v>
      </c>
      <c r="AD320" s="49" t="s">
        <v>289</v>
      </c>
      <c r="AE320" s="58" t="s">
        <v>290</v>
      </c>
      <c r="AF320" s="56" t="s">
        <v>291</v>
      </c>
      <c r="AG320" s="369" t="s">
        <v>292</v>
      </c>
      <c r="AH320" s="369" t="s">
        <v>293</v>
      </c>
      <c r="AI320" s="374" t="s">
        <v>215</v>
      </c>
      <c r="AJ320" s="369" t="s">
        <v>216</v>
      </c>
      <c r="AK320" s="375" t="s">
        <v>217</v>
      </c>
      <c r="AL320" s="376" t="s">
        <v>218</v>
      </c>
      <c r="AM320" s="377" t="s">
        <v>219</v>
      </c>
      <c r="AN320" s="378" t="s">
        <v>220</v>
      </c>
      <c r="AO320" s="379" t="s">
        <v>221</v>
      </c>
      <c r="AP320" s="51" t="s">
        <v>138</v>
      </c>
      <c r="AQ320" s="380" t="s">
        <v>139</v>
      </c>
      <c r="AR320" s="375" t="s">
        <v>140</v>
      </c>
      <c r="AS320" s="22" t="s">
        <v>141</v>
      </c>
      <c r="AT320" s="376" t="s">
        <v>142</v>
      </c>
      <c r="AU320" s="381" t="s">
        <v>143</v>
      </c>
      <c r="AV320" s="382" t="s">
        <v>144</v>
      </c>
      <c r="AW320" s="383" t="s">
        <v>145</v>
      </c>
      <c r="AX320" s="384" t="s">
        <v>146</v>
      </c>
      <c r="AY320" s="385" t="s">
        <v>147</v>
      </c>
      <c r="AZ320" s="382" t="s">
        <v>104</v>
      </c>
      <c r="BA320" s="41" t="s">
        <v>105</v>
      </c>
      <c r="BB320" s="591" t="str">
        <f t="shared" si="20"/>
        <v>TEMPLATE</v>
      </c>
      <c r="BC320" s="591" t="str">
        <f t="shared" si="21"/>
        <v>15. Special Zones &amp; Giga-NEOM-NEOM-FW</v>
      </c>
      <c r="BD320" s="591" t="str">
        <f t="shared" si="22"/>
        <v>NEOM-NEOM-FW</v>
      </c>
      <c r="BE320" s="591" t="str">
        <f t="shared" si="23"/>
        <v>NONE</v>
      </c>
      <c r="BF320" s="594">
        <f t="shared" si="24"/>
        <v>7</v>
      </c>
    </row>
    <row r="321" spans="1:58" ht="42" customHeight="1" x14ac:dyDescent="0.45">
      <c r="A321" s="42">
        <v>278</v>
      </c>
      <c r="B321" s="386" t="s">
        <v>2095</v>
      </c>
      <c r="C321" s="44" t="s">
        <v>2096</v>
      </c>
      <c r="D321" s="44" t="s">
        <v>2097</v>
      </c>
      <c r="E321" s="386" t="s">
        <v>557</v>
      </c>
      <c r="F321" s="45" t="s">
        <v>58</v>
      </c>
      <c r="G321" s="44" t="s">
        <v>59</v>
      </c>
      <c r="H321" s="44" t="s">
        <v>57</v>
      </c>
      <c r="I321" s="46" t="s">
        <v>61</v>
      </c>
      <c r="J321" s="46" t="s">
        <v>62</v>
      </c>
      <c r="K321" s="44" t="s">
        <v>558</v>
      </c>
      <c r="L321" s="66" t="s">
        <v>559</v>
      </c>
      <c r="M321" s="44" t="s">
        <v>2100</v>
      </c>
      <c r="N321" s="59" t="s">
        <v>275</v>
      </c>
      <c r="O321" s="48" t="s">
        <v>196</v>
      </c>
      <c r="P321" s="44" t="s">
        <v>561</v>
      </c>
      <c r="Q321" s="369" t="s">
        <v>562</v>
      </c>
      <c r="R321" s="369" t="s">
        <v>563</v>
      </c>
      <c r="S321" s="371" t="s">
        <v>564</v>
      </c>
      <c r="T321" s="369" t="s">
        <v>565</v>
      </c>
      <c r="U321" s="25" t="s">
        <v>566</v>
      </c>
      <c r="V321" s="369" t="s">
        <v>282</v>
      </c>
      <c r="W321" s="370" t="s">
        <v>283</v>
      </c>
      <c r="X321" s="369" t="s">
        <v>284</v>
      </c>
      <c r="Y321" s="49" t="s">
        <v>285</v>
      </c>
      <c r="Z321" s="369" t="s">
        <v>286</v>
      </c>
      <c r="AA321" s="371" t="s">
        <v>286</v>
      </c>
      <c r="AB321" s="369" t="s">
        <v>287</v>
      </c>
      <c r="AC321" s="369" t="s">
        <v>288</v>
      </c>
      <c r="AD321" s="49" t="s">
        <v>289</v>
      </c>
      <c r="AE321" s="58" t="s">
        <v>290</v>
      </c>
      <c r="AF321" s="56" t="s">
        <v>291</v>
      </c>
      <c r="AG321" s="369" t="s">
        <v>292</v>
      </c>
      <c r="AH321" s="369" t="s">
        <v>293</v>
      </c>
      <c r="AI321" s="374" t="s">
        <v>215</v>
      </c>
      <c r="AJ321" s="369" t="s">
        <v>216</v>
      </c>
      <c r="AK321" s="375" t="s">
        <v>217</v>
      </c>
      <c r="AL321" s="376" t="s">
        <v>218</v>
      </c>
      <c r="AM321" s="377" t="s">
        <v>219</v>
      </c>
      <c r="AN321" s="378" t="s">
        <v>220</v>
      </c>
      <c r="AO321" s="379" t="s">
        <v>221</v>
      </c>
      <c r="AP321" s="51" t="s">
        <v>138</v>
      </c>
      <c r="AQ321" s="380" t="s">
        <v>139</v>
      </c>
      <c r="AR321" s="375" t="s">
        <v>140</v>
      </c>
      <c r="AS321" s="22" t="s">
        <v>141</v>
      </c>
      <c r="AT321" s="376" t="s">
        <v>142</v>
      </c>
      <c r="AU321" s="381" t="s">
        <v>143</v>
      </c>
      <c r="AV321" s="382" t="s">
        <v>144</v>
      </c>
      <c r="AW321" s="383" t="s">
        <v>145</v>
      </c>
      <c r="AX321" s="384" t="s">
        <v>146</v>
      </c>
      <c r="AY321" s="385" t="s">
        <v>147</v>
      </c>
      <c r="AZ321" s="382" t="s">
        <v>567</v>
      </c>
      <c r="BA321" s="34" t="s">
        <v>320</v>
      </c>
      <c r="BB321" s="591" t="str">
        <f t="shared" si="20"/>
        <v>TEMPLATE</v>
      </c>
      <c r="BC321" s="591" t="str">
        <f t="shared" si="21"/>
        <v>15. Special Zones &amp; Giga-NEOM-NCA-ECC-2:2024</v>
      </c>
      <c r="BD321" s="591" t="str">
        <f t="shared" si="22"/>
        <v>NEOM-NCA-ECC-2-2024</v>
      </c>
      <c r="BE321" s="591" t="str">
        <f t="shared" si="23"/>
        <v>NCA-ECC-2-2024</v>
      </c>
      <c r="BF321" s="594">
        <f t="shared" si="24"/>
        <v>6</v>
      </c>
    </row>
    <row r="322" spans="1:58" ht="42" customHeight="1" x14ac:dyDescent="0.45">
      <c r="A322" s="367">
        <v>279</v>
      </c>
      <c r="B322" s="368" t="s">
        <v>2101</v>
      </c>
      <c r="C322" s="369" t="s">
        <v>2102</v>
      </c>
      <c r="D322" s="369" t="s">
        <v>2097</v>
      </c>
      <c r="E322" s="368" t="s">
        <v>2103</v>
      </c>
      <c r="F322" s="370" t="s">
        <v>2104</v>
      </c>
      <c r="G322" s="369" t="s">
        <v>1898</v>
      </c>
      <c r="H322" s="369" t="s">
        <v>1746</v>
      </c>
      <c r="I322" s="371" t="s">
        <v>1346</v>
      </c>
      <c r="J322" s="371" t="s">
        <v>310</v>
      </c>
      <c r="K322" s="369" t="s">
        <v>63</v>
      </c>
      <c r="L322" s="22" t="s">
        <v>64</v>
      </c>
      <c r="M322" s="369" t="s">
        <v>1900</v>
      </c>
      <c r="N322" s="372" t="s">
        <v>253</v>
      </c>
      <c r="O322" s="373" t="s">
        <v>1901</v>
      </c>
      <c r="P322" s="369" t="s">
        <v>1902</v>
      </c>
      <c r="Q322" s="369" t="s">
        <v>562</v>
      </c>
      <c r="R322" s="369" t="s">
        <v>563</v>
      </c>
      <c r="S322" s="371" t="s">
        <v>564</v>
      </c>
      <c r="T322" s="369" t="s">
        <v>565</v>
      </c>
      <c r="U322" s="25" t="s">
        <v>566</v>
      </c>
      <c r="V322" s="369" t="s">
        <v>282</v>
      </c>
      <c r="W322" s="370" t="s">
        <v>283</v>
      </c>
      <c r="X322" s="369" t="s">
        <v>284</v>
      </c>
      <c r="Y322" s="49" t="s">
        <v>285</v>
      </c>
      <c r="Z322" s="369" t="s">
        <v>286</v>
      </c>
      <c r="AA322" s="371" t="s">
        <v>286</v>
      </c>
      <c r="AB322" s="369" t="s">
        <v>287</v>
      </c>
      <c r="AC322" s="369" t="s">
        <v>288</v>
      </c>
      <c r="AD322" s="49" t="s">
        <v>289</v>
      </c>
      <c r="AE322" s="58" t="s">
        <v>290</v>
      </c>
      <c r="AF322" s="56" t="s">
        <v>291</v>
      </c>
      <c r="AG322" s="369" t="s">
        <v>292</v>
      </c>
      <c r="AH322" s="369" t="s">
        <v>293</v>
      </c>
      <c r="AI322" s="374" t="s">
        <v>215</v>
      </c>
      <c r="AJ322" s="369" t="s">
        <v>216</v>
      </c>
      <c r="AK322" s="375" t="s">
        <v>217</v>
      </c>
      <c r="AL322" s="376" t="s">
        <v>218</v>
      </c>
      <c r="AM322" s="377" t="s">
        <v>219</v>
      </c>
      <c r="AN322" s="378" t="s">
        <v>220</v>
      </c>
      <c r="AO322" s="379" t="s">
        <v>221</v>
      </c>
      <c r="AP322" s="51" t="s">
        <v>138</v>
      </c>
      <c r="AQ322" s="380" t="s">
        <v>139</v>
      </c>
      <c r="AR322" s="375" t="s">
        <v>140</v>
      </c>
      <c r="AS322" s="22" t="s">
        <v>141</v>
      </c>
      <c r="AT322" s="376" t="s">
        <v>142</v>
      </c>
      <c r="AU322" s="381" t="s">
        <v>143</v>
      </c>
      <c r="AV322" s="382" t="s">
        <v>144</v>
      </c>
      <c r="AW322" s="383" t="s">
        <v>145</v>
      </c>
      <c r="AX322" s="384" t="s">
        <v>146</v>
      </c>
      <c r="AY322" s="385" t="s">
        <v>147</v>
      </c>
      <c r="AZ322" s="382" t="s">
        <v>104</v>
      </c>
      <c r="BA322" s="41" t="s">
        <v>105</v>
      </c>
      <c r="BB322" s="591" t="str">
        <f t="shared" si="20"/>
        <v>TEMPLATE</v>
      </c>
      <c r="BC322" s="591" t="str">
        <f t="shared" si="21"/>
        <v>15. Special Zones &amp; Giga-RDA-RDA-FW</v>
      </c>
      <c r="BD322" s="591" t="str">
        <f t="shared" si="22"/>
        <v>RDA-RDA-FW</v>
      </c>
      <c r="BE322" s="591" t="str">
        <f t="shared" si="23"/>
        <v>NONE</v>
      </c>
      <c r="BF322" s="594">
        <f t="shared" si="24"/>
        <v>7</v>
      </c>
    </row>
    <row r="323" spans="1:58" ht="42" customHeight="1" x14ac:dyDescent="0.45">
      <c r="A323" s="42">
        <v>280</v>
      </c>
      <c r="B323" s="386" t="s">
        <v>2101</v>
      </c>
      <c r="C323" s="44" t="s">
        <v>2102</v>
      </c>
      <c r="D323" s="44" t="s">
        <v>2097</v>
      </c>
      <c r="E323" s="386" t="s">
        <v>557</v>
      </c>
      <c r="F323" s="45" t="s">
        <v>58</v>
      </c>
      <c r="G323" s="44" t="s">
        <v>59</v>
      </c>
      <c r="H323" s="44" t="s">
        <v>57</v>
      </c>
      <c r="I323" s="46" t="s">
        <v>61</v>
      </c>
      <c r="J323" s="46" t="s">
        <v>62</v>
      </c>
      <c r="K323" s="44" t="s">
        <v>558</v>
      </c>
      <c r="L323" s="66" t="s">
        <v>559</v>
      </c>
      <c r="M323" s="44" t="s">
        <v>2105</v>
      </c>
      <c r="N323" s="59" t="s">
        <v>275</v>
      </c>
      <c r="O323" s="48" t="s">
        <v>196</v>
      </c>
      <c r="P323" s="44" t="s">
        <v>561</v>
      </c>
      <c r="Q323" s="369" t="s">
        <v>562</v>
      </c>
      <c r="R323" s="369" t="s">
        <v>563</v>
      </c>
      <c r="S323" s="371" t="s">
        <v>564</v>
      </c>
      <c r="T323" s="369" t="s">
        <v>565</v>
      </c>
      <c r="U323" s="25" t="s">
        <v>566</v>
      </c>
      <c r="V323" s="369" t="s">
        <v>282</v>
      </c>
      <c r="W323" s="370" t="s">
        <v>283</v>
      </c>
      <c r="X323" s="369" t="s">
        <v>284</v>
      </c>
      <c r="Y323" s="49" t="s">
        <v>285</v>
      </c>
      <c r="Z323" s="369" t="s">
        <v>286</v>
      </c>
      <c r="AA323" s="371" t="s">
        <v>286</v>
      </c>
      <c r="AB323" s="369" t="s">
        <v>287</v>
      </c>
      <c r="AC323" s="369" t="s">
        <v>288</v>
      </c>
      <c r="AD323" s="49" t="s">
        <v>289</v>
      </c>
      <c r="AE323" s="58" t="s">
        <v>290</v>
      </c>
      <c r="AF323" s="56" t="s">
        <v>291</v>
      </c>
      <c r="AG323" s="369" t="s">
        <v>292</v>
      </c>
      <c r="AH323" s="369" t="s">
        <v>293</v>
      </c>
      <c r="AI323" s="374" t="s">
        <v>215</v>
      </c>
      <c r="AJ323" s="369" t="s">
        <v>216</v>
      </c>
      <c r="AK323" s="375" t="s">
        <v>217</v>
      </c>
      <c r="AL323" s="376" t="s">
        <v>218</v>
      </c>
      <c r="AM323" s="377" t="s">
        <v>219</v>
      </c>
      <c r="AN323" s="378" t="s">
        <v>220</v>
      </c>
      <c r="AO323" s="379" t="s">
        <v>221</v>
      </c>
      <c r="AP323" s="51" t="s">
        <v>138</v>
      </c>
      <c r="AQ323" s="380" t="s">
        <v>139</v>
      </c>
      <c r="AR323" s="375" t="s">
        <v>140</v>
      </c>
      <c r="AS323" s="22" t="s">
        <v>141</v>
      </c>
      <c r="AT323" s="376" t="s">
        <v>142</v>
      </c>
      <c r="AU323" s="381" t="s">
        <v>143</v>
      </c>
      <c r="AV323" s="382" t="s">
        <v>144</v>
      </c>
      <c r="AW323" s="383" t="s">
        <v>145</v>
      </c>
      <c r="AX323" s="384" t="s">
        <v>146</v>
      </c>
      <c r="AY323" s="385" t="s">
        <v>147</v>
      </c>
      <c r="AZ323" s="382" t="s">
        <v>567</v>
      </c>
      <c r="BA323" s="34" t="s">
        <v>320</v>
      </c>
      <c r="BB323" s="591" t="str">
        <f t="shared" si="20"/>
        <v>TEMPLATE</v>
      </c>
      <c r="BC323" s="591" t="str">
        <f t="shared" si="21"/>
        <v>15. Special Zones &amp; Giga-RDA-NCA-ECC-2:2024</v>
      </c>
      <c r="BD323" s="591" t="str">
        <f t="shared" si="22"/>
        <v>RDA-NCA-ECC-2-2024</v>
      </c>
      <c r="BE323" s="591" t="str">
        <f t="shared" si="23"/>
        <v>NCA-ECC-2-2024</v>
      </c>
      <c r="BF323" s="594">
        <f t="shared" si="24"/>
        <v>6</v>
      </c>
    </row>
    <row r="324" spans="1:58" ht="42" customHeight="1" x14ac:dyDescent="0.45">
      <c r="A324" s="367">
        <v>281</v>
      </c>
      <c r="B324" s="368" t="s">
        <v>2106</v>
      </c>
      <c r="C324" s="369" t="s">
        <v>2107</v>
      </c>
      <c r="D324" s="369" t="s">
        <v>2097</v>
      </c>
      <c r="E324" s="368" t="s">
        <v>2108</v>
      </c>
      <c r="F324" s="370" t="s">
        <v>2109</v>
      </c>
      <c r="G324" s="369" t="s">
        <v>1898</v>
      </c>
      <c r="H324" s="369" t="s">
        <v>1746</v>
      </c>
      <c r="I324" s="371" t="s">
        <v>1155</v>
      </c>
      <c r="J324" s="371" t="s">
        <v>310</v>
      </c>
      <c r="K324" s="369" t="s">
        <v>63</v>
      </c>
      <c r="L324" s="22" t="s">
        <v>64</v>
      </c>
      <c r="M324" s="369" t="s">
        <v>1900</v>
      </c>
      <c r="N324" s="372" t="s">
        <v>253</v>
      </c>
      <c r="O324" s="373" t="s">
        <v>1901</v>
      </c>
      <c r="P324" s="369" t="s">
        <v>1902</v>
      </c>
      <c r="Q324" s="369" t="s">
        <v>562</v>
      </c>
      <c r="R324" s="369" t="s">
        <v>563</v>
      </c>
      <c r="S324" s="371" t="s">
        <v>564</v>
      </c>
      <c r="T324" s="369" t="s">
        <v>565</v>
      </c>
      <c r="U324" s="25" t="s">
        <v>566</v>
      </c>
      <c r="V324" s="369" t="s">
        <v>282</v>
      </c>
      <c r="W324" s="370" t="s">
        <v>283</v>
      </c>
      <c r="X324" s="369" t="s">
        <v>284</v>
      </c>
      <c r="Y324" s="49" t="s">
        <v>285</v>
      </c>
      <c r="Z324" s="369" t="s">
        <v>286</v>
      </c>
      <c r="AA324" s="371" t="s">
        <v>286</v>
      </c>
      <c r="AB324" s="369" t="s">
        <v>287</v>
      </c>
      <c r="AC324" s="369" t="s">
        <v>288</v>
      </c>
      <c r="AD324" s="49" t="s">
        <v>289</v>
      </c>
      <c r="AE324" s="58" t="s">
        <v>290</v>
      </c>
      <c r="AF324" s="56" t="s">
        <v>291</v>
      </c>
      <c r="AG324" s="369" t="s">
        <v>292</v>
      </c>
      <c r="AH324" s="369" t="s">
        <v>293</v>
      </c>
      <c r="AI324" s="374" t="s">
        <v>215</v>
      </c>
      <c r="AJ324" s="369" t="s">
        <v>216</v>
      </c>
      <c r="AK324" s="375" t="s">
        <v>217</v>
      </c>
      <c r="AL324" s="376" t="s">
        <v>218</v>
      </c>
      <c r="AM324" s="377" t="s">
        <v>219</v>
      </c>
      <c r="AN324" s="378" t="s">
        <v>220</v>
      </c>
      <c r="AO324" s="379" t="s">
        <v>221</v>
      </c>
      <c r="AP324" s="51" t="s">
        <v>138</v>
      </c>
      <c r="AQ324" s="380" t="s">
        <v>139</v>
      </c>
      <c r="AR324" s="375" t="s">
        <v>140</v>
      </c>
      <c r="AS324" s="22" t="s">
        <v>141</v>
      </c>
      <c r="AT324" s="376" t="s">
        <v>142</v>
      </c>
      <c r="AU324" s="381" t="s">
        <v>143</v>
      </c>
      <c r="AV324" s="382" t="s">
        <v>144</v>
      </c>
      <c r="AW324" s="383" t="s">
        <v>145</v>
      </c>
      <c r="AX324" s="384" t="s">
        <v>146</v>
      </c>
      <c r="AY324" s="385" t="s">
        <v>147</v>
      </c>
      <c r="AZ324" s="382" t="s">
        <v>104</v>
      </c>
      <c r="BA324" s="41" t="s">
        <v>105</v>
      </c>
      <c r="BB324" s="591" t="str">
        <f t="shared" si="20"/>
        <v>TEMPLATE</v>
      </c>
      <c r="BC324" s="591" t="str">
        <f t="shared" si="21"/>
        <v>15. Special Zones &amp; Giga-DGDA-DGDA-FW</v>
      </c>
      <c r="BD324" s="591" t="str">
        <f t="shared" si="22"/>
        <v>DGDA-DGDA-FW</v>
      </c>
      <c r="BE324" s="591" t="str">
        <f t="shared" si="23"/>
        <v>NONE</v>
      </c>
      <c r="BF324" s="594">
        <f t="shared" si="24"/>
        <v>7</v>
      </c>
    </row>
    <row r="325" spans="1:58" ht="42" customHeight="1" x14ac:dyDescent="0.45">
      <c r="A325" s="42">
        <v>282</v>
      </c>
      <c r="B325" s="386" t="s">
        <v>2106</v>
      </c>
      <c r="C325" s="44" t="s">
        <v>2107</v>
      </c>
      <c r="D325" s="44" t="s">
        <v>2097</v>
      </c>
      <c r="E325" s="386" t="s">
        <v>557</v>
      </c>
      <c r="F325" s="45" t="s">
        <v>58</v>
      </c>
      <c r="G325" s="44" t="s">
        <v>59</v>
      </c>
      <c r="H325" s="44" t="s">
        <v>57</v>
      </c>
      <c r="I325" s="46" t="s">
        <v>61</v>
      </c>
      <c r="J325" s="46" t="s">
        <v>62</v>
      </c>
      <c r="K325" s="44" t="s">
        <v>558</v>
      </c>
      <c r="L325" s="66" t="s">
        <v>559</v>
      </c>
      <c r="M325" s="44" t="s">
        <v>2110</v>
      </c>
      <c r="N325" s="59" t="s">
        <v>275</v>
      </c>
      <c r="O325" s="48" t="s">
        <v>196</v>
      </c>
      <c r="P325" s="44" t="s">
        <v>561</v>
      </c>
      <c r="Q325" s="369" t="s">
        <v>562</v>
      </c>
      <c r="R325" s="369" t="s">
        <v>563</v>
      </c>
      <c r="S325" s="371" t="s">
        <v>564</v>
      </c>
      <c r="T325" s="369" t="s">
        <v>565</v>
      </c>
      <c r="U325" s="25" t="s">
        <v>566</v>
      </c>
      <c r="V325" s="369" t="s">
        <v>282</v>
      </c>
      <c r="W325" s="370" t="s">
        <v>283</v>
      </c>
      <c r="X325" s="369" t="s">
        <v>284</v>
      </c>
      <c r="Y325" s="49" t="s">
        <v>285</v>
      </c>
      <c r="Z325" s="369" t="s">
        <v>286</v>
      </c>
      <c r="AA325" s="371" t="s">
        <v>286</v>
      </c>
      <c r="AB325" s="369" t="s">
        <v>287</v>
      </c>
      <c r="AC325" s="369" t="s">
        <v>288</v>
      </c>
      <c r="AD325" s="49" t="s">
        <v>289</v>
      </c>
      <c r="AE325" s="58" t="s">
        <v>290</v>
      </c>
      <c r="AF325" s="56" t="s">
        <v>291</v>
      </c>
      <c r="AG325" s="369" t="s">
        <v>292</v>
      </c>
      <c r="AH325" s="369" t="s">
        <v>293</v>
      </c>
      <c r="AI325" s="374" t="s">
        <v>215</v>
      </c>
      <c r="AJ325" s="369" t="s">
        <v>216</v>
      </c>
      <c r="AK325" s="375" t="s">
        <v>217</v>
      </c>
      <c r="AL325" s="376" t="s">
        <v>218</v>
      </c>
      <c r="AM325" s="377" t="s">
        <v>219</v>
      </c>
      <c r="AN325" s="378" t="s">
        <v>220</v>
      </c>
      <c r="AO325" s="379" t="s">
        <v>221</v>
      </c>
      <c r="AP325" s="51" t="s">
        <v>138</v>
      </c>
      <c r="AQ325" s="380" t="s">
        <v>139</v>
      </c>
      <c r="AR325" s="375" t="s">
        <v>140</v>
      </c>
      <c r="AS325" s="22" t="s">
        <v>141</v>
      </c>
      <c r="AT325" s="376" t="s">
        <v>142</v>
      </c>
      <c r="AU325" s="381" t="s">
        <v>143</v>
      </c>
      <c r="AV325" s="382" t="s">
        <v>144</v>
      </c>
      <c r="AW325" s="383" t="s">
        <v>145</v>
      </c>
      <c r="AX325" s="384" t="s">
        <v>146</v>
      </c>
      <c r="AY325" s="385" t="s">
        <v>147</v>
      </c>
      <c r="AZ325" s="382" t="s">
        <v>567</v>
      </c>
      <c r="BA325" s="34" t="s">
        <v>320</v>
      </c>
      <c r="BB325" s="591" t="str">
        <f t="shared" ref="BB325:BB388" si="25">IF(E325="","",IF(ISNUMBER(SEARCH("Institutional theory and regulatory governance theory underpin",AI325)),"TEMPLATE",IF(LEN(AI325)&gt;100,"DEEP",IF(AI325="","SPARSE","SHALLOW"))))</f>
        <v>TEMPLATE</v>
      </c>
      <c r="BC325" s="591" t="str">
        <f t="shared" ref="BC325:BC388" si="26">IF(E325="","",D325&amp;"-"&amp;B325&amp;"-"&amp;E325)</f>
        <v>15. Special Zones &amp; Giga-DGDA-NCA-ECC-2:2024</v>
      </c>
      <c r="BD325" s="591" t="str">
        <f t="shared" ref="BD325:BD388" si="27">IF(E325="","",SUBSTITUTE(SUBSTITUTE(B325&amp;"-"&amp;E325," ",""),":","-"))</f>
        <v>DGDA-NCA-ECC-2-2024</v>
      </c>
      <c r="BE325" s="591" t="str">
        <f t="shared" ref="BE325:BE388" si="28">IF(E325="","",IF(ISNUMBER(SEARCH("ECC",E325)),"NCA-ECC-2-2024",IF(ISNUMBER(SEARCH("OTCC",E325)),"NCA-ECC-2-2024",IF(ISNUMBER(SEARCH("CCC",E325)),"NCA-ECC-2-2024",IF(ISNUMBER(SEARCH("DCC",E325)),"NCA-ECC-2-2024",IF(ISNUMBER(SEARCH("CSCC",E325)),"NCA-ECC-2-2024",IF(ISNUMBER(SEARCH("PDPL-IR",E325)),"PDPL-2021",IF(ISNUMBER(SEARCH("PDPL-DTR",E325)),"PDPL-2021","NONE"))))))))</f>
        <v>NCA-ECC-2-2024</v>
      </c>
      <c r="BF325" s="594">
        <f t="shared" ref="BF325:BF388" si="29">IF(E325="","",IF(BB325="DEEP",10,IF(BB325="SHALLOW",5,IF(BB325="TEMPLATE",3,1)))+IF(N325="HIGHEST",5,IF(N325="HIGH",3,IF(N325="MODERATE",1,0)))+IF(ISNUMBER(SEARCH("Mandatory",L325)),3,0))</f>
        <v>6</v>
      </c>
    </row>
    <row r="326" spans="1:58" ht="42" customHeight="1" x14ac:dyDescent="0.45">
      <c r="A326" s="367">
        <v>283</v>
      </c>
      <c r="B326" s="368" t="s">
        <v>2111</v>
      </c>
      <c r="C326" s="369" t="s">
        <v>2112</v>
      </c>
      <c r="D326" s="369" t="s">
        <v>2097</v>
      </c>
      <c r="E326" s="368" t="s">
        <v>2113</v>
      </c>
      <c r="F326" s="370" t="s">
        <v>2114</v>
      </c>
      <c r="G326" s="369" t="s">
        <v>1898</v>
      </c>
      <c r="H326" s="369" t="s">
        <v>1746</v>
      </c>
      <c r="I326" s="371" t="s">
        <v>1155</v>
      </c>
      <c r="J326" s="371" t="s">
        <v>310</v>
      </c>
      <c r="K326" s="369" t="s">
        <v>63</v>
      </c>
      <c r="L326" s="22" t="s">
        <v>64</v>
      </c>
      <c r="M326" s="369" t="s">
        <v>1900</v>
      </c>
      <c r="N326" s="372" t="s">
        <v>253</v>
      </c>
      <c r="O326" s="373" t="s">
        <v>1901</v>
      </c>
      <c r="P326" s="369" t="s">
        <v>1902</v>
      </c>
      <c r="Q326" s="369" t="s">
        <v>562</v>
      </c>
      <c r="R326" s="369" t="s">
        <v>563</v>
      </c>
      <c r="S326" s="371" t="s">
        <v>564</v>
      </c>
      <c r="T326" s="369" t="s">
        <v>565</v>
      </c>
      <c r="U326" s="25" t="s">
        <v>566</v>
      </c>
      <c r="V326" s="369" t="s">
        <v>282</v>
      </c>
      <c r="W326" s="370" t="s">
        <v>283</v>
      </c>
      <c r="X326" s="369" t="s">
        <v>284</v>
      </c>
      <c r="Y326" s="49" t="s">
        <v>285</v>
      </c>
      <c r="Z326" s="369" t="s">
        <v>286</v>
      </c>
      <c r="AA326" s="371" t="s">
        <v>286</v>
      </c>
      <c r="AB326" s="369" t="s">
        <v>287</v>
      </c>
      <c r="AC326" s="369" t="s">
        <v>288</v>
      </c>
      <c r="AD326" s="49" t="s">
        <v>289</v>
      </c>
      <c r="AE326" s="58" t="s">
        <v>290</v>
      </c>
      <c r="AF326" s="56" t="s">
        <v>291</v>
      </c>
      <c r="AG326" s="369" t="s">
        <v>292</v>
      </c>
      <c r="AH326" s="369" t="s">
        <v>293</v>
      </c>
      <c r="AI326" s="374" t="s">
        <v>215</v>
      </c>
      <c r="AJ326" s="369" t="s">
        <v>216</v>
      </c>
      <c r="AK326" s="375" t="s">
        <v>217</v>
      </c>
      <c r="AL326" s="376" t="s">
        <v>218</v>
      </c>
      <c r="AM326" s="377" t="s">
        <v>219</v>
      </c>
      <c r="AN326" s="378" t="s">
        <v>220</v>
      </c>
      <c r="AO326" s="379" t="s">
        <v>221</v>
      </c>
      <c r="AP326" s="51" t="s">
        <v>138</v>
      </c>
      <c r="AQ326" s="380" t="s">
        <v>139</v>
      </c>
      <c r="AR326" s="375" t="s">
        <v>140</v>
      </c>
      <c r="AS326" s="22" t="s">
        <v>141</v>
      </c>
      <c r="AT326" s="376" t="s">
        <v>142</v>
      </c>
      <c r="AU326" s="381" t="s">
        <v>143</v>
      </c>
      <c r="AV326" s="382" t="s">
        <v>144</v>
      </c>
      <c r="AW326" s="383" t="s">
        <v>145</v>
      </c>
      <c r="AX326" s="384" t="s">
        <v>146</v>
      </c>
      <c r="AY326" s="385" t="s">
        <v>147</v>
      </c>
      <c r="AZ326" s="382" t="s">
        <v>104</v>
      </c>
      <c r="BA326" s="41" t="s">
        <v>105</v>
      </c>
      <c r="BB326" s="591" t="str">
        <f t="shared" si="25"/>
        <v>TEMPLATE</v>
      </c>
      <c r="BC326" s="591" t="str">
        <f t="shared" si="26"/>
        <v>15. Special Zones &amp; Giga-RCU-RCU-FW</v>
      </c>
      <c r="BD326" s="591" t="str">
        <f t="shared" si="27"/>
        <v>RCU-RCU-FW</v>
      </c>
      <c r="BE326" s="591" t="str">
        <f t="shared" si="28"/>
        <v>NONE</v>
      </c>
      <c r="BF326" s="594">
        <f t="shared" si="29"/>
        <v>7</v>
      </c>
    </row>
    <row r="327" spans="1:58" ht="42" customHeight="1" x14ac:dyDescent="0.45">
      <c r="A327" s="42">
        <v>284</v>
      </c>
      <c r="B327" s="386" t="s">
        <v>2111</v>
      </c>
      <c r="C327" s="44" t="s">
        <v>2112</v>
      </c>
      <c r="D327" s="44" t="s">
        <v>2097</v>
      </c>
      <c r="E327" s="386" t="s">
        <v>557</v>
      </c>
      <c r="F327" s="45" t="s">
        <v>58</v>
      </c>
      <c r="G327" s="44" t="s">
        <v>59</v>
      </c>
      <c r="H327" s="44" t="s">
        <v>57</v>
      </c>
      <c r="I327" s="46" t="s">
        <v>61</v>
      </c>
      <c r="J327" s="46" t="s">
        <v>62</v>
      </c>
      <c r="K327" s="44" t="s">
        <v>558</v>
      </c>
      <c r="L327" s="66" t="s">
        <v>559</v>
      </c>
      <c r="M327" s="44" t="s">
        <v>2115</v>
      </c>
      <c r="N327" s="59" t="s">
        <v>275</v>
      </c>
      <c r="O327" s="48" t="s">
        <v>196</v>
      </c>
      <c r="P327" s="44" t="s">
        <v>561</v>
      </c>
      <c r="Q327" s="369" t="s">
        <v>562</v>
      </c>
      <c r="R327" s="369" t="s">
        <v>563</v>
      </c>
      <c r="S327" s="371" t="s">
        <v>564</v>
      </c>
      <c r="T327" s="369" t="s">
        <v>565</v>
      </c>
      <c r="U327" s="25" t="s">
        <v>566</v>
      </c>
      <c r="V327" s="369" t="s">
        <v>282</v>
      </c>
      <c r="W327" s="370" t="s">
        <v>283</v>
      </c>
      <c r="X327" s="369" t="s">
        <v>284</v>
      </c>
      <c r="Y327" s="49" t="s">
        <v>285</v>
      </c>
      <c r="Z327" s="369" t="s">
        <v>286</v>
      </c>
      <c r="AA327" s="371" t="s">
        <v>286</v>
      </c>
      <c r="AB327" s="369" t="s">
        <v>287</v>
      </c>
      <c r="AC327" s="369" t="s">
        <v>288</v>
      </c>
      <c r="AD327" s="49" t="s">
        <v>289</v>
      </c>
      <c r="AE327" s="58" t="s">
        <v>290</v>
      </c>
      <c r="AF327" s="56" t="s">
        <v>291</v>
      </c>
      <c r="AG327" s="369" t="s">
        <v>292</v>
      </c>
      <c r="AH327" s="369" t="s">
        <v>293</v>
      </c>
      <c r="AI327" s="374" t="s">
        <v>215</v>
      </c>
      <c r="AJ327" s="369" t="s">
        <v>216</v>
      </c>
      <c r="AK327" s="375" t="s">
        <v>217</v>
      </c>
      <c r="AL327" s="376" t="s">
        <v>218</v>
      </c>
      <c r="AM327" s="377" t="s">
        <v>219</v>
      </c>
      <c r="AN327" s="378" t="s">
        <v>220</v>
      </c>
      <c r="AO327" s="379" t="s">
        <v>221</v>
      </c>
      <c r="AP327" s="51" t="s">
        <v>138</v>
      </c>
      <c r="AQ327" s="380" t="s">
        <v>139</v>
      </c>
      <c r="AR327" s="375" t="s">
        <v>140</v>
      </c>
      <c r="AS327" s="22" t="s">
        <v>141</v>
      </c>
      <c r="AT327" s="376" t="s">
        <v>142</v>
      </c>
      <c r="AU327" s="381" t="s">
        <v>143</v>
      </c>
      <c r="AV327" s="382" t="s">
        <v>144</v>
      </c>
      <c r="AW327" s="383" t="s">
        <v>145</v>
      </c>
      <c r="AX327" s="384" t="s">
        <v>146</v>
      </c>
      <c r="AY327" s="385" t="s">
        <v>147</v>
      </c>
      <c r="AZ327" s="382" t="s">
        <v>567</v>
      </c>
      <c r="BA327" s="34" t="s">
        <v>320</v>
      </c>
      <c r="BB327" s="591" t="str">
        <f t="shared" si="25"/>
        <v>TEMPLATE</v>
      </c>
      <c r="BC327" s="591" t="str">
        <f t="shared" si="26"/>
        <v>15. Special Zones &amp; Giga-RCU-NCA-ECC-2:2024</v>
      </c>
      <c r="BD327" s="591" t="str">
        <f t="shared" si="27"/>
        <v>RCU-NCA-ECC-2-2024</v>
      </c>
      <c r="BE327" s="591" t="str">
        <f t="shared" si="28"/>
        <v>NCA-ECC-2-2024</v>
      </c>
      <c r="BF327" s="594">
        <f t="shared" si="29"/>
        <v>6</v>
      </c>
    </row>
    <row r="328" spans="1:58" ht="42" customHeight="1" x14ac:dyDescent="0.45">
      <c r="A328" s="367">
        <v>285</v>
      </c>
      <c r="B328" s="368" t="s">
        <v>2116</v>
      </c>
      <c r="C328" s="369" t="s">
        <v>2117</v>
      </c>
      <c r="D328" s="369" t="s">
        <v>2097</v>
      </c>
      <c r="E328" s="368" t="s">
        <v>2118</v>
      </c>
      <c r="F328" s="370" t="s">
        <v>2119</v>
      </c>
      <c r="G328" s="369" t="s">
        <v>1898</v>
      </c>
      <c r="H328" s="369" t="s">
        <v>1746</v>
      </c>
      <c r="I328" s="371" t="s">
        <v>61</v>
      </c>
      <c r="J328" s="371" t="s">
        <v>310</v>
      </c>
      <c r="K328" s="369" t="s">
        <v>63</v>
      </c>
      <c r="L328" s="22" t="s">
        <v>64</v>
      </c>
      <c r="M328" s="369" t="s">
        <v>1900</v>
      </c>
      <c r="N328" s="372" t="s">
        <v>253</v>
      </c>
      <c r="O328" s="373" t="s">
        <v>1901</v>
      </c>
      <c r="P328" s="369" t="s">
        <v>1902</v>
      </c>
      <c r="Q328" s="369" t="s">
        <v>562</v>
      </c>
      <c r="R328" s="369" t="s">
        <v>563</v>
      </c>
      <c r="S328" s="371" t="s">
        <v>564</v>
      </c>
      <c r="T328" s="369" t="s">
        <v>565</v>
      </c>
      <c r="U328" s="25" t="s">
        <v>566</v>
      </c>
      <c r="V328" s="369" t="s">
        <v>282</v>
      </c>
      <c r="W328" s="370" t="s">
        <v>283</v>
      </c>
      <c r="X328" s="369" t="s">
        <v>284</v>
      </c>
      <c r="Y328" s="49" t="s">
        <v>285</v>
      </c>
      <c r="Z328" s="369" t="s">
        <v>286</v>
      </c>
      <c r="AA328" s="371" t="s">
        <v>286</v>
      </c>
      <c r="AB328" s="369" t="s">
        <v>287</v>
      </c>
      <c r="AC328" s="369" t="s">
        <v>288</v>
      </c>
      <c r="AD328" s="49" t="s">
        <v>289</v>
      </c>
      <c r="AE328" s="58" t="s">
        <v>290</v>
      </c>
      <c r="AF328" s="56" t="s">
        <v>291</v>
      </c>
      <c r="AG328" s="369" t="s">
        <v>292</v>
      </c>
      <c r="AH328" s="369" t="s">
        <v>293</v>
      </c>
      <c r="AI328" s="374" t="s">
        <v>215</v>
      </c>
      <c r="AJ328" s="369" t="s">
        <v>216</v>
      </c>
      <c r="AK328" s="375" t="s">
        <v>217</v>
      </c>
      <c r="AL328" s="376" t="s">
        <v>218</v>
      </c>
      <c r="AM328" s="377" t="s">
        <v>219</v>
      </c>
      <c r="AN328" s="378" t="s">
        <v>220</v>
      </c>
      <c r="AO328" s="379" t="s">
        <v>221</v>
      </c>
      <c r="AP328" s="51" t="s">
        <v>138</v>
      </c>
      <c r="AQ328" s="380" t="s">
        <v>139</v>
      </c>
      <c r="AR328" s="375" t="s">
        <v>140</v>
      </c>
      <c r="AS328" s="22" t="s">
        <v>141</v>
      </c>
      <c r="AT328" s="376" t="s">
        <v>142</v>
      </c>
      <c r="AU328" s="381" t="s">
        <v>143</v>
      </c>
      <c r="AV328" s="382" t="s">
        <v>144</v>
      </c>
      <c r="AW328" s="383" t="s">
        <v>145</v>
      </c>
      <c r="AX328" s="384" t="s">
        <v>146</v>
      </c>
      <c r="AY328" s="385" t="s">
        <v>147</v>
      </c>
      <c r="AZ328" s="382" t="s">
        <v>104</v>
      </c>
      <c r="BA328" s="41" t="s">
        <v>105</v>
      </c>
      <c r="BB328" s="591" t="str">
        <f t="shared" si="25"/>
        <v>TEMPLATE</v>
      </c>
      <c r="BC328" s="591" t="str">
        <f t="shared" si="26"/>
        <v>15. Special Zones &amp; Giga-AMAALA-AMAALA-FW</v>
      </c>
      <c r="BD328" s="591" t="str">
        <f t="shared" si="27"/>
        <v>AMAALA-AMAALA-FW</v>
      </c>
      <c r="BE328" s="591" t="str">
        <f t="shared" si="28"/>
        <v>NONE</v>
      </c>
      <c r="BF328" s="594">
        <f t="shared" si="29"/>
        <v>7</v>
      </c>
    </row>
    <row r="329" spans="1:58" ht="42" customHeight="1" x14ac:dyDescent="0.45">
      <c r="A329" s="42">
        <v>286</v>
      </c>
      <c r="B329" s="386" t="s">
        <v>2116</v>
      </c>
      <c r="C329" s="44" t="s">
        <v>2117</v>
      </c>
      <c r="D329" s="44" t="s">
        <v>2097</v>
      </c>
      <c r="E329" s="386" t="s">
        <v>557</v>
      </c>
      <c r="F329" s="45" t="s">
        <v>58</v>
      </c>
      <c r="G329" s="44" t="s">
        <v>59</v>
      </c>
      <c r="H329" s="44" t="s">
        <v>57</v>
      </c>
      <c r="I329" s="46" t="s">
        <v>61</v>
      </c>
      <c r="J329" s="46" t="s">
        <v>62</v>
      </c>
      <c r="K329" s="44" t="s">
        <v>558</v>
      </c>
      <c r="L329" s="66" t="s">
        <v>559</v>
      </c>
      <c r="M329" s="44" t="s">
        <v>2120</v>
      </c>
      <c r="N329" s="59" t="s">
        <v>275</v>
      </c>
      <c r="O329" s="48" t="s">
        <v>196</v>
      </c>
      <c r="P329" s="44" t="s">
        <v>561</v>
      </c>
      <c r="Q329" s="369" t="s">
        <v>562</v>
      </c>
      <c r="R329" s="369" t="s">
        <v>563</v>
      </c>
      <c r="S329" s="371" t="s">
        <v>564</v>
      </c>
      <c r="T329" s="369" t="s">
        <v>565</v>
      </c>
      <c r="U329" s="25" t="s">
        <v>566</v>
      </c>
      <c r="V329" s="369" t="s">
        <v>282</v>
      </c>
      <c r="W329" s="370" t="s">
        <v>283</v>
      </c>
      <c r="X329" s="369" t="s">
        <v>284</v>
      </c>
      <c r="Y329" s="49" t="s">
        <v>285</v>
      </c>
      <c r="Z329" s="369" t="s">
        <v>286</v>
      </c>
      <c r="AA329" s="371" t="s">
        <v>286</v>
      </c>
      <c r="AB329" s="369" t="s">
        <v>287</v>
      </c>
      <c r="AC329" s="369" t="s">
        <v>288</v>
      </c>
      <c r="AD329" s="49" t="s">
        <v>289</v>
      </c>
      <c r="AE329" s="58" t="s">
        <v>290</v>
      </c>
      <c r="AF329" s="56" t="s">
        <v>291</v>
      </c>
      <c r="AG329" s="369" t="s">
        <v>292</v>
      </c>
      <c r="AH329" s="369" t="s">
        <v>293</v>
      </c>
      <c r="AI329" s="374" t="s">
        <v>215</v>
      </c>
      <c r="AJ329" s="369" t="s">
        <v>216</v>
      </c>
      <c r="AK329" s="375" t="s">
        <v>217</v>
      </c>
      <c r="AL329" s="376" t="s">
        <v>218</v>
      </c>
      <c r="AM329" s="377" t="s">
        <v>219</v>
      </c>
      <c r="AN329" s="378" t="s">
        <v>220</v>
      </c>
      <c r="AO329" s="379" t="s">
        <v>221</v>
      </c>
      <c r="AP329" s="51" t="s">
        <v>138</v>
      </c>
      <c r="AQ329" s="380" t="s">
        <v>139</v>
      </c>
      <c r="AR329" s="375" t="s">
        <v>140</v>
      </c>
      <c r="AS329" s="22" t="s">
        <v>141</v>
      </c>
      <c r="AT329" s="376" t="s">
        <v>142</v>
      </c>
      <c r="AU329" s="381" t="s">
        <v>143</v>
      </c>
      <c r="AV329" s="382" t="s">
        <v>144</v>
      </c>
      <c r="AW329" s="383" t="s">
        <v>145</v>
      </c>
      <c r="AX329" s="384" t="s">
        <v>146</v>
      </c>
      <c r="AY329" s="385" t="s">
        <v>147</v>
      </c>
      <c r="AZ329" s="382" t="s">
        <v>567</v>
      </c>
      <c r="BA329" s="34" t="s">
        <v>320</v>
      </c>
      <c r="BB329" s="591" t="str">
        <f t="shared" si="25"/>
        <v>TEMPLATE</v>
      </c>
      <c r="BC329" s="591" t="str">
        <f t="shared" si="26"/>
        <v>15. Special Zones &amp; Giga-AMAALA-NCA-ECC-2:2024</v>
      </c>
      <c r="BD329" s="591" t="str">
        <f t="shared" si="27"/>
        <v>AMAALA-NCA-ECC-2-2024</v>
      </c>
      <c r="BE329" s="591" t="str">
        <f t="shared" si="28"/>
        <v>NCA-ECC-2-2024</v>
      </c>
      <c r="BF329" s="594">
        <f t="shared" si="29"/>
        <v>6</v>
      </c>
    </row>
    <row r="330" spans="1:58" x14ac:dyDescent="0.45">
      <c r="BB330" s="591" t="str">
        <f t="shared" si="25"/>
        <v/>
      </c>
      <c r="BC330" s="591" t="str">
        <f t="shared" si="26"/>
        <v/>
      </c>
      <c r="BD330" s="591" t="str">
        <f t="shared" si="27"/>
        <v/>
      </c>
      <c r="BE330" s="591" t="str">
        <f t="shared" si="28"/>
        <v/>
      </c>
      <c r="BF330" s="594" t="str">
        <f t="shared" si="29"/>
        <v/>
      </c>
    </row>
    <row r="331" spans="1:58" ht="19.5" customHeight="1" x14ac:dyDescent="0.45">
      <c r="A331" s="67"/>
      <c r="B331" s="68" t="s">
        <v>568</v>
      </c>
      <c r="C331" s="67"/>
      <c r="D331" s="67"/>
      <c r="E331" s="67"/>
      <c r="F331" s="67"/>
      <c r="G331" s="67"/>
      <c r="H331" s="67"/>
      <c r="I331" s="67"/>
      <c r="J331" s="67"/>
      <c r="K331" s="67"/>
      <c r="L331" s="67"/>
      <c r="M331" s="67"/>
      <c r="N331" s="67"/>
      <c r="O331" s="67"/>
      <c r="P331" s="67"/>
      <c r="BB331" s="591" t="str">
        <f t="shared" si="25"/>
        <v/>
      </c>
      <c r="BC331" s="591" t="str">
        <f t="shared" si="26"/>
        <v/>
      </c>
      <c r="BD331" s="591" t="str">
        <f t="shared" si="27"/>
        <v/>
      </c>
      <c r="BE331" s="591" t="str">
        <f t="shared" si="28"/>
        <v/>
      </c>
      <c r="BF331" s="594" t="str">
        <f t="shared" si="29"/>
        <v/>
      </c>
    </row>
    <row r="332" spans="1:58" ht="42" customHeight="1" x14ac:dyDescent="0.45">
      <c r="A332" s="84">
        <v>287</v>
      </c>
      <c r="B332" s="85" t="s">
        <v>2121</v>
      </c>
      <c r="C332" s="70" t="s">
        <v>2122</v>
      </c>
      <c r="D332" s="70" t="s">
        <v>571</v>
      </c>
      <c r="E332" s="85" t="s">
        <v>2123</v>
      </c>
      <c r="F332" s="72" t="s">
        <v>2124</v>
      </c>
      <c r="G332" s="70" t="s">
        <v>1898</v>
      </c>
      <c r="H332" s="70" t="s">
        <v>1746</v>
      </c>
      <c r="I332" s="71" t="s">
        <v>1686</v>
      </c>
      <c r="J332" s="71" t="s">
        <v>310</v>
      </c>
      <c r="K332" s="70" t="s">
        <v>63</v>
      </c>
      <c r="L332" s="22" t="s">
        <v>64</v>
      </c>
      <c r="M332" s="70" t="s">
        <v>1900</v>
      </c>
      <c r="N332" s="93" t="s">
        <v>253</v>
      </c>
      <c r="O332" s="87" t="s">
        <v>1901</v>
      </c>
      <c r="P332" s="70" t="s">
        <v>1902</v>
      </c>
      <c r="Q332" s="70" t="s">
        <v>562</v>
      </c>
      <c r="R332" s="70" t="s">
        <v>563</v>
      </c>
      <c r="S332" s="71" t="s">
        <v>564</v>
      </c>
      <c r="T332" s="70" t="s">
        <v>565</v>
      </c>
      <c r="U332" s="25" t="s">
        <v>566</v>
      </c>
      <c r="V332" s="70" t="s">
        <v>282</v>
      </c>
      <c r="W332" s="72" t="s">
        <v>283</v>
      </c>
      <c r="X332" s="70" t="s">
        <v>284</v>
      </c>
      <c r="Y332" s="49" t="s">
        <v>285</v>
      </c>
      <c r="Z332" s="70" t="s">
        <v>286</v>
      </c>
      <c r="AA332" s="71" t="s">
        <v>286</v>
      </c>
      <c r="AB332" s="70" t="s">
        <v>287</v>
      </c>
      <c r="AC332" s="70" t="s">
        <v>288</v>
      </c>
      <c r="AD332" s="49" t="s">
        <v>289</v>
      </c>
      <c r="AE332" s="58" t="s">
        <v>290</v>
      </c>
      <c r="AF332" s="56" t="s">
        <v>291</v>
      </c>
      <c r="AG332" s="70" t="s">
        <v>292</v>
      </c>
      <c r="AH332" s="70" t="s">
        <v>293</v>
      </c>
      <c r="AI332" s="73" t="s">
        <v>215</v>
      </c>
      <c r="AJ332" s="70" t="s">
        <v>216</v>
      </c>
      <c r="AK332" s="74" t="s">
        <v>217</v>
      </c>
      <c r="AL332" s="75" t="s">
        <v>218</v>
      </c>
      <c r="AM332" s="76" t="s">
        <v>219</v>
      </c>
      <c r="AN332" s="50" t="s">
        <v>220</v>
      </c>
      <c r="AO332" s="77" t="s">
        <v>221</v>
      </c>
      <c r="AP332" s="51" t="s">
        <v>138</v>
      </c>
      <c r="AQ332" s="78" t="s">
        <v>139</v>
      </c>
      <c r="AR332" s="74" t="s">
        <v>140</v>
      </c>
      <c r="AS332" s="22" t="s">
        <v>141</v>
      </c>
      <c r="AT332" s="75" t="s">
        <v>142</v>
      </c>
      <c r="AU332" s="79" t="s">
        <v>143</v>
      </c>
      <c r="AV332" s="80" t="s">
        <v>144</v>
      </c>
      <c r="AW332" s="81" t="s">
        <v>145</v>
      </c>
      <c r="AX332" s="82" t="s">
        <v>146</v>
      </c>
      <c r="AY332" s="83" t="s">
        <v>147</v>
      </c>
      <c r="AZ332" s="80" t="s">
        <v>104</v>
      </c>
      <c r="BA332" s="41" t="s">
        <v>105</v>
      </c>
      <c r="BB332" s="591" t="str">
        <f t="shared" si="25"/>
        <v>TEMPLATE</v>
      </c>
      <c r="BC332" s="591" t="str">
        <f t="shared" si="26"/>
        <v>2. Healthcare &amp; Life Sciences-NUPCO-NUPCO-FW</v>
      </c>
      <c r="BD332" s="591" t="str">
        <f t="shared" si="27"/>
        <v>NUPCO-NUPCO-FW</v>
      </c>
      <c r="BE332" s="591" t="str">
        <f t="shared" si="28"/>
        <v>NONE</v>
      </c>
      <c r="BF332" s="594">
        <f t="shared" si="29"/>
        <v>7</v>
      </c>
    </row>
    <row r="333" spans="1:58" ht="42" customHeight="1" x14ac:dyDescent="0.45">
      <c r="A333" s="42">
        <v>288</v>
      </c>
      <c r="B333" s="69" t="s">
        <v>2121</v>
      </c>
      <c r="C333" s="44" t="s">
        <v>2122</v>
      </c>
      <c r="D333" s="44" t="s">
        <v>571</v>
      </c>
      <c r="E333" s="69" t="s">
        <v>557</v>
      </c>
      <c r="F333" s="45" t="s">
        <v>58</v>
      </c>
      <c r="G333" s="44" t="s">
        <v>59</v>
      </c>
      <c r="H333" s="44" t="s">
        <v>57</v>
      </c>
      <c r="I333" s="46" t="s">
        <v>61</v>
      </c>
      <c r="J333" s="46" t="s">
        <v>62</v>
      </c>
      <c r="K333" s="44" t="s">
        <v>558</v>
      </c>
      <c r="L333" s="66" t="s">
        <v>559</v>
      </c>
      <c r="M333" s="44" t="s">
        <v>2125</v>
      </c>
      <c r="N333" s="59" t="s">
        <v>275</v>
      </c>
      <c r="O333" s="48" t="s">
        <v>196</v>
      </c>
      <c r="P333" s="44" t="s">
        <v>561</v>
      </c>
      <c r="Q333" s="70" t="s">
        <v>562</v>
      </c>
      <c r="R333" s="70" t="s">
        <v>563</v>
      </c>
      <c r="S333" s="71" t="s">
        <v>564</v>
      </c>
      <c r="T333" s="70" t="s">
        <v>565</v>
      </c>
      <c r="U333" s="25" t="s">
        <v>566</v>
      </c>
      <c r="V333" s="70" t="s">
        <v>282</v>
      </c>
      <c r="W333" s="72" t="s">
        <v>283</v>
      </c>
      <c r="X333" s="70" t="s">
        <v>284</v>
      </c>
      <c r="Y333" s="49" t="s">
        <v>285</v>
      </c>
      <c r="Z333" s="70" t="s">
        <v>286</v>
      </c>
      <c r="AA333" s="71" t="s">
        <v>286</v>
      </c>
      <c r="AB333" s="70" t="s">
        <v>287</v>
      </c>
      <c r="AC333" s="70" t="s">
        <v>288</v>
      </c>
      <c r="AD333" s="49" t="s">
        <v>289</v>
      </c>
      <c r="AE333" s="58" t="s">
        <v>290</v>
      </c>
      <c r="AF333" s="56" t="s">
        <v>291</v>
      </c>
      <c r="AG333" s="70" t="s">
        <v>292</v>
      </c>
      <c r="AH333" s="70" t="s">
        <v>293</v>
      </c>
      <c r="AI333" s="73" t="s">
        <v>215</v>
      </c>
      <c r="AJ333" s="70" t="s">
        <v>216</v>
      </c>
      <c r="AK333" s="74" t="s">
        <v>217</v>
      </c>
      <c r="AL333" s="75" t="s">
        <v>218</v>
      </c>
      <c r="AM333" s="76" t="s">
        <v>219</v>
      </c>
      <c r="AN333" s="50" t="s">
        <v>220</v>
      </c>
      <c r="AO333" s="77" t="s">
        <v>221</v>
      </c>
      <c r="AP333" s="51" t="s">
        <v>138</v>
      </c>
      <c r="AQ333" s="78" t="s">
        <v>139</v>
      </c>
      <c r="AR333" s="74" t="s">
        <v>140</v>
      </c>
      <c r="AS333" s="22" t="s">
        <v>141</v>
      </c>
      <c r="AT333" s="75" t="s">
        <v>142</v>
      </c>
      <c r="AU333" s="79" t="s">
        <v>143</v>
      </c>
      <c r="AV333" s="80" t="s">
        <v>144</v>
      </c>
      <c r="AW333" s="81" t="s">
        <v>145</v>
      </c>
      <c r="AX333" s="82" t="s">
        <v>146</v>
      </c>
      <c r="AY333" s="83" t="s">
        <v>147</v>
      </c>
      <c r="AZ333" s="80" t="s">
        <v>567</v>
      </c>
      <c r="BA333" s="34" t="s">
        <v>320</v>
      </c>
      <c r="BB333" s="591" t="str">
        <f t="shared" si="25"/>
        <v>TEMPLATE</v>
      </c>
      <c r="BC333" s="591" t="str">
        <f t="shared" si="26"/>
        <v>2. Healthcare &amp; Life Sciences-NUPCO-NCA-ECC-2:2024</v>
      </c>
      <c r="BD333" s="591" t="str">
        <f t="shared" si="27"/>
        <v>NUPCO-NCA-ECC-2-2024</v>
      </c>
      <c r="BE333" s="591" t="str">
        <f t="shared" si="28"/>
        <v>NCA-ECC-2-2024</v>
      </c>
      <c r="BF333" s="594">
        <f t="shared" si="29"/>
        <v>6</v>
      </c>
    </row>
    <row r="334" spans="1:58" ht="42" customHeight="1" x14ac:dyDescent="0.45">
      <c r="A334" s="84">
        <v>289</v>
      </c>
      <c r="B334" s="85" t="s">
        <v>2126</v>
      </c>
      <c r="C334" s="70" t="s">
        <v>2127</v>
      </c>
      <c r="D334" s="70" t="s">
        <v>571</v>
      </c>
      <c r="E334" s="85" t="s">
        <v>2128</v>
      </c>
      <c r="F334" s="72" t="s">
        <v>2129</v>
      </c>
      <c r="G334" s="70" t="s">
        <v>1898</v>
      </c>
      <c r="H334" s="70" t="s">
        <v>1746</v>
      </c>
      <c r="I334" s="71" t="s">
        <v>1630</v>
      </c>
      <c r="J334" s="71" t="s">
        <v>310</v>
      </c>
      <c r="K334" s="70" t="s">
        <v>63</v>
      </c>
      <c r="L334" s="22" t="s">
        <v>64</v>
      </c>
      <c r="M334" s="70" t="s">
        <v>1900</v>
      </c>
      <c r="N334" s="93" t="s">
        <v>253</v>
      </c>
      <c r="O334" s="87" t="s">
        <v>1901</v>
      </c>
      <c r="P334" s="70" t="s">
        <v>1902</v>
      </c>
      <c r="Q334" s="70" t="s">
        <v>562</v>
      </c>
      <c r="R334" s="70" t="s">
        <v>563</v>
      </c>
      <c r="S334" s="71" t="s">
        <v>564</v>
      </c>
      <c r="T334" s="70" t="s">
        <v>565</v>
      </c>
      <c r="U334" s="25" t="s">
        <v>566</v>
      </c>
      <c r="V334" s="70" t="s">
        <v>282</v>
      </c>
      <c r="W334" s="72" t="s">
        <v>283</v>
      </c>
      <c r="X334" s="70" t="s">
        <v>284</v>
      </c>
      <c r="Y334" s="49" t="s">
        <v>285</v>
      </c>
      <c r="Z334" s="70" t="s">
        <v>286</v>
      </c>
      <c r="AA334" s="71" t="s">
        <v>286</v>
      </c>
      <c r="AB334" s="70" t="s">
        <v>287</v>
      </c>
      <c r="AC334" s="70" t="s">
        <v>288</v>
      </c>
      <c r="AD334" s="49" t="s">
        <v>289</v>
      </c>
      <c r="AE334" s="58" t="s">
        <v>290</v>
      </c>
      <c r="AF334" s="56" t="s">
        <v>291</v>
      </c>
      <c r="AG334" s="70" t="s">
        <v>292</v>
      </c>
      <c r="AH334" s="70" t="s">
        <v>293</v>
      </c>
      <c r="AI334" s="73" t="s">
        <v>215</v>
      </c>
      <c r="AJ334" s="70" t="s">
        <v>216</v>
      </c>
      <c r="AK334" s="74" t="s">
        <v>217</v>
      </c>
      <c r="AL334" s="75" t="s">
        <v>218</v>
      </c>
      <c r="AM334" s="76" t="s">
        <v>219</v>
      </c>
      <c r="AN334" s="50" t="s">
        <v>220</v>
      </c>
      <c r="AO334" s="77" t="s">
        <v>221</v>
      </c>
      <c r="AP334" s="51" t="s">
        <v>138</v>
      </c>
      <c r="AQ334" s="78" t="s">
        <v>139</v>
      </c>
      <c r="AR334" s="74" t="s">
        <v>140</v>
      </c>
      <c r="AS334" s="22" t="s">
        <v>141</v>
      </c>
      <c r="AT334" s="75" t="s">
        <v>142</v>
      </c>
      <c r="AU334" s="79" t="s">
        <v>143</v>
      </c>
      <c r="AV334" s="80" t="s">
        <v>144</v>
      </c>
      <c r="AW334" s="81" t="s">
        <v>145</v>
      </c>
      <c r="AX334" s="82" t="s">
        <v>146</v>
      </c>
      <c r="AY334" s="83" t="s">
        <v>147</v>
      </c>
      <c r="AZ334" s="80" t="s">
        <v>104</v>
      </c>
      <c r="BA334" s="41" t="s">
        <v>105</v>
      </c>
      <c r="BB334" s="591" t="str">
        <f t="shared" si="25"/>
        <v>TEMPLATE</v>
      </c>
      <c r="BC334" s="591" t="str">
        <f t="shared" si="26"/>
        <v>2. Healthcare &amp; Life Sciences-KAIMRC-KAIMRC-FW</v>
      </c>
      <c r="BD334" s="591" t="str">
        <f t="shared" si="27"/>
        <v>KAIMRC-KAIMRC-FW</v>
      </c>
      <c r="BE334" s="591" t="str">
        <f t="shared" si="28"/>
        <v>NONE</v>
      </c>
      <c r="BF334" s="594">
        <f t="shared" si="29"/>
        <v>7</v>
      </c>
    </row>
    <row r="335" spans="1:58" ht="42" customHeight="1" x14ac:dyDescent="0.45">
      <c r="A335" s="42">
        <v>290</v>
      </c>
      <c r="B335" s="69" t="s">
        <v>2126</v>
      </c>
      <c r="C335" s="44" t="s">
        <v>2127</v>
      </c>
      <c r="D335" s="44" t="s">
        <v>571</v>
      </c>
      <c r="E335" s="69" t="s">
        <v>557</v>
      </c>
      <c r="F335" s="45" t="s">
        <v>58</v>
      </c>
      <c r="G335" s="44" t="s">
        <v>59</v>
      </c>
      <c r="H335" s="44" t="s">
        <v>57</v>
      </c>
      <c r="I335" s="46" t="s">
        <v>61</v>
      </c>
      <c r="J335" s="46" t="s">
        <v>62</v>
      </c>
      <c r="K335" s="44" t="s">
        <v>558</v>
      </c>
      <c r="L335" s="66" t="s">
        <v>559</v>
      </c>
      <c r="M335" s="44" t="s">
        <v>2130</v>
      </c>
      <c r="N335" s="59" t="s">
        <v>275</v>
      </c>
      <c r="O335" s="48" t="s">
        <v>196</v>
      </c>
      <c r="P335" s="44" t="s">
        <v>561</v>
      </c>
      <c r="Q335" s="70" t="s">
        <v>562</v>
      </c>
      <c r="R335" s="70" t="s">
        <v>563</v>
      </c>
      <c r="S335" s="71" t="s">
        <v>564</v>
      </c>
      <c r="T335" s="70" t="s">
        <v>565</v>
      </c>
      <c r="U335" s="25" t="s">
        <v>566</v>
      </c>
      <c r="V335" s="70" t="s">
        <v>282</v>
      </c>
      <c r="W335" s="72" t="s">
        <v>283</v>
      </c>
      <c r="X335" s="70" t="s">
        <v>284</v>
      </c>
      <c r="Y335" s="49" t="s">
        <v>285</v>
      </c>
      <c r="Z335" s="70" t="s">
        <v>286</v>
      </c>
      <c r="AA335" s="71" t="s">
        <v>286</v>
      </c>
      <c r="AB335" s="70" t="s">
        <v>287</v>
      </c>
      <c r="AC335" s="70" t="s">
        <v>288</v>
      </c>
      <c r="AD335" s="49" t="s">
        <v>289</v>
      </c>
      <c r="AE335" s="58" t="s">
        <v>290</v>
      </c>
      <c r="AF335" s="56" t="s">
        <v>291</v>
      </c>
      <c r="AG335" s="70" t="s">
        <v>292</v>
      </c>
      <c r="AH335" s="70" t="s">
        <v>293</v>
      </c>
      <c r="AI335" s="73" t="s">
        <v>215</v>
      </c>
      <c r="AJ335" s="70" t="s">
        <v>216</v>
      </c>
      <c r="AK335" s="74" t="s">
        <v>217</v>
      </c>
      <c r="AL335" s="75" t="s">
        <v>218</v>
      </c>
      <c r="AM335" s="76" t="s">
        <v>219</v>
      </c>
      <c r="AN335" s="50" t="s">
        <v>220</v>
      </c>
      <c r="AO335" s="77" t="s">
        <v>221</v>
      </c>
      <c r="AP335" s="51" t="s">
        <v>138</v>
      </c>
      <c r="AQ335" s="78" t="s">
        <v>139</v>
      </c>
      <c r="AR335" s="74" t="s">
        <v>140</v>
      </c>
      <c r="AS335" s="22" t="s">
        <v>141</v>
      </c>
      <c r="AT335" s="75" t="s">
        <v>142</v>
      </c>
      <c r="AU335" s="79" t="s">
        <v>143</v>
      </c>
      <c r="AV335" s="80" t="s">
        <v>144</v>
      </c>
      <c r="AW335" s="81" t="s">
        <v>145</v>
      </c>
      <c r="AX335" s="82" t="s">
        <v>146</v>
      </c>
      <c r="AY335" s="83" t="s">
        <v>147</v>
      </c>
      <c r="AZ335" s="80" t="s">
        <v>567</v>
      </c>
      <c r="BA335" s="34" t="s">
        <v>320</v>
      </c>
      <c r="BB335" s="591" t="str">
        <f t="shared" si="25"/>
        <v>TEMPLATE</v>
      </c>
      <c r="BC335" s="591" t="str">
        <f t="shared" si="26"/>
        <v>2. Healthcare &amp; Life Sciences-KAIMRC-NCA-ECC-2:2024</v>
      </c>
      <c r="BD335" s="591" t="str">
        <f t="shared" si="27"/>
        <v>KAIMRC-NCA-ECC-2-2024</v>
      </c>
      <c r="BE335" s="591" t="str">
        <f t="shared" si="28"/>
        <v>NCA-ECC-2-2024</v>
      </c>
      <c r="BF335" s="594">
        <f t="shared" si="29"/>
        <v>6</v>
      </c>
    </row>
    <row r="336" spans="1:58" ht="42" customHeight="1" x14ac:dyDescent="0.45">
      <c r="A336" s="84">
        <v>291</v>
      </c>
      <c r="B336" s="85" t="s">
        <v>2131</v>
      </c>
      <c r="C336" s="70" t="s">
        <v>2132</v>
      </c>
      <c r="D336" s="70" t="s">
        <v>571</v>
      </c>
      <c r="E336" s="85" t="s">
        <v>2133</v>
      </c>
      <c r="F336" s="72" t="s">
        <v>2134</v>
      </c>
      <c r="G336" s="70" t="s">
        <v>1898</v>
      </c>
      <c r="H336" s="70" t="s">
        <v>1746</v>
      </c>
      <c r="I336" s="71" t="s">
        <v>1780</v>
      </c>
      <c r="J336" s="71" t="s">
        <v>310</v>
      </c>
      <c r="K336" s="70" t="s">
        <v>63</v>
      </c>
      <c r="L336" s="22" t="s">
        <v>64</v>
      </c>
      <c r="M336" s="70" t="s">
        <v>1900</v>
      </c>
      <c r="N336" s="93" t="s">
        <v>253</v>
      </c>
      <c r="O336" s="87" t="s">
        <v>1901</v>
      </c>
      <c r="P336" s="70" t="s">
        <v>1902</v>
      </c>
      <c r="Q336" s="70" t="s">
        <v>562</v>
      </c>
      <c r="R336" s="70" t="s">
        <v>563</v>
      </c>
      <c r="S336" s="71" t="s">
        <v>564</v>
      </c>
      <c r="T336" s="70" t="s">
        <v>565</v>
      </c>
      <c r="U336" s="25" t="s">
        <v>566</v>
      </c>
      <c r="V336" s="70" t="s">
        <v>282</v>
      </c>
      <c r="W336" s="72" t="s">
        <v>283</v>
      </c>
      <c r="X336" s="70" t="s">
        <v>284</v>
      </c>
      <c r="Y336" s="49" t="s">
        <v>285</v>
      </c>
      <c r="Z336" s="70" t="s">
        <v>286</v>
      </c>
      <c r="AA336" s="71" t="s">
        <v>286</v>
      </c>
      <c r="AB336" s="70" t="s">
        <v>287</v>
      </c>
      <c r="AC336" s="70" t="s">
        <v>288</v>
      </c>
      <c r="AD336" s="49" t="s">
        <v>289</v>
      </c>
      <c r="AE336" s="58" t="s">
        <v>290</v>
      </c>
      <c r="AF336" s="56" t="s">
        <v>291</v>
      </c>
      <c r="AG336" s="70" t="s">
        <v>292</v>
      </c>
      <c r="AH336" s="70" t="s">
        <v>293</v>
      </c>
      <c r="AI336" s="73" t="s">
        <v>215</v>
      </c>
      <c r="AJ336" s="70" t="s">
        <v>216</v>
      </c>
      <c r="AK336" s="74" t="s">
        <v>217</v>
      </c>
      <c r="AL336" s="75" t="s">
        <v>218</v>
      </c>
      <c r="AM336" s="76" t="s">
        <v>219</v>
      </c>
      <c r="AN336" s="50" t="s">
        <v>220</v>
      </c>
      <c r="AO336" s="77" t="s">
        <v>221</v>
      </c>
      <c r="AP336" s="51" t="s">
        <v>138</v>
      </c>
      <c r="AQ336" s="78" t="s">
        <v>139</v>
      </c>
      <c r="AR336" s="74" t="s">
        <v>140</v>
      </c>
      <c r="AS336" s="22" t="s">
        <v>141</v>
      </c>
      <c r="AT336" s="75" t="s">
        <v>142</v>
      </c>
      <c r="AU336" s="79" t="s">
        <v>143</v>
      </c>
      <c r="AV336" s="80" t="s">
        <v>144</v>
      </c>
      <c r="AW336" s="81" t="s">
        <v>145</v>
      </c>
      <c r="AX336" s="82" t="s">
        <v>146</v>
      </c>
      <c r="AY336" s="83" t="s">
        <v>147</v>
      </c>
      <c r="AZ336" s="80" t="s">
        <v>104</v>
      </c>
      <c r="BA336" s="41" t="s">
        <v>105</v>
      </c>
      <c r="BB336" s="591" t="str">
        <f t="shared" si="25"/>
        <v>TEMPLATE</v>
      </c>
      <c r="BC336" s="591" t="str">
        <f t="shared" si="26"/>
        <v>2. Healthcare &amp; Life Sciences-NGHA-NGHA-FW</v>
      </c>
      <c r="BD336" s="591" t="str">
        <f t="shared" si="27"/>
        <v>NGHA-NGHA-FW</v>
      </c>
      <c r="BE336" s="591" t="str">
        <f t="shared" si="28"/>
        <v>NONE</v>
      </c>
      <c r="BF336" s="594">
        <f t="shared" si="29"/>
        <v>7</v>
      </c>
    </row>
    <row r="337" spans="1:58" ht="42" customHeight="1" x14ac:dyDescent="0.45">
      <c r="A337" s="42">
        <v>292</v>
      </c>
      <c r="B337" s="69" t="s">
        <v>2131</v>
      </c>
      <c r="C337" s="44" t="s">
        <v>2132</v>
      </c>
      <c r="D337" s="44" t="s">
        <v>571</v>
      </c>
      <c r="E337" s="69" t="s">
        <v>557</v>
      </c>
      <c r="F337" s="45" t="s">
        <v>58</v>
      </c>
      <c r="G337" s="44" t="s">
        <v>59</v>
      </c>
      <c r="H337" s="44" t="s">
        <v>57</v>
      </c>
      <c r="I337" s="46" t="s">
        <v>61</v>
      </c>
      <c r="J337" s="46" t="s">
        <v>62</v>
      </c>
      <c r="K337" s="44" t="s">
        <v>558</v>
      </c>
      <c r="L337" s="66" t="s">
        <v>559</v>
      </c>
      <c r="M337" s="44" t="s">
        <v>2135</v>
      </c>
      <c r="N337" s="59" t="s">
        <v>275</v>
      </c>
      <c r="O337" s="48" t="s">
        <v>196</v>
      </c>
      <c r="P337" s="44" t="s">
        <v>561</v>
      </c>
      <c r="Q337" s="70" t="s">
        <v>562</v>
      </c>
      <c r="R337" s="70" t="s">
        <v>563</v>
      </c>
      <c r="S337" s="71" t="s">
        <v>564</v>
      </c>
      <c r="T337" s="70" t="s">
        <v>565</v>
      </c>
      <c r="U337" s="25" t="s">
        <v>566</v>
      </c>
      <c r="V337" s="70" t="s">
        <v>282</v>
      </c>
      <c r="W337" s="72" t="s">
        <v>283</v>
      </c>
      <c r="X337" s="70" t="s">
        <v>284</v>
      </c>
      <c r="Y337" s="49" t="s">
        <v>285</v>
      </c>
      <c r="Z337" s="70" t="s">
        <v>286</v>
      </c>
      <c r="AA337" s="71" t="s">
        <v>286</v>
      </c>
      <c r="AB337" s="70" t="s">
        <v>287</v>
      </c>
      <c r="AC337" s="70" t="s">
        <v>288</v>
      </c>
      <c r="AD337" s="49" t="s">
        <v>289</v>
      </c>
      <c r="AE337" s="58" t="s">
        <v>290</v>
      </c>
      <c r="AF337" s="56" t="s">
        <v>291</v>
      </c>
      <c r="AG337" s="70" t="s">
        <v>292</v>
      </c>
      <c r="AH337" s="70" t="s">
        <v>293</v>
      </c>
      <c r="AI337" s="73" t="s">
        <v>215</v>
      </c>
      <c r="AJ337" s="70" t="s">
        <v>216</v>
      </c>
      <c r="AK337" s="74" t="s">
        <v>217</v>
      </c>
      <c r="AL337" s="75" t="s">
        <v>218</v>
      </c>
      <c r="AM337" s="76" t="s">
        <v>219</v>
      </c>
      <c r="AN337" s="50" t="s">
        <v>220</v>
      </c>
      <c r="AO337" s="77" t="s">
        <v>221</v>
      </c>
      <c r="AP337" s="51" t="s">
        <v>138</v>
      </c>
      <c r="AQ337" s="78" t="s">
        <v>139</v>
      </c>
      <c r="AR337" s="74" t="s">
        <v>140</v>
      </c>
      <c r="AS337" s="22" t="s">
        <v>141</v>
      </c>
      <c r="AT337" s="75" t="s">
        <v>142</v>
      </c>
      <c r="AU337" s="79" t="s">
        <v>143</v>
      </c>
      <c r="AV337" s="80" t="s">
        <v>144</v>
      </c>
      <c r="AW337" s="81" t="s">
        <v>145</v>
      </c>
      <c r="AX337" s="82" t="s">
        <v>146</v>
      </c>
      <c r="AY337" s="83" t="s">
        <v>147</v>
      </c>
      <c r="AZ337" s="80" t="s">
        <v>567</v>
      </c>
      <c r="BA337" s="34" t="s">
        <v>320</v>
      </c>
      <c r="BB337" s="591" t="str">
        <f t="shared" si="25"/>
        <v>TEMPLATE</v>
      </c>
      <c r="BC337" s="591" t="str">
        <f t="shared" si="26"/>
        <v>2. Healthcare &amp; Life Sciences-NGHA-NCA-ECC-2:2024</v>
      </c>
      <c r="BD337" s="591" t="str">
        <f t="shared" si="27"/>
        <v>NGHA-NCA-ECC-2-2024</v>
      </c>
      <c r="BE337" s="591" t="str">
        <f t="shared" si="28"/>
        <v>NCA-ECC-2-2024</v>
      </c>
      <c r="BF337" s="594">
        <f t="shared" si="29"/>
        <v>6</v>
      </c>
    </row>
    <row r="338" spans="1:58" ht="42" customHeight="1" x14ac:dyDescent="0.45">
      <c r="A338" s="84">
        <v>293</v>
      </c>
      <c r="B338" s="85" t="s">
        <v>2136</v>
      </c>
      <c r="C338" s="70" t="s">
        <v>2137</v>
      </c>
      <c r="D338" s="70" t="s">
        <v>571</v>
      </c>
      <c r="E338" s="85" t="s">
        <v>2138</v>
      </c>
      <c r="F338" s="72" t="s">
        <v>2139</v>
      </c>
      <c r="G338" s="70" t="s">
        <v>1898</v>
      </c>
      <c r="H338" s="70" t="s">
        <v>1746</v>
      </c>
      <c r="I338" s="71" t="s">
        <v>2066</v>
      </c>
      <c r="J338" s="71" t="s">
        <v>310</v>
      </c>
      <c r="K338" s="70" t="s">
        <v>63</v>
      </c>
      <c r="L338" s="22" t="s">
        <v>64</v>
      </c>
      <c r="M338" s="70" t="s">
        <v>1900</v>
      </c>
      <c r="N338" s="93" t="s">
        <v>253</v>
      </c>
      <c r="O338" s="87" t="s">
        <v>1901</v>
      </c>
      <c r="P338" s="70" t="s">
        <v>1902</v>
      </c>
      <c r="Q338" s="70" t="s">
        <v>562</v>
      </c>
      <c r="R338" s="70" t="s">
        <v>563</v>
      </c>
      <c r="S338" s="71" t="s">
        <v>564</v>
      </c>
      <c r="T338" s="70" t="s">
        <v>565</v>
      </c>
      <c r="U338" s="25" t="s">
        <v>566</v>
      </c>
      <c r="V338" s="70" t="s">
        <v>282</v>
      </c>
      <c r="W338" s="72" t="s">
        <v>283</v>
      </c>
      <c r="X338" s="70" t="s">
        <v>284</v>
      </c>
      <c r="Y338" s="49" t="s">
        <v>285</v>
      </c>
      <c r="Z338" s="70" t="s">
        <v>286</v>
      </c>
      <c r="AA338" s="71" t="s">
        <v>286</v>
      </c>
      <c r="AB338" s="70" t="s">
        <v>287</v>
      </c>
      <c r="AC338" s="70" t="s">
        <v>288</v>
      </c>
      <c r="AD338" s="49" t="s">
        <v>289</v>
      </c>
      <c r="AE338" s="58" t="s">
        <v>290</v>
      </c>
      <c r="AF338" s="56" t="s">
        <v>291</v>
      </c>
      <c r="AG338" s="70" t="s">
        <v>292</v>
      </c>
      <c r="AH338" s="70" t="s">
        <v>293</v>
      </c>
      <c r="AI338" s="73" t="s">
        <v>215</v>
      </c>
      <c r="AJ338" s="70" t="s">
        <v>216</v>
      </c>
      <c r="AK338" s="74" t="s">
        <v>217</v>
      </c>
      <c r="AL338" s="75" t="s">
        <v>218</v>
      </c>
      <c r="AM338" s="76" t="s">
        <v>219</v>
      </c>
      <c r="AN338" s="50" t="s">
        <v>220</v>
      </c>
      <c r="AO338" s="77" t="s">
        <v>221</v>
      </c>
      <c r="AP338" s="51" t="s">
        <v>138</v>
      </c>
      <c r="AQ338" s="78" t="s">
        <v>139</v>
      </c>
      <c r="AR338" s="74" t="s">
        <v>140</v>
      </c>
      <c r="AS338" s="22" t="s">
        <v>141</v>
      </c>
      <c r="AT338" s="75" t="s">
        <v>142</v>
      </c>
      <c r="AU338" s="79" t="s">
        <v>143</v>
      </c>
      <c r="AV338" s="80" t="s">
        <v>144</v>
      </c>
      <c r="AW338" s="81" t="s">
        <v>145</v>
      </c>
      <c r="AX338" s="82" t="s">
        <v>146</v>
      </c>
      <c r="AY338" s="83" t="s">
        <v>147</v>
      </c>
      <c r="AZ338" s="80" t="s">
        <v>104</v>
      </c>
      <c r="BA338" s="41" t="s">
        <v>105</v>
      </c>
      <c r="BB338" s="591" t="str">
        <f t="shared" si="25"/>
        <v>TEMPLATE</v>
      </c>
      <c r="BC338" s="591" t="str">
        <f t="shared" si="26"/>
        <v>2. Healthcare &amp; Life Sciences-KACST-H-KACST-H-FW</v>
      </c>
      <c r="BD338" s="591" t="str">
        <f t="shared" si="27"/>
        <v>KACST-H-KACST-H-FW</v>
      </c>
      <c r="BE338" s="591" t="str">
        <f t="shared" si="28"/>
        <v>NONE</v>
      </c>
      <c r="BF338" s="594">
        <f t="shared" si="29"/>
        <v>7</v>
      </c>
    </row>
    <row r="339" spans="1:58" ht="42" customHeight="1" x14ac:dyDescent="0.45">
      <c r="A339" s="42">
        <v>294</v>
      </c>
      <c r="B339" s="69" t="s">
        <v>2136</v>
      </c>
      <c r="C339" s="44" t="s">
        <v>2137</v>
      </c>
      <c r="D339" s="44" t="s">
        <v>571</v>
      </c>
      <c r="E339" s="69" t="s">
        <v>557</v>
      </c>
      <c r="F339" s="45" t="s">
        <v>58</v>
      </c>
      <c r="G339" s="44" t="s">
        <v>59</v>
      </c>
      <c r="H339" s="44" t="s">
        <v>57</v>
      </c>
      <c r="I339" s="46" t="s">
        <v>61</v>
      </c>
      <c r="J339" s="46" t="s">
        <v>62</v>
      </c>
      <c r="K339" s="44" t="s">
        <v>558</v>
      </c>
      <c r="L339" s="66" t="s">
        <v>559</v>
      </c>
      <c r="M339" s="44" t="s">
        <v>2140</v>
      </c>
      <c r="N339" s="59" t="s">
        <v>275</v>
      </c>
      <c r="O339" s="48" t="s">
        <v>196</v>
      </c>
      <c r="P339" s="44" t="s">
        <v>561</v>
      </c>
      <c r="Q339" s="70" t="s">
        <v>562</v>
      </c>
      <c r="R339" s="70" t="s">
        <v>563</v>
      </c>
      <c r="S339" s="71" t="s">
        <v>564</v>
      </c>
      <c r="T339" s="70" t="s">
        <v>565</v>
      </c>
      <c r="U339" s="25" t="s">
        <v>566</v>
      </c>
      <c r="V339" s="70" t="s">
        <v>282</v>
      </c>
      <c r="W339" s="72" t="s">
        <v>283</v>
      </c>
      <c r="X339" s="70" t="s">
        <v>284</v>
      </c>
      <c r="Y339" s="49" t="s">
        <v>285</v>
      </c>
      <c r="Z339" s="70" t="s">
        <v>286</v>
      </c>
      <c r="AA339" s="71" t="s">
        <v>286</v>
      </c>
      <c r="AB339" s="70" t="s">
        <v>287</v>
      </c>
      <c r="AC339" s="70" t="s">
        <v>288</v>
      </c>
      <c r="AD339" s="49" t="s">
        <v>289</v>
      </c>
      <c r="AE339" s="58" t="s">
        <v>290</v>
      </c>
      <c r="AF339" s="56" t="s">
        <v>291</v>
      </c>
      <c r="AG339" s="70" t="s">
        <v>292</v>
      </c>
      <c r="AH339" s="70" t="s">
        <v>293</v>
      </c>
      <c r="AI339" s="73" t="s">
        <v>215</v>
      </c>
      <c r="AJ339" s="70" t="s">
        <v>216</v>
      </c>
      <c r="AK339" s="74" t="s">
        <v>217</v>
      </c>
      <c r="AL339" s="75" t="s">
        <v>218</v>
      </c>
      <c r="AM339" s="76" t="s">
        <v>219</v>
      </c>
      <c r="AN339" s="50" t="s">
        <v>220</v>
      </c>
      <c r="AO339" s="77" t="s">
        <v>221</v>
      </c>
      <c r="AP339" s="51" t="s">
        <v>138</v>
      </c>
      <c r="AQ339" s="78" t="s">
        <v>139</v>
      </c>
      <c r="AR339" s="74" t="s">
        <v>140</v>
      </c>
      <c r="AS339" s="22" t="s">
        <v>141</v>
      </c>
      <c r="AT339" s="75" t="s">
        <v>142</v>
      </c>
      <c r="AU339" s="79" t="s">
        <v>143</v>
      </c>
      <c r="AV339" s="80" t="s">
        <v>144</v>
      </c>
      <c r="AW339" s="81" t="s">
        <v>145</v>
      </c>
      <c r="AX339" s="82" t="s">
        <v>146</v>
      </c>
      <c r="AY339" s="83" t="s">
        <v>147</v>
      </c>
      <c r="AZ339" s="80" t="s">
        <v>567</v>
      </c>
      <c r="BA339" s="34" t="s">
        <v>320</v>
      </c>
      <c r="BB339" s="591" t="str">
        <f t="shared" si="25"/>
        <v>TEMPLATE</v>
      </c>
      <c r="BC339" s="591" t="str">
        <f t="shared" si="26"/>
        <v>2. Healthcare &amp; Life Sciences-KACST-H-NCA-ECC-2:2024</v>
      </c>
      <c r="BD339" s="591" t="str">
        <f t="shared" si="27"/>
        <v>KACST-H-NCA-ECC-2-2024</v>
      </c>
      <c r="BE339" s="591" t="str">
        <f t="shared" si="28"/>
        <v>NCA-ECC-2-2024</v>
      </c>
      <c r="BF339" s="594">
        <f t="shared" si="29"/>
        <v>6</v>
      </c>
    </row>
    <row r="340" spans="1:58" ht="42" customHeight="1" x14ac:dyDescent="0.45">
      <c r="A340" s="84">
        <v>295</v>
      </c>
      <c r="B340" s="85" t="s">
        <v>2141</v>
      </c>
      <c r="C340" s="70" t="s">
        <v>2142</v>
      </c>
      <c r="D340" s="70" t="s">
        <v>571</v>
      </c>
      <c r="E340" s="85" t="s">
        <v>2143</v>
      </c>
      <c r="F340" s="72" t="s">
        <v>2144</v>
      </c>
      <c r="G340" s="70" t="s">
        <v>1898</v>
      </c>
      <c r="H340" s="70" t="s">
        <v>1746</v>
      </c>
      <c r="I340" s="71" t="s">
        <v>1833</v>
      </c>
      <c r="J340" s="71" t="s">
        <v>310</v>
      </c>
      <c r="K340" s="70" t="s">
        <v>63</v>
      </c>
      <c r="L340" s="22" t="s">
        <v>64</v>
      </c>
      <c r="M340" s="70" t="s">
        <v>1900</v>
      </c>
      <c r="N340" s="93" t="s">
        <v>253</v>
      </c>
      <c r="O340" s="87" t="s">
        <v>1901</v>
      </c>
      <c r="P340" s="70" t="s">
        <v>1902</v>
      </c>
      <c r="Q340" s="70" t="s">
        <v>562</v>
      </c>
      <c r="R340" s="70" t="s">
        <v>563</v>
      </c>
      <c r="S340" s="71" t="s">
        <v>564</v>
      </c>
      <c r="T340" s="70" t="s">
        <v>565</v>
      </c>
      <c r="U340" s="25" t="s">
        <v>566</v>
      </c>
      <c r="V340" s="70" t="s">
        <v>282</v>
      </c>
      <c r="W340" s="72" t="s">
        <v>283</v>
      </c>
      <c r="X340" s="70" t="s">
        <v>284</v>
      </c>
      <c r="Y340" s="49" t="s">
        <v>285</v>
      </c>
      <c r="Z340" s="70" t="s">
        <v>286</v>
      </c>
      <c r="AA340" s="71" t="s">
        <v>286</v>
      </c>
      <c r="AB340" s="70" t="s">
        <v>287</v>
      </c>
      <c r="AC340" s="70" t="s">
        <v>288</v>
      </c>
      <c r="AD340" s="49" t="s">
        <v>289</v>
      </c>
      <c r="AE340" s="58" t="s">
        <v>290</v>
      </c>
      <c r="AF340" s="56" t="s">
        <v>291</v>
      </c>
      <c r="AG340" s="70" t="s">
        <v>292</v>
      </c>
      <c r="AH340" s="70" t="s">
        <v>293</v>
      </c>
      <c r="AI340" s="73" t="s">
        <v>215</v>
      </c>
      <c r="AJ340" s="70" t="s">
        <v>216</v>
      </c>
      <c r="AK340" s="74" t="s">
        <v>217</v>
      </c>
      <c r="AL340" s="75" t="s">
        <v>218</v>
      </c>
      <c r="AM340" s="76" t="s">
        <v>219</v>
      </c>
      <c r="AN340" s="50" t="s">
        <v>220</v>
      </c>
      <c r="AO340" s="77" t="s">
        <v>221</v>
      </c>
      <c r="AP340" s="51" t="s">
        <v>138</v>
      </c>
      <c r="AQ340" s="78" t="s">
        <v>139</v>
      </c>
      <c r="AR340" s="74" t="s">
        <v>140</v>
      </c>
      <c r="AS340" s="22" t="s">
        <v>141</v>
      </c>
      <c r="AT340" s="75" t="s">
        <v>142</v>
      </c>
      <c r="AU340" s="79" t="s">
        <v>143</v>
      </c>
      <c r="AV340" s="80" t="s">
        <v>144</v>
      </c>
      <c r="AW340" s="81" t="s">
        <v>145</v>
      </c>
      <c r="AX340" s="82" t="s">
        <v>146</v>
      </c>
      <c r="AY340" s="83" t="s">
        <v>147</v>
      </c>
      <c r="AZ340" s="80" t="s">
        <v>104</v>
      </c>
      <c r="BA340" s="41" t="s">
        <v>105</v>
      </c>
      <c r="BB340" s="591" t="str">
        <f t="shared" si="25"/>
        <v>TEMPLATE</v>
      </c>
      <c r="BC340" s="591" t="str">
        <f t="shared" si="26"/>
        <v>2. Healthcare &amp; Life Sciences-KFSHRC-KFSHRC-FW</v>
      </c>
      <c r="BD340" s="591" t="str">
        <f t="shared" si="27"/>
        <v>KFSHRC-KFSHRC-FW</v>
      </c>
      <c r="BE340" s="591" t="str">
        <f t="shared" si="28"/>
        <v>NONE</v>
      </c>
      <c r="BF340" s="594">
        <f t="shared" si="29"/>
        <v>7</v>
      </c>
    </row>
    <row r="341" spans="1:58" ht="42" customHeight="1" x14ac:dyDescent="0.45">
      <c r="A341" s="42">
        <v>296</v>
      </c>
      <c r="B341" s="69" t="s">
        <v>2141</v>
      </c>
      <c r="C341" s="44" t="s">
        <v>2142</v>
      </c>
      <c r="D341" s="44" t="s">
        <v>571</v>
      </c>
      <c r="E341" s="69" t="s">
        <v>557</v>
      </c>
      <c r="F341" s="45" t="s">
        <v>58</v>
      </c>
      <c r="G341" s="44" t="s">
        <v>59</v>
      </c>
      <c r="H341" s="44" t="s">
        <v>57</v>
      </c>
      <c r="I341" s="46" t="s">
        <v>61</v>
      </c>
      <c r="J341" s="46" t="s">
        <v>62</v>
      </c>
      <c r="K341" s="44" t="s">
        <v>558</v>
      </c>
      <c r="L341" s="66" t="s">
        <v>559</v>
      </c>
      <c r="M341" s="44" t="s">
        <v>2145</v>
      </c>
      <c r="N341" s="59" t="s">
        <v>275</v>
      </c>
      <c r="O341" s="48" t="s">
        <v>196</v>
      </c>
      <c r="P341" s="44" t="s">
        <v>561</v>
      </c>
      <c r="Q341" s="70" t="s">
        <v>562</v>
      </c>
      <c r="R341" s="70" t="s">
        <v>563</v>
      </c>
      <c r="S341" s="71" t="s">
        <v>564</v>
      </c>
      <c r="T341" s="70" t="s">
        <v>565</v>
      </c>
      <c r="U341" s="25" t="s">
        <v>566</v>
      </c>
      <c r="V341" s="70" t="s">
        <v>282</v>
      </c>
      <c r="W341" s="72" t="s">
        <v>283</v>
      </c>
      <c r="X341" s="70" t="s">
        <v>284</v>
      </c>
      <c r="Y341" s="49" t="s">
        <v>285</v>
      </c>
      <c r="Z341" s="70" t="s">
        <v>286</v>
      </c>
      <c r="AA341" s="71" t="s">
        <v>286</v>
      </c>
      <c r="AB341" s="70" t="s">
        <v>287</v>
      </c>
      <c r="AC341" s="70" t="s">
        <v>288</v>
      </c>
      <c r="AD341" s="49" t="s">
        <v>289</v>
      </c>
      <c r="AE341" s="58" t="s">
        <v>290</v>
      </c>
      <c r="AF341" s="56" t="s">
        <v>291</v>
      </c>
      <c r="AG341" s="70" t="s">
        <v>292</v>
      </c>
      <c r="AH341" s="70" t="s">
        <v>293</v>
      </c>
      <c r="AI341" s="73" t="s">
        <v>215</v>
      </c>
      <c r="AJ341" s="70" t="s">
        <v>216</v>
      </c>
      <c r="AK341" s="74" t="s">
        <v>217</v>
      </c>
      <c r="AL341" s="75" t="s">
        <v>218</v>
      </c>
      <c r="AM341" s="76" t="s">
        <v>219</v>
      </c>
      <c r="AN341" s="50" t="s">
        <v>220</v>
      </c>
      <c r="AO341" s="77" t="s">
        <v>221</v>
      </c>
      <c r="AP341" s="51" t="s">
        <v>138</v>
      </c>
      <c r="AQ341" s="78" t="s">
        <v>139</v>
      </c>
      <c r="AR341" s="74" t="s">
        <v>140</v>
      </c>
      <c r="AS341" s="22" t="s">
        <v>141</v>
      </c>
      <c r="AT341" s="75" t="s">
        <v>142</v>
      </c>
      <c r="AU341" s="79" t="s">
        <v>143</v>
      </c>
      <c r="AV341" s="80" t="s">
        <v>144</v>
      </c>
      <c r="AW341" s="81" t="s">
        <v>145</v>
      </c>
      <c r="AX341" s="82" t="s">
        <v>146</v>
      </c>
      <c r="AY341" s="83" t="s">
        <v>147</v>
      </c>
      <c r="AZ341" s="80" t="s">
        <v>567</v>
      </c>
      <c r="BA341" s="34" t="s">
        <v>320</v>
      </c>
      <c r="BB341" s="591" t="str">
        <f t="shared" si="25"/>
        <v>TEMPLATE</v>
      </c>
      <c r="BC341" s="591" t="str">
        <f t="shared" si="26"/>
        <v>2. Healthcare &amp; Life Sciences-KFSHRC-NCA-ECC-2:2024</v>
      </c>
      <c r="BD341" s="591" t="str">
        <f t="shared" si="27"/>
        <v>KFSHRC-NCA-ECC-2-2024</v>
      </c>
      <c r="BE341" s="591" t="str">
        <f t="shared" si="28"/>
        <v>NCA-ECC-2-2024</v>
      </c>
      <c r="BF341" s="594">
        <f t="shared" si="29"/>
        <v>6</v>
      </c>
    </row>
    <row r="342" spans="1:58" ht="42" customHeight="1" x14ac:dyDescent="0.45">
      <c r="A342" s="84">
        <v>297</v>
      </c>
      <c r="B342" s="85" t="s">
        <v>2146</v>
      </c>
      <c r="C342" s="70" t="s">
        <v>2147</v>
      </c>
      <c r="D342" s="70" t="s">
        <v>571</v>
      </c>
      <c r="E342" s="85" t="s">
        <v>2148</v>
      </c>
      <c r="F342" s="72" t="s">
        <v>2149</v>
      </c>
      <c r="G342" s="70" t="s">
        <v>1898</v>
      </c>
      <c r="H342" s="70" t="s">
        <v>1746</v>
      </c>
      <c r="I342" s="71" t="s">
        <v>250</v>
      </c>
      <c r="J342" s="71" t="s">
        <v>310</v>
      </c>
      <c r="K342" s="70" t="s">
        <v>63</v>
      </c>
      <c r="L342" s="22" t="s">
        <v>64</v>
      </c>
      <c r="M342" s="70" t="s">
        <v>1900</v>
      </c>
      <c r="N342" s="93" t="s">
        <v>253</v>
      </c>
      <c r="O342" s="87" t="s">
        <v>1901</v>
      </c>
      <c r="P342" s="70" t="s">
        <v>1902</v>
      </c>
      <c r="Q342" s="70" t="s">
        <v>562</v>
      </c>
      <c r="R342" s="70" t="s">
        <v>563</v>
      </c>
      <c r="S342" s="71" t="s">
        <v>564</v>
      </c>
      <c r="T342" s="70" t="s">
        <v>565</v>
      </c>
      <c r="U342" s="25" t="s">
        <v>566</v>
      </c>
      <c r="V342" s="70" t="s">
        <v>282</v>
      </c>
      <c r="W342" s="72" t="s">
        <v>283</v>
      </c>
      <c r="X342" s="70" t="s">
        <v>284</v>
      </c>
      <c r="Y342" s="49" t="s">
        <v>285</v>
      </c>
      <c r="Z342" s="70" t="s">
        <v>286</v>
      </c>
      <c r="AA342" s="71" t="s">
        <v>286</v>
      </c>
      <c r="AB342" s="70" t="s">
        <v>287</v>
      </c>
      <c r="AC342" s="70" t="s">
        <v>288</v>
      </c>
      <c r="AD342" s="49" t="s">
        <v>289</v>
      </c>
      <c r="AE342" s="58" t="s">
        <v>290</v>
      </c>
      <c r="AF342" s="56" t="s">
        <v>291</v>
      </c>
      <c r="AG342" s="70" t="s">
        <v>292</v>
      </c>
      <c r="AH342" s="70" t="s">
        <v>293</v>
      </c>
      <c r="AI342" s="73" t="s">
        <v>215</v>
      </c>
      <c r="AJ342" s="70" t="s">
        <v>216</v>
      </c>
      <c r="AK342" s="74" t="s">
        <v>217</v>
      </c>
      <c r="AL342" s="75" t="s">
        <v>218</v>
      </c>
      <c r="AM342" s="76" t="s">
        <v>219</v>
      </c>
      <c r="AN342" s="50" t="s">
        <v>220</v>
      </c>
      <c r="AO342" s="77" t="s">
        <v>221</v>
      </c>
      <c r="AP342" s="51" t="s">
        <v>138</v>
      </c>
      <c r="AQ342" s="78" t="s">
        <v>139</v>
      </c>
      <c r="AR342" s="74" t="s">
        <v>140</v>
      </c>
      <c r="AS342" s="22" t="s">
        <v>141</v>
      </c>
      <c r="AT342" s="75" t="s">
        <v>142</v>
      </c>
      <c r="AU342" s="79" t="s">
        <v>143</v>
      </c>
      <c r="AV342" s="80" t="s">
        <v>144</v>
      </c>
      <c r="AW342" s="81" t="s">
        <v>145</v>
      </c>
      <c r="AX342" s="82" t="s">
        <v>146</v>
      </c>
      <c r="AY342" s="83" t="s">
        <v>147</v>
      </c>
      <c r="AZ342" s="80" t="s">
        <v>104</v>
      </c>
      <c r="BA342" s="41" t="s">
        <v>105</v>
      </c>
      <c r="BB342" s="591" t="str">
        <f t="shared" si="25"/>
        <v>TEMPLATE</v>
      </c>
      <c r="BC342" s="591" t="str">
        <f t="shared" si="26"/>
        <v>2. Healthcare &amp; Life Sciences-SEHA-SEHA-FW</v>
      </c>
      <c r="BD342" s="591" t="str">
        <f t="shared" si="27"/>
        <v>SEHA-SEHA-FW</v>
      </c>
      <c r="BE342" s="591" t="str">
        <f t="shared" si="28"/>
        <v>NONE</v>
      </c>
      <c r="BF342" s="594">
        <f t="shared" si="29"/>
        <v>7</v>
      </c>
    </row>
    <row r="343" spans="1:58" ht="42" customHeight="1" x14ac:dyDescent="0.45">
      <c r="A343" s="42">
        <v>298</v>
      </c>
      <c r="B343" s="69" t="s">
        <v>2146</v>
      </c>
      <c r="C343" s="44" t="s">
        <v>2147</v>
      </c>
      <c r="D343" s="44" t="s">
        <v>571</v>
      </c>
      <c r="E343" s="69" t="s">
        <v>557</v>
      </c>
      <c r="F343" s="45" t="s">
        <v>58</v>
      </c>
      <c r="G343" s="44" t="s">
        <v>59</v>
      </c>
      <c r="H343" s="44" t="s">
        <v>57</v>
      </c>
      <c r="I343" s="46" t="s">
        <v>61</v>
      </c>
      <c r="J343" s="46" t="s">
        <v>62</v>
      </c>
      <c r="K343" s="44" t="s">
        <v>558</v>
      </c>
      <c r="L343" s="66" t="s">
        <v>559</v>
      </c>
      <c r="M343" s="44" t="s">
        <v>2150</v>
      </c>
      <c r="N343" s="59" t="s">
        <v>275</v>
      </c>
      <c r="O343" s="48" t="s">
        <v>196</v>
      </c>
      <c r="P343" s="44" t="s">
        <v>561</v>
      </c>
      <c r="Q343" s="70" t="s">
        <v>562</v>
      </c>
      <c r="R343" s="70" t="s">
        <v>563</v>
      </c>
      <c r="S343" s="71" t="s">
        <v>564</v>
      </c>
      <c r="T343" s="70" t="s">
        <v>565</v>
      </c>
      <c r="U343" s="25" t="s">
        <v>566</v>
      </c>
      <c r="V343" s="70" t="s">
        <v>282</v>
      </c>
      <c r="W343" s="72" t="s">
        <v>283</v>
      </c>
      <c r="X343" s="70" t="s">
        <v>284</v>
      </c>
      <c r="Y343" s="49" t="s">
        <v>285</v>
      </c>
      <c r="Z343" s="70" t="s">
        <v>286</v>
      </c>
      <c r="AA343" s="71" t="s">
        <v>286</v>
      </c>
      <c r="AB343" s="70" t="s">
        <v>287</v>
      </c>
      <c r="AC343" s="70" t="s">
        <v>288</v>
      </c>
      <c r="AD343" s="49" t="s">
        <v>289</v>
      </c>
      <c r="AE343" s="58" t="s">
        <v>290</v>
      </c>
      <c r="AF343" s="56" t="s">
        <v>291</v>
      </c>
      <c r="AG343" s="70" t="s">
        <v>292</v>
      </c>
      <c r="AH343" s="70" t="s">
        <v>293</v>
      </c>
      <c r="AI343" s="73" t="s">
        <v>215</v>
      </c>
      <c r="AJ343" s="70" t="s">
        <v>216</v>
      </c>
      <c r="AK343" s="74" t="s">
        <v>217</v>
      </c>
      <c r="AL343" s="75" t="s">
        <v>218</v>
      </c>
      <c r="AM343" s="76" t="s">
        <v>219</v>
      </c>
      <c r="AN343" s="50" t="s">
        <v>220</v>
      </c>
      <c r="AO343" s="77" t="s">
        <v>221</v>
      </c>
      <c r="AP343" s="51" t="s">
        <v>138</v>
      </c>
      <c r="AQ343" s="78" t="s">
        <v>139</v>
      </c>
      <c r="AR343" s="74" t="s">
        <v>140</v>
      </c>
      <c r="AS343" s="22" t="s">
        <v>141</v>
      </c>
      <c r="AT343" s="75" t="s">
        <v>142</v>
      </c>
      <c r="AU343" s="79" t="s">
        <v>143</v>
      </c>
      <c r="AV343" s="80" t="s">
        <v>144</v>
      </c>
      <c r="AW343" s="81" t="s">
        <v>145</v>
      </c>
      <c r="AX343" s="82" t="s">
        <v>146</v>
      </c>
      <c r="AY343" s="83" t="s">
        <v>147</v>
      </c>
      <c r="AZ343" s="80" t="s">
        <v>567</v>
      </c>
      <c r="BA343" s="34" t="s">
        <v>320</v>
      </c>
      <c r="BB343" s="591" t="str">
        <f t="shared" si="25"/>
        <v>TEMPLATE</v>
      </c>
      <c r="BC343" s="591" t="str">
        <f t="shared" si="26"/>
        <v>2. Healthcare &amp; Life Sciences-SEHA-NCA-ECC-2:2024</v>
      </c>
      <c r="BD343" s="591" t="str">
        <f t="shared" si="27"/>
        <v>SEHA-NCA-ECC-2-2024</v>
      </c>
      <c r="BE343" s="591" t="str">
        <f t="shared" si="28"/>
        <v>NCA-ECC-2-2024</v>
      </c>
      <c r="BF343" s="594">
        <f t="shared" si="29"/>
        <v>6</v>
      </c>
    </row>
    <row r="344" spans="1:58" ht="42" customHeight="1" x14ac:dyDescent="0.45">
      <c r="A344" s="84">
        <v>299</v>
      </c>
      <c r="B344" s="85" t="s">
        <v>2151</v>
      </c>
      <c r="C344" s="70" t="s">
        <v>2152</v>
      </c>
      <c r="D344" s="70" t="s">
        <v>571</v>
      </c>
      <c r="E344" s="85" t="s">
        <v>2153</v>
      </c>
      <c r="F344" s="72" t="s">
        <v>2154</v>
      </c>
      <c r="G344" s="70" t="s">
        <v>1898</v>
      </c>
      <c r="H344" s="70" t="s">
        <v>1746</v>
      </c>
      <c r="I344" s="71" t="s">
        <v>682</v>
      </c>
      <c r="J344" s="71" t="s">
        <v>310</v>
      </c>
      <c r="K344" s="70" t="s">
        <v>63</v>
      </c>
      <c r="L344" s="22" t="s">
        <v>64</v>
      </c>
      <c r="M344" s="70" t="s">
        <v>1900</v>
      </c>
      <c r="N344" s="93" t="s">
        <v>253</v>
      </c>
      <c r="O344" s="87" t="s">
        <v>1901</v>
      </c>
      <c r="P344" s="70" t="s">
        <v>1902</v>
      </c>
      <c r="Q344" s="70" t="s">
        <v>562</v>
      </c>
      <c r="R344" s="70" t="s">
        <v>563</v>
      </c>
      <c r="S344" s="71" t="s">
        <v>564</v>
      </c>
      <c r="T344" s="70" t="s">
        <v>565</v>
      </c>
      <c r="U344" s="25" t="s">
        <v>566</v>
      </c>
      <c r="V344" s="70" t="s">
        <v>282</v>
      </c>
      <c r="W344" s="72" t="s">
        <v>283</v>
      </c>
      <c r="X344" s="70" t="s">
        <v>284</v>
      </c>
      <c r="Y344" s="49" t="s">
        <v>285</v>
      </c>
      <c r="Z344" s="70" t="s">
        <v>286</v>
      </c>
      <c r="AA344" s="71" t="s">
        <v>286</v>
      </c>
      <c r="AB344" s="70" t="s">
        <v>287</v>
      </c>
      <c r="AC344" s="70" t="s">
        <v>288</v>
      </c>
      <c r="AD344" s="49" t="s">
        <v>289</v>
      </c>
      <c r="AE344" s="58" t="s">
        <v>290</v>
      </c>
      <c r="AF344" s="56" t="s">
        <v>291</v>
      </c>
      <c r="AG344" s="70" t="s">
        <v>292</v>
      </c>
      <c r="AH344" s="70" t="s">
        <v>293</v>
      </c>
      <c r="AI344" s="73" t="s">
        <v>215</v>
      </c>
      <c r="AJ344" s="70" t="s">
        <v>216</v>
      </c>
      <c r="AK344" s="74" t="s">
        <v>217</v>
      </c>
      <c r="AL344" s="75" t="s">
        <v>218</v>
      </c>
      <c r="AM344" s="76" t="s">
        <v>219</v>
      </c>
      <c r="AN344" s="50" t="s">
        <v>220</v>
      </c>
      <c r="AO344" s="77" t="s">
        <v>221</v>
      </c>
      <c r="AP344" s="51" t="s">
        <v>138</v>
      </c>
      <c r="AQ344" s="78" t="s">
        <v>139</v>
      </c>
      <c r="AR344" s="74" t="s">
        <v>140</v>
      </c>
      <c r="AS344" s="22" t="s">
        <v>141</v>
      </c>
      <c r="AT344" s="75" t="s">
        <v>142</v>
      </c>
      <c r="AU344" s="79" t="s">
        <v>143</v>
      </c>
      <c r="AV344" s="80" t="s">
        <v>144</v>
      </c>
      <c r="AW344" s="81" t="s">
        <v>145</v>
      </c>
      <c r="AX344" s="82" t="s">
        <v>146</v>
      </c>
      <c r="AY344" s="83" t="s">
        <v>147</v>
      </c>
      <c r="AZ344" s="80" t="s">
        <v>104</v>
      </c>
      <c r="BA344" s="41" t="s">
        <v>105</v>
      </c>
      <c r="BB344" s="591" t="str">
        <f t="shared" si="25"/>
        <v>TEMPLATE</v>
      </c>
      <c r="BC344" s="591" t="str">
        <f t="shared" si="26"/>
        <v>2. Healthcare &amp; Life Sciences-SCEBA-SCEBA-FW</v>
      </c>
      <c r="BD344" s="591" t="str">
        <f t="shared" si="27"/>
        <v>SCEBA-SCEBA-FW</v>
      </c>
      <c r="BE344" s="591" t="str">
        <f t="shared" si="28"/>
        <v>NONE</v>
      </c>
      <c r="BF344" s="594">
        <f t="shared" si="29"/>
        <v>7</v>
      </c>
    </row>
    <row r="345" spans="1:58" ht="42" customHeight="1" x14ac:dyDescent="0.45">
      <c r="A345" s="42">
        <v>300</v>
      </c>
      <c r="B345" s="69" t="s">
        <v>2151</v>
      </c>
      <c r="C345" s="44" t="s">
        <v>2152</v>
      </c>
      <c r="D345" s="44" t="s">
        <v>571</v>
      </c>
      <c r="E345" s="69" t="s">
        <v>557</v>
      </c>
      <c r="F345" s="45" t="s">
        <v>58</v>
      </c>
      <c r="G345" s="44" t="s">
        <v>59</v>
      </c>
      <c r="H345" s="44" t="s">
        <v>57</v>
      </c>
      <c r="I345" s="46" t="s">
        <v>61</v>
      </c>
      <c r="J345" s="46" t="s">
        <v>62</v>
      </c>
      <c r="K345" s="44" t="s">
        <v>558</v>
      </c>
      <c r="L345" s="66" t="s">
        <v>559</v>
      </c>
      <c r="M345" s="44" t="s">
        <v>2155</v>
      </c>
      <c r="N345" s="59" t="s">
        <v>275</v>
      </c>
      <c r="O345" s="48" t="s">
        <v>196</v>
      </c>
      <c r="P345" s="44" t="s">
        <v>561</v>
      </c>
      <c r="Q345" s="70" t="s">
        <v>562</v>
      </c>
      <c r="R345" s="70" t="s">
        <v>563</v>
      </c>
      <c r="S345" s="71" t="s">
        <v>564</v>
      </c>
      <c r="T345" s="70" t="s">
        <v>565</v>
      </c>
      <c r="U345" s="25" t="s">
        <v>566</v>
      </c>
      <c r="V345" s="70" t="s">
        <v>282</v>
      </c>
      <c r="W345" s="72" t="s">
        <v>283</v>
      </c>
      <c r="X345" s="70" t="s">
        <v>284</v>
      </c>
      <c r="Y345" s="49" t="s">
        <v>285</v>
      </c>
      <c r="Z345" s="70" t="s">
        <v>286</v>
      </c>
      <c r="AA345" s="71" t="s">
        <v>286</v>
      </c>
      <c r="AB345" s="70" t="s">
        <v>287</v>
      </c>
      <c r="AC345" s="70" t="s">
        <v>288</v>
      </c>
      <c r="AD345" s="49" t="s">
        <v>289</v>
      </c>
      <c r="AE345" s="58" t="s">
        <v>290</v>
      </c>
      <c r="AF345" s="56" t="s">
        <v>291</v>
      </c>
      <c r="AG345" s="70" t="s">
        <v>292</v>
      </c>
      <c r="AH345" s="70" t="s">
        <v>293</v>
      </c>
      <c r="AI345" s="73" t="s">
        <v>215</v>
      </c>
      <c r="AJ345" s="70" t="s">
        <v>216</v>
      </c>
      <c r="AK345" s="74" t="s">
        <v>217</v>
      </c>
      <c r="AL345" s="75" t="s">
        <v>218</v>
      </c>
      <c r="AM345" s="76" t="s">
        <v>219</v>
      </c>
      <c r="AN345" s="50" t="s">
        <v>220</v>
      </c>
      <c r="AO345" s="77" t="s">
        <v>221</v>
      </c>
      <c r="AP345" s="51" t="s">
        <v>138</v>
      </c>
      <c r="AQ345" s="78" t="s">
        <v>139</v>
      </c>
      <c r="AR345" s="74" t="s">
        <v>140</v>
      </c>
      <c r="AS345" s="22" t="s">
        <v>141</v>
      </c>
      <c r="AT345" s="75" t="s">
        <v>142</v>
      </c>
      <c r="AU345" s="79" t="s">
        <v>143</v>
      </c>
      <c r="AV345" s="80" t="s">
        <v>144</v>
      </c>
      <c r="AW345" s="81" t="s">
        <v>145</v>
      </c>
      <c r="AX345" s="82" t="s">
        <v>146</v>
      </c>
      <c r="AY345" s="83" t="s">
        <v>147</v>
      </c>
      <c r="AZ345" s="80" t="s">
        <v>567</v>
      </c>
      <c r="BA345" s="34" t="s">
        <v>320</v>
      </c>
      <c r="BB345" s="591" t="str">
        <f t="shared" si="25"/>
        <v>TEMPLATE</v>
      </c>
      <c r="BC345" s="591" t="str">
        <f t="shared" si="26"/>
        <v>2. Healthcare &amp; Life Sciences-SCEBA-NCA-ECC-2:2024</v>
      </c>
      <c r="BD345" s="591" t="str">
        <f t="shared" si="27"/>
        <v>SCEBA-NCA-ECC-2-2024</v>
      </c>
      <c r="BE345" s="591" t="str">
        <f t="shared" si="28"/>
        <v>NCA-ECC-2-2024</v>
      </c>
      <c r="BF345" s="594">
        <f t="shared" si="29"/>
        <v>6</v>
      </c>
    </row>
    <row r="346" spans="1:58" ht="42" customHeight="1" x14ac:dyDescent="0.45">
      <c r="A346" s="84">
        <v>301</v>
      </c>
      <c r="B346" s="85" t="s">
        <v>2156</v>
      </c>
      <c r="C346" s="70" t="s">
        <v>2157</v>
      </c>
      <c r="D346" s="70" t="s">
        <v>571</v>
      </c>
      <c r="E346" s="85" t="s">
        <v>2158</v>
      </c>
      <c r="F346" s="72" t="s">
        <v>2159</v>
      </c>
      <c r="G346" s="70" t="s">
        <v>1898</v>
      </c>
      <c r="H346" s="70" t="s">
        <v>1746</v>
      </c>
      <c r="I346" s="71" t="s">
        <v>61</v>
      </c>
      <c r="J346" s="71" t="s">
        <v>310</v>
      </c>
      <c r="K346" s="70" t="s">
        <v>63</v>
      </c>
      <c r="L346" s="22" t="s">
        <v>64</v>
      </c>
      <c r="M346" s="70" t="s">
        <v>1900</v>
      </c>
      <c r="N346" s="93" t="s">
        <v>253</v>
      </c>
      <c r="O346" s="87" t="s">
        <v>1901</v>
      </c>
      <c r="P346" s="70" t="s">
        <v>1902</v>
      </c>
      <c r="Q346" s="70" t="s">
        <v>562</v>
      </c>
      <c r="R346" s="70" t="s">
        <v>563</v>
      </c>
      <c r="S346" s="71" t="s">
        <v>564</v>
      </c>
      <c r="T346" s="70" t="s">
        <v>565</v>
      </c>
      <c r="U346" s="25" t="s">
        <v>566</v>
      </c>
      <c r="V346" s="70" t="s">
        <v>282</v>
      </c>
      <c r="W346" s="72" t="s">
        <v>283</v>
      </c>
      <c r="X346" s="70" t="s">
        <v>284</v>
      </c>
      <c r="Y346" s="49" t="s">
        <v>285</v>
      </c>
      <c r="Z346" s="70" t="s">
        <v>286</v>
      </c>
      <c r="AA346" s="71" t="s">
        <v>286</v>
      </c>
      <c r="AB346" s="70" t="s">
        <v>287</v>
      </c>
      <c r="AC346" s="70" t="s">
        <v>288</v>
      </c>
      <c r="AD346" s="49" t="s">
        <v>289</v>
      </c>
      <c r="AE346" s="58" t="s">
        <v>290</v>
      </c>
      <c r="AF346" s="56" t="s">
        <v>291</v>
      </c>
      <c r="AG346" s="70" t="s">
        <v>292</v>
      </c>
      <c r="AH346" s="70" t="s">
        <v>293</v>
      </c>
      <c r="AI346" s="73" t="s">
        <v>215</v>
      </c>
      <c r="AJ346" s="70" t="s">
        <v>216</v>
      </c>
      <c r="AK346" s="74" t="s">
        <v>217</v>
      </c>
      <c r="AL346" s="75" t="s">
        <v>218</v>
      </c>
      <c r="AM346" s="76" t="s">
        <v>219</v>
      </c>
      <c r="AN346" s="50" t="s">
        <v>220</v>
      </c>
      <c r="AO346" s="77" t="s">
        <v>221</v>
      </c>
      <c r="AP346" s="51" t="s">
        <v>138</v>
      </c>
      <c r="AQ346" s="78" t="s">
        <v>139</v>
      </c>
      <c r="AR346" s="74" t="s">
        <v>140</v>
      </c>
      <c r="AS346" s="22" t="s">
        <v>141</v>
      </c>
      <c r="AT346" s="75" t="s">
        <v>142</v>
      </c>
      <c r="AU346" s="79" t="s">
        <v>143</v>
      </c>
      <c r="AV346" s="80" t="s">
        <v>144</v>
      </c>
      <c r="AW346" s="81" t="s">
        <v>145</v>
      </c>
      <c r="AX346" s="82" t="s">
        <v>146</v>
      </c>
      <c r="AY346" s="83" t="s">
        <v>147</v>
      </c>
      <c r="AZ346" s="80" t="s">
        <v>104</v>
      </c>
      <c r="BA346" s="41" t="s">
        <v>105</v>
      </c>
      <c r="BB346" s="591" t="str">
        <f t="shared" si="25"/>
        <v>TEMPLATE</v>
      </c>
      <c r="BC346" s="591" t="str">
        <f t="shared" si="26"/>
        <v>2. Healthcare &amp; Life Sciences-KSMC-KSMC-FW</v>
      </c>
      <c r="BD346" s="591" t="str">
        <f t="shared" si="27"/>
        <v>KSMC-KSMC-FW</v>
      </c>
      <c r="BE346" s="591" t="str">
        <f t="shared" si="28"/>
        <v>NONE</v>
      </c>
      <c r="BF346" s="594">
        <f t="shared" si="29"/>
        <v>7</v>
      </c>
    </row>
    <row r="347" spans="1:58" ht="42" customHeight="1" x14ac:dyDescent="0.45">
      <c r="A347" s="42">
        <v>302</v>
      </c>
      <c r="B347" s="69" t="s">
        <v>2156</v>
      </c>
      <c r="C347" s="44" t="s">
        <v>2157</v>
      </c>
      <c r="D347" s="44" t="s">
        <v>571</v>
      </c>
      <c r="E347" s="69" t="s">
        <v>557</v>
      </c>
      <c r="F347" s="45" t="s">
        <v>58</v>
      </c>
      <c r="G347" s="44" t="s">
        <v>59</v>
      </c>
      <c r="H347" s="44" t="s">
        <v>57</v>
      </c>
      <c r="I347" s="46" t="s">
        <v>61</v>
      </c>
      <c r="J347" s="46" t="s">
        <v>62</v>
      </c>
      <c r="K347" s="44" t="s">
        <v>558</v>
      </c>
      <c r="L347" s="66" t="s">
        <v>559</v>
      </c>
      <c r="M347" s="44" t="s">
        <v>2160</v>
      </c>
      <c r="N347" s="59" t="s">
        <v>275</v>
      </c>
      <c r="O347" s="48" t="s">
        <v>196</v>
      </c>
      <c r="P347" s="44" t="s">
        <v>561</v>
      </c>
      <c r="Q347" s="70" t="s">
        <v>562</v>
      </c>
      <c r="R347" s="70" t="s">
        <v>563</v>
      </c>
      <c r="S347" s="71" t="s">
        <v>564</v>
      </c>
      <c r="T347" s="70" t="s">
        <v>565</v>
      </c>
      <c r="U347" s="25" t="s">
        <v>566</v>
      </c>
      <c r="V347" s="70" t="s">
        <v>282</v>
      </c>
      <c r="W347" s="72" t="s">
        <v>283</v>
      </c>
      <c r="X347" s="70" t="s">
        <v>284</v>
      </c>
      <c r="Y347" s="49" t="s">
        <v>285</v>
      </c>
      <c r="Z347" s="70" t="s">
        <v>286</v>
      </c>
      <c r="AA347" s="71" t="s">
        <v>286</v>
      </c>
      <c r="AB347" s="70" t="s">
        <v>287</v>
      </c>
      <c r="AC347" s="70" t="s">
        <v>288</v>
      </c>
      <c r="AD347" s="49" t="s">
        <v>289</v>
      </c>
      <c r="AE347" s="58" t="s">
        <v>290</v>
      </c>
      <c r="AF347" s="56" t="s">
        <v>291</v>
      </c>
      <c r="AG347" s="70" t="s">
        <v>292</v>
      </c>
      <c r="AH347" s="70" t="s">
        <v>293</v>
      </c>
      <c r="AI347" s="73" t="s">
        <v>215</v>
      </c>
      <c r="AJ347" s="70" t="s">
        <v>216</v>
      </c>
      <c r="AK347" s="74" t="s">
        <v>217</v>
      </c>
      <c r="AL347" s="75" t="s">
        <v>218</v>
      </c>
      <c r="AM347" s="76" t="s">
        <v>219</v>
      </c>
      <c r="AN347" s="50" t="s">
        <v>220</v>
      </c>
      <c r="AO347" s="77" t="s">
        <v>221</v>
      </c>
      <c r="AP347" s="51" t="s">
        <v>138</v>
      </c>
      <c r="AQ347" s="78" t="s">
        <v>139</v>
      </c>
      <c r="AR347" s="74" t="s">
        <v>140</v>
      </c>
      <c r="AS347" s="22" t="s">
        <v>141</v>
      </c>
      <c r="AT347" s="75" t="s">
        <v>142</v>
      </c>
      <c r="AU347" s="79" t="s">
        <v>143</v>
      </c>
      <c r="AV347" s="80" t="s">
        <v>144</v>
      </c>
      <c r="AW347" s="81" t="s">
        <v>145</v>
      </c>
      <c r="AX347" s="82" t="s">
        <v>146</v>
      </c>
      <c r="AY347" s="83" t="s">
        <v>147</v>
      </c>
      <c r="AZ347" s="80" t="s">
        <v>567</v>
      </c>
      <c r="BA347" s="34" t="s">
        <v>320</v>
      </c>
      <c r="BB347" s="591" t="str">
        <f t="shared" si="25"/>
        <v>TEMPLATE</v>
      </c>
      <c r="BC347" s="591" t="str">
        <f t="shared" si="26"/>
        <v>2. Healthcare &amp; Life Sciences-KSMC-NCA-ECC-2:2024</v>
      </c>
      <c r="BD347" s="591" t="str">
        <f t="shared" si="27"/>
        <v>KSMC-NCA-ECC-2-2024</v>
      </c>
      <c r="BE347" s="591" t="str">
        <f t="shared" si="28"/>
        <v>NCA-ECC-2-2024</v>
      </c>
      <c r="BF347" s="594">
        <f t="shared" si="29"/>
        <v>6</v>
      </c>
    </row>
    <row r="348" spans="1:58" ht="42" customHeight="1" x14ac:dyDescent="0.45">
      <c r="A348" s="84">
        <v>303</v>
      </c>
      <c r="B348" s="85" t="s">
        <v>2161</v>
      </c>
      <c r="C348" s="70" t="s">
        <v>2162</v>
      </c>
      <c r="D348" s="70" t="s">
        <v>571</v>
      </c>
      <c r="E348" s="85" t="s">
        <v>2163</v>
      </c>
      <c r="F348" s="72" t="s">
        <v>2164</v>
      </c>
      <c r="G348" s="70" t="s">
        <v>1898</v>
      </c>
      <c r="H348" s="70" t="s">
        <v>1746</v>
      </c>
      <c r="I348" s="71" t="s">
        <v>1780</v>
      </c>
      <c r="J348" s="71" t="s">
        <v>310</v>
      </c>
      <c r="K348" s="70" t="s">
        <v>63</v>
      </c>
      <c r="L348" s="22" t="s">
        <v>64</v>
      </c>
      <c r="M348" s="70" t="s">
        <v>1900</v>
      </c>
      <c r="N348" s="93" t="s">
        <v>253</v>
      </c>
      <c r="O348" s="87" t="s">
        <v>1901</v>
      </c>
      <c r="P348" s="70" t="s">
        <v>1902</v>
      </c>
      <c r="Q348" s="70" t="s">
        <v>562</v>
      </c>
      <c r="R348" s="70" t="s">
        <v>563</v>
      </c>
      <c r="S348" s="71" t="s">
        <v>564</v>
      </c>
      <c r="T348" s="70" t="s">
        <v>565</v>
      </c>
      <c r="U348" s="25" t="s">
        <v>566</v>
      </c>
      <c r="V348" s="70" t="s">
        <v>282</v>
      </c>
      <c r="W348" s="72" t="s">
        <v>283</v>
      </c>
      <c r="X348" s="70" t="s">
        <v>284</v>
      </c>
      <c r="Y348" s="49" t="s">
        <v>285</v>
      </c>
      <c r="Z348" s="70" t="s">
        <v>286</v>
      </c>
      <c r="AA348" s="71" t="s">
        <v>286</v>
      </c>
      <c r="AB348" s="70" t="s">
        <v>287</v>
      </c>
      <c r="AC348" s="70" t="s">
        <v>288</v>
      </c>
      <c r="AD348" s="49" t="s">
        <v>289</v>
      </c>
      <c r="AE348" s="58" t="s">
        <v>290</v>
      </c>
      <c r="AF348" s="56" t="s">
        <v>291</v>
      </c>
      <c r="AG348" s="70" t="s">
        <v>292</v>
      </c>
      <c r="AH348" s="70" t="s">
        <v>293</v>
      </c>
      <c r="AI348" s="73" t="s">
        <v>215</v>
      </c>
      <c r="AJ348" s="70" t="s">
        <v>216</v>
      </c>
      <c r="AK348" s="74" t="s">
        <v>217</v>
      </c>
      <c r="AL348" s="75" t="s">
        <v>218</v>
      </c>
      <c r="AM348" s="76" t="s">
        <v>219</v>
      </c>
      <c r="AN348" s="50" t="s">
        <v>220</v>
      </c>
      <c r="AO348" s="77" t="s">
        <v>221</v>
      </c>
      <c r="AP348" s="51" t="s">
        <v>138</v>
      </c>
      <c r="AQ348" s="78" t="s">
        <v>139</v>
      </c>
      <c r="AR348" s="74" t="s">
        <v>140</v>
      </c>
      <c r="AS348" s="22" t="s">
        <v>141</v>
      </c>
      <c r="AT348" s="75" t="s">
        <v>142</v>
      </c>
      <c r="AU348" s="79" t="s">
        <v>143</v>
      </c>
      <c r="AV348" s="80" t="s">
        <v>144</v>
      </c>
      <c r="AW348" s="81" t="s">
        <v>145</v>
      </c>
      <c r="AX348" s="82" t="s">
        <v>146</v>
      </c>
      <c r="AY348" s="83" t="s">
        <v>147</v>
      </c>
      <c r="AZ348" s="80" t="s">
        <v>104</v>
      </c>
      <c r="BA348" s="41" t="s">
        <v>105</v>
      </c>
      <c r="BB348" s="591" t="str">
        <f t="shared" si="25"/>
        <v>TEMPLATE</v>
      </c>
      <c r="BC348" s="591" t="str">
        <f t="shared" si="26"/>
        <v>2. Healthcare &amp; Life Sciences-MNGHA-MNGHA-FW</v>
      </c>
      <c r="BD348" s="591" t="str">
        <f t="shared" si="27"/>
        <v>MNGHA-MNGHA-FW</v>
      </c>
      <c r="BE348" s="591" t="str">
        <f t="shared" si="28"/>
        <v>NONE</v>
      </c>
      <c r="BF348" s="594">
        <f t="shared" si="29"/>
        <v>7</v>
      </c>
    </row>
    <row r="349" spans="1:58" ht="42" customHeight="1" x14ac:dyDescent="0.45">
      <c r="A349" s="42">
        <v>304</v>
      </c>
      <c r="B349" s="69" t="s">
        <v>2161</v>
      </c>
      <c r="C349" s="44" t="s">
        <v>2162</v>
      </c>
      <c r="D349" s="44" t="s">
        <v>571</v>
      </c>
      <c r="E349" s="69" t="s">
        <v>557</v>
      </c>
      <c r="F349" s="45" t="s">
        <v>58</v>
      </c>
      <c r="G349" s="44" t="s">
        <v>59</v>
      </c>
      <c r="H349" s="44" t="s">
        <v>57</v>
      </c>
      <c r="I349" s="46" t="s">
        <v>61</v>
      </c>
      <c r="J349" s="46" t="s">
        <v>62</v>
      </c>
      <c r="K349" s="44" t="s">
        <v>558</v>
      </c>
      <c r="L349" s="66" t="s">
        <v>559</v>
      </c>
      <c r="M349" s="44" t="s">
        <v>2165</v>
      </c>
      <c r="N349" s="59" t="s">
        <v>275</v>
      </c>
      <c r="O349" s="48" t="s">
        <v>196</v>
      </c>
      <c r="P349" s="44" t="s">
        <v>561</v>
      </c>
      <c r="Q349" s="70" t="s">
        <v>562</v>
      </c>
      <c r="R349" s="70" t="s">
        <v>563</v>
      </c>
      <c r="S349" s="71" t="s">
        <v>564</v>
      </c>
      <c r="T349" s="70" t="s">
        <v>565</v>
      </c>
      <c r="U349" s="25" t="s">
        <v>566</v>
      </c>
      <c r="V349" s="70" t="s">
        <v>282</v>
      </c>
      <c r="W349" s="72" t="s">
        <v>283</v>
      </c>
      <c r="X349" s="70" t="s">
        <v>284</v>
      </c>
      <c r="Y349" s="49" t="s">
        <v>285</v>
      </c>
      <c r="Z349" s="70" t="s">
        <v>286</v>
      </c>
      <c r="AA349" s="71" t="s">
        <v>286</v>
      </c>
      <c r="AB349" s="70" t="s">
        <v>287</v>
      </c>
      <c r="AC349" s="70" t="s">
        <v>288</v>
      </c>
      <c r="AD349" s="49" t="s">
        <v>289</v>
      </c>
      <c r="AE349" s="58" t="s">
        <v>290</v>
      </c>
      <c r="AF349" s="56" t="s">
        <v>291</v>
      </c>
      <c r="AG349" s="70" t="s">
        <v>292</v>
      </c>
      <c r="AH349" s="70" t="s">
        <v>293</v>
      </c>
      <c r="AI349" s="73" t="s">
        <v>215</v>
      </c>
      <c r="AJ349" s="70" t="s">
        <v>216</v>
      </c>
      <c r="AK349" s="74" t="s">
        <v>217</v>
      </c>
      <c r="AL349" s="75" t="s">
        <v>218</v>
      </c>
      <c r="AM349" s="76" t="s">
        <v>219</v>
      </c>
      <c r="AN349" s="50" t="s">
        <v>220</v>
      </c>
      <c r="AO349" s="77" t="s">
        <v>221</v>
      </c>
      <c r="AP349" s="51" t="s">
        <v>138</v>
      </c>
      <c r="AQ349" s="78" t="s">
        <v>139</v>
      </c>
      <c r="AR349" s="74" t="s">
        <v>140</v>
      </c>
      <c r="AS349" s="22" t="s">
        <v>141</v>
      </c>
      <c r="AT349" s="75" t="s">
        <v>142</v>
      </c>
      <c r="AU349" s="79" t="s">
        <v>143</v>
      </c>
      <c r="AV349" s="80" t="s">
        <v>144</v>
      </c>
      <c r="AW349" s="81" t="s">
        <v>145</v>
      </c>
      <c r="AX349" s="82" t="s">
        <v>146</v>
      </c>
      <c r="AY349" s="83" t="s">
        <v>147</v>
      </c>
      <c r="AZ349" s="80" t="s">
        <v>567</v>
      </c>
      <c r="BA349" s="34" t="s">
        <v>320</v>
      </c>
      <c r="BB349" s="591" t="str">
        <f t="shared" si="25"/>
        <v>TEMPLATE</v>
      </c>
      <c r="BC349" s="591" t="str">
        <f t="shared" si="26"/>
        <v>2. Healthcare &amp; Life Sciences-MNGHA-NCA-ECC-2:2024</v>
      </c>
      <c r="BD349" s="591" t="str">
        <f t="shared" si="27"/>
        <v>MNGHA-NCA-ECC-2-2024</v>
      </c>
      <c r="BE349" s="591" t="str">
        <f t="shared" si="28"/>
        <v>NCA-ECC-2-2024</v>
      </c>
      <c r="BF349" s="594">
        <f t="shared" si="29"/>
        <v>6</v>
      </c>
    </row>
    <row r="350" spans="1:58" x14ac:dyDescent="0.45">
      <c r="BB350" s="591" t="str">
        <f t="shared" si="25"/>
        <v/>
      </c>
      <c r="BC350" s="591" t="str">
        <f t="shared" si="26"/>
        <v/>
      </c>
      <c r="BD350" s="591" t="str">
        <f t="shared" si="27"/>
        <v/>
      </c>
      <c r="BE350" s="591" t="str">
        <f t="shared" si="28"/>
        <v/>
      </c>
      <c r="BF350" s="594" t="str">
        <f t="shared" si="29"/>
        <v/>
      </c>
    </row>
    <row r="351" spans="1:58" ht="19.5" customHeight="1" x14ac:dyDescent="0.45">
      <c r="A351" s="387"/>
      <c r="B351" s="388" t="s">
        <v>2166</v>
      </c>
      <c r="C351" s="387"/>
      <c r="D351" s="387"/>
      <c r="E351" s="387"/>
      <c r="F351" s="387"/>
      <c r="G351" s="387"/>
      <c r="H351" s="387"/>
      <c r="I351" s="387"/>
      <c r="J351" s="387"/>
      <c r="K351" s="387"/>
      <c r="L351" s="387"/>
      <c r="M351" s="387"/>
      <c r="N351" s="387"/>
      <c r="O351" s="387"/>
      <c r="P351" s="387"/>
      <c r="BB351" s="591" t="str">
        <f t="shared" si="25"/>
        <v/>
      </c>
      <c r="BC351" s="591" t="str">
        <f t="shared" si="26"/>
        <v/>
      </c>
      <c r="BD351" s="591" t="str">
        <f t="shared" si="27"/>
        <v/>
      </c>
      <c r="BE351" s="591" t="str">
        <f t="shared" si="28"/>
        <v/>
      </c>
      <c r="BF351" s="594" t="str">
        <f t="shared" si="29"/>
        <v/>
      </c>
    </row>
    <row r="352" spans="1:58" ht="42" customHeight="1" x14ac:dyDescent="0.45">
      <c r="A352" s="389">
        <v>305</v>
      </c>
      <c r="B352" s="390" t="s">
        <v>2167</v>
      </c>
      <c r="C352" s="391" t="s">
        <v>2168</v>
      </c>
      <c r="D352" s="391" t="s">
        <v>2169</v>
      </c>
      <c r="E352" s="390" t="s">
        <v>2170</v>
      </c>
      <c r="F352" s="392" t="s">
        <v>2171</v>
      </c>
      <c r="G352" s="391" t="s">
        <v>1898</v>
      </c>
      <c r="H352" s="391" t="s">
        <v>1746</v>
      </c>
      <c r="I352" s="393" t="s">
        <v>1796</v>
      </c>
      <c r="J352" s="393" t="s">
        <v>310</v>
      </c>
      <c r="K352" s="391" t="s">
        <v>63</v>
      </c>
      <c r="L352" s="22" t="s">
        <v>64</v>
      </c>
      <c r="M352" s="391" t="s">
        <v>1900</v>
      </c>
      <c r="N352" s="394" t="s">
        <v>253</v>
      </c>
      <c r="O352" s="395" t="s">
        <v>1901</v>
      </c>
      <c r="P352" s="391" t="s">
        <v>1902</v>
      </c>
      <c r="Q352" s="391" t="s">
        <v>562</v>
      </c>
      <c r="R352" s="391" t="s">
        <v>563</v>
      </c>
      <c r="S352" s="393" t="s">
        <v>564</v>
      </c>
      <c r="T352" s="391" t="s">
        <v>565</v>
      </c>
      <c r="U352" s="25" t="s">
        <v>566</v>
      </c>
      <c r="V352" s="391" t="s">
        <v>282</v>
      </c>
      <c r="W352" s="392" t="s">
        <v>283</v>
      </c>
      <c r="X352" s="391" t="s">
        <v>284</v>
      </c>
      <c r="Y352" s="49" t="s">
        <v>285</v>
      </c>
      <c r="Z352" s="391" t="s">
        <v>286</v>
      </c>
      <c r="AA352" s="393" t="s">
        <v>286</v>
      </c>
      <c r="AB352" s="391" t="s">
        <v>287</v>
      </c>
      <c r="AC352" s="391" t="s">
        <v>288</v>
      </c>
      <c r="AD352" s="49" t="s">
        <v>289</v>
      </c>
      <c r="AE352" s="58" t="s">
        <v>290</v>
      </c>
      <c r="AF352" s="56" t="s">
        <v>291</v>
      </c>
      <c r="AG352" s="391" t="s">
        <v>292</v>
      </c>
      <c r="AH352" s="391" t="s">
        <v>293</v>
      </c>
      <c r="AI352" s="396" t="s">
        <v>215</v>
      </c>
      <c r="AJ352" s="391" t="s">
        <v>216</v>
      </c>
      <c r="AK352" s="397" t="s">
        <v>217</v>
      </c>
      <c r="AL352" s="398" t="s">
        <v>218</v>
      </c>
      <c r="AM352" s="399" t="s">
        <v>219</v>
      </c>
      <c r="AN352" s="400" t="s">
        <v>220</v>
      </c>
      <c r="AO352" s="401" t="s">
        <v>221</v>
      </c>
      <c r="AP352" s="51" t="s">
        <v>138</v>
      </c>
      <c r="AQ352" s="402" t="s">
        <v>139</v>
      </c>
      <c r="AR352" s="397" t="s">
        <v>140</v>
      </c>
      <c r="AS352" s="22" t="s">
        <v>141</v>
      </c>
      <c r="AT352" s="398" t="s">
        <v>142</v>
      </c>
      <c r="AU352" s="403" t="s">
        <v>143</v>
      </c>
      <c r="AV352" s="404" t="s">
        <v>144</v>
      </c>
      <c r="AW352" s="405" t="s">
        <v>145</v>
      </c>
      <c r="AX352" s="406" t="s">
        <v>146</v>
      </c>
      <c r="AY352" s="407" t="s">
        <v>147</v>
      </c>
      <c r="AZ352" s="404" t="s">
        <v>104</v>
      </c>
      <c r="BA352" s="41" t="s">
        <v>105</v>
      </c>
      <c r="BB352" s="591" t="str">
        <f t="shared" si="25"/>
        <v>TEMPLATE</v>
      </c>
      <c r="BC352" s="591" t="str">
        <f t="shared" si="26"/>
        <v>16. Councils &amp; Supreme Committees-COM-COM-FW</v>
      </c>
      <c r="BD352" s="591" t="str">
        <f t="shared" si="27"/>
        <v>COM-COM-FW</v>
      </c>
      <c r="BE352" s="591" t="str">
        <f t="shared" si="28"/>
        <v>NONE</v>
      </c>
      <c r="BF352" s="594">
        <f t="shared" si="29"/>
        <v>7</v>
      </c>
    </row>
    <row r="353" spans="1:58" ht="42" customHeight="1" x14ac:dyDescent="0.45">
      <c r="A353" s="42">
        <v>306</v>
      </c>
      <c r="B353" s="408" t="s">
        <v>2167</v>
      </c>
      <c r="C353" s="44" t="s">
        <v>2168</v>
      </c>
      <c r="D353" s="44" t="s">
        <v>2169</v>
      </c>
      <c r="E353" s="408" t="s">
        <v>557</v>
      </c>
      <c r="F353" s="45" t="s">
        <v>58</v>
      </c>
      <c r="G353" s="44" t="s">
        <v>59</v>
      </c>
      <c r="H353" s="44" t="s">
        <v>57</v>
      </c>
      <c r="I353" s="46" t="s">
        <v>61</v>
      </c>
      <c r="J353" s="46" t="s">
        <v>62</v>
      </c>
      <c r="K353" s="44" t="s">
        <v>558</v>
      </c>
      <c r="L353" s="66" t="s">
        <v>559</v>
      </c>
      <c r="M353" s="44" t="s">
        <v>2172</v>
      </c>
      <c r="N353" s="59" t="s">
        <v>275</v>
      </c>
      <c r="O353" s="48" t="s">
        <v>196</v>
      </c>
      <c r="P353" s="44" t="s">
        <v>561</v>
      </c>
      <c r="Q353" s="391" t="s">
        <v>562</v>
      </c>
      <c r="R353" s="391" t="s">
        <v>563</v>
      </c>
      <c r="S353" s="393" t="s">
        <v>564</v>
      </c>
      <c r="T353" s="391" t="s">
        <v>565</v>
      </c>
      <c r="U353" s="25" t="s">
        <v>566</v>
      </c>
      <c r="V353" s="391" t="s">
        <v>282</v>
      </c>
      <c r="W353" s="392" t="s">
        <v>283</v>
      </c>
      <c r="X353" s="391" t="s">
        <v>284</v>
      </c>
      <c r="Y353" s="49" t="s">
        <v>285</v>
      </c>
      <c r="Z353" s="391" t="s">
        <v>286</v>
      </c>
      <c r="AA353" s="393" t="s">
        <v>286</v>
      </c>
      <c r="AB353" s="391" t="s">
        <v>287</v>
      </c>
      <c r="AC353" s="391" t="s">
        <v>288</v>
      </c>
      <c r="AD353" s="49" t="s">
        <v>289</v>
      </c>
      <c r="AE353" s="58" t="s">
        <v>290</v>
      </c>
      <c r="AF353" s="56" t="s">
        <v>291</v>
      </c>
      <c r="AG353" s="391" t="s">
        <v>292</v>
      </c>
      <c r="AH353" s="391" t="s">
        <v>293</v>
      </c>
      <c r="AI353" s="396" t="s">
        <v>215</v>
      </c>
      <c r="AJ353" s="391" t="s">
        <v>216</v>
      </c>
      <c r="AK353" s="397" t="s">
        <v>217</v>
      </c>
      <c r="AL353" s="398" t="s">
        <v>218</v>
      </c>
      <c r="AM353" s="399" t="s">
        <v>219</v>
      </c>
      <c r="AN353" s="400" t="s">
        <v>220</v>
      </c>
      <c r="AO353" s="401" t="s">
        <v>221</v>
      </c>
      <c r="AP353" s="51" t="s">
        <v>138</v>
      </c>
      <c r="AQ353" s="402" t="s">
        <v>139</v>
      </c>
      <c r="AR353" s="397" t="s">
        <v>140</v>
      </c>
      <c r="AS353" s="22" t="s">
        <v>141</v>
      </c>
      <c r="AT353" s="398" t="s">
        <v>142</v>
      </c>
      <c r="AU353" s="403" t="s">
        <v>143</v>
      </c>
      <c r="AV353" s="404" t="s">
        <v>144</v>
      </c>
      <c r="AW353" s="405" t="s">
        <v>145</v>
      </c>
      <c r="AX353" s="406" t="s">
        <v>146</v>
      </c>
      <c r="AY353" s="407" t="s">
        <v>147</v>
      </c>
      <c r="AZ353" s="404" t="s">
        <v>567</v>
      </c>
      <c r="BA353" s="34" t="s">
        <v>320</v>
      </c>
      <c r="BB353" s="591" t="str">
        <f t="shared" si="25"/>
        <v>TEMPLATE</v>
      </c>
      <c r="BC353" s="591" t="str">
        <f t="shared" si="26"/>
        <v>16. Councils &amp; Supreme Committees-COM-NCA-ECC-2:2024</v>
      </c>
      <c r="BD353" s="591" t="str">
        <f t="shared" si="27"/>
        <v>COM-NCA-ECC-2-2024</v>
      </c>
      <c r="BE353" s="591" t="str">
        <f t="shared" si="28"/>
        <v>NCA-ECC-2-2024</v>
      </c>
      <c r="BF353" s="594">
        <f t="shared" si="29"/>
        <v>6</v>
      </c>
    </row>
    <row r="354" spans="1:58" ht="42" customHeight="1" x14ac:dyDescent="0.45">
      <c r="A354" s="389">
        <v>307</v>
      </c>
      <c r="B354" s="390" t="s">
        <v>2173</v>
      </c>
      <c r="C354" s="391" t="s">
        <v>2174</v>
      </c>
      <c r="D354" s="391" t="s">
        <v>2169</v>
      </c>
      <c r="E354" s="390" t="s">
        <v>2175</v>
      </c>
      <c r="F354" s="392" t="s">
        <v>2176</v>
      </c>
      <c r="G354" s="391" t="s">
        <v>1898</v>
      </c>
      <c r="H354" s="391" t="s">
        <v>1746</v>
      </c>
      <c r="I354" s="393" t="s">
        <v>1024</v>
      </c>
      <c r="J354" s="393" t="s">
        <v>310</v>
      </c>
      <c r="K354" s="391" t="s">
        <v>63</v>
      </c>
      <c r="L354" s="22" t="s">
        <v>64</v>
      </c>
      <c r="M354" s="391" t="s">
        <v>1900</v>
      </c>
      <c r="N354" s="394" t="s">
        <v>253</v>
      </c>
      <c r="O354" s="395" t="s">
        <v>1901</v>
      </c>
      <c r="P354" s="391" t="s">
        <v>1902</v>
      </c>
      <c r="Q354" s="391" t="s">
        <v>562</v>
      </c>
      <c r="R354" s="391" t="s">
        <v>563</v>
      </c>
      <c r="S354" s="393" t="s">
        <v>564</v>
      </c>
      <c r="T354" s="391" t="s">
        <v>565</v>
      </c>
      <c r="U354" s="25" t="s">
        <v>566</v>
      </c>
      <c r="V354" s="391" t="s">
        <v>282</v>
      </c>
      <c r="W354" s="392" t="s">
        <v>283</v>
      </c>
      <c r="X354" s="391" t="s">
        <v>284</v>
      </c>
      <c r="Y354" s="49" t="s">
        <v>285</v>
      </c>
      <c r="Z354" s="391" t="s">
        <v>286</v>
      </c>
      <c r="AA354" s="393" t="s">
        <v>286</v>
      </c>
      <c r="AB354" s="391" t="s">
        <v>287</v>
      </c>
      <c r="AC354" s="391" t="s">
        <v>288</v>
      </c>
      <c r="AD354" s="49" t="s">
        <v>289</v>
      </c>
      <c r="AE354" s="58" t="s">
        <v>290</v>
      </c>
      <c r="AF354" s="56" t="s">
        <v>291</v>
      </c>
      <c r="AG354" s="391" t="s">
        <v>292</v>
      </c>
      <c r="AH354" s="391" t="s">
        <v>293</v>
      </c>
      <c r="AI354" s="396" t="s">
        <v>215</v>
      </c>
      <c r="AJ354" s="391" t="s">
        <v>216</v>
      </c>
      <c r="AK354" s="397" t="s">
        <v>217</v>
      </c>
      <c r="AL354" s="398" t="s">
        <v>218</v>
      </c>
      <c r="AM354" s="399" t="s">
        <v>219</v>
      </c>
      <c r="AN354" s="400" t="s">
        <v>220</v>
      </c>
      <c r="AO354" s="401" t="s">
        <v>221</v>
      </c>
      <c r="AP354" s="51" t="s">
        <v>138</v>
      </c>
      <c r="AQ354" s="402" t="s">
        <v>139</v>
      </c>
      <c r="AR354" s="397" t="s">
        <v>140</v>
      </c>
      <c r="AS354" s="22" t="s">
        <v>141</v>
      </c>
      <c r="AT354" s="398" t="s">
        <v>142</v>
      </c>
      <c r="AU354" s="403" t="s">
        <v>143</v>
      </c>
      <c r="AV354" s="404" t="s">
        <v>144</v>
      </c>
      <c r="AW354" s="405" t="s">
        <v>145</v>
      </c>
      <c r="AX354" s="406" t="s">
        <v>146</v>
      </c>
      <c r="AY354" s="407" t="s">
        <v>147</v>
      </c>
      <c r="AZ354" s="404" t="s">
        <v>104</v>
      </c>
      <c r="BA354" s="41" t="s">
        <v>105</v>
      </c>
      <c r="BB354" s="591" t="str">
        <f t="shared" si="25"/>
        <v>TEMPLATE</v>
      </c>
      <c r="BC354" s="591" t="str">
        <f t="shared" si="26"/>
        <v>16. Councils &amp; Supreme Committees-SHURA-SHURA-FW</v>
      </c>
      <c r="BD354" s="591" t="str">
        <f t="shared" si="27"/>
        <v>SHURA-SHURA-FW</v>
      </c>
      <c r="BE354" s="591" t="str">
        <f t="shared" si="28"/>
        <v>NONE</v>
      </c>
      <c r="BF354" s="594">
        <f t="shared" si="29"/>
        <v>7</v>
      </c>
    </row>
    <row r="355" spans="1:58" ht="42" customHeight="1" x14ac:dyDescent="0.45">
      <c r="A355" s="42">
        <v>308</v>
      </c>
      <c r="B355" s="408" t="s">
        <v>2173</v>
      </c>
      <c r="C355" s="44" t="s">
        <v>2174</v>
      </c>
      <c r="D355" s="44" t="s">
        <v>2169</v>
      </c>
      <c r="E355" s="408" t="s">
        <v>557</v>
      </c>
      <c r="F355" s="45" t="s">
        <v>58</v>
      </c>
      <c r="G355" s="44" t="s">
        <v>59</v>
      </c>
      <c r="H355" s="44" t="s">
        <v>57</v>
      </c>
      <c r="I355" s="46" t="s">
        <v>61</v>
      </c>
      <c r="J355" s="46" t="s">
        <v>62</v>
      </c>
      <c r="K355" s="44" t="s">
        <v>558</v>
      </c>
      <c r="L355" s="66" t="s">
        <v>559</v>
      </c>
      <c r="M355" s="44" t="s">
        <v>2177</v>
      </c>
      <c r="N355" s="59" t="s">
        <v>275</v>
      </c>
      <c r="O355" s="48" t="s">
        <v>196</v>
      </c>
      <c r="P355" s="44" t="s">
        <v>561</v>
      </c>
      <c r="Q355" s="391" t="s">
        <v>562</v>
      </c>
      <c r="R355" s="391" t="s">
        <v>563</v>
      </c>
      <c r="S355" s="393" t="s">
        <v>564</v>
      </c>
      <c r="T355" s="391" t="s">
        <v>565</v>
      </c>
      <c r="U355" s="25" t="s">
        <v>566</v>
      </c>
      <c r="V355" s="391" t="s">
        <v>282</v>
      </c>
      <c r="W355" s="392" t="s">
        <v>283</v>
      </c>
      <c r="X355" s="391" t="s">
        <v>284</v>
      </c>
      <c r="Y355" s="49" t="s">
        <v>285</v>
      </c>
      <c r="Z355" s="391" t="s">
        <v>286</v>
      </c>
      <c r="AA355" s="393" t="s">
        <v>286</v>
      </c>
      <c r="AB355" s="391" t="s">
        <v>287</v>
      </c>
      <c r="AC355" s="391" t="s">
        <v>288</v>
      </c>
      <c r="AD355" s="49" t="s">
        <v>289</v>
      </c>
      <c r="AE355" s="58" t="s">
        <v>290</v>
      </c>
      <c r="AF355" s="56" t="s">
        <v>291</v>
      </c>
      <c r="AG355" s="391" t="s">
        <v>292</v>
      </c>
      <c r="AH355" s="391" t="s">
        <v>293</v>
      </c>
      <c r="AI355" s="396" t="s">
        <v>215</v>
      </c>
      <c r="AJ355" s="391" t="s">
        <v>216</v>
      </c>
      <c r="AK355" s="397" t="s">
        <v>217</v>
      </c>
      <c r="AL355" s="398" t="s">
        <v>218</v>
      </c>
      <c r="AM355" s="399" t="s">
        <v>219</v>
      </c>
      <c r="AN355" s="400" t="s">
        <v>220</v>
      </c>
      <c r="AO355" s="401" t="s">
        <v>221</v>
      </c>
      <c r="AP355" s="51" t="s">
        <v>138</v>
      </c>
      <c r="AQ355" s="402" t="s">
        <v>139</v>
      </c>
      <c r="AR355" s="397" t="s">
        <v>140</v>
      </c>
      <c r="AS355" s="22" t="s">
        <v>141</v>
      </c>
      <c r="AT355" s="398" t="s">
        <v>142</v>
      </c>
      <c r="AU355" s="403" t="s">
        <v>143</v>
      </c>
      <c r="AV355" s="404" t="s">
        <v>144</v>
      </c>
      <c r="AW355" s="405" t="s">
        <v>145</v>
      </c>
      <c r="AX355" s="406" t="s">
        <v>146</v>
      </c>
      <c r="AY355" s="407" t="s">
        <v>147</v>
      </c>
      <c r="AZ355" s="404" t="s">
        <v>567</v>
      </c>
      <c r="BA355" s="34" t="s">
        <v>320</v>
      </c>
      <c r="BB355" s="591" t="str">
        <f t="shared" si="25"/>
        <v>TEMPLATE</v>
      </c>
      <c r="BC355" s="591" t="str">
        <f t="shared" si="26"/>
        <v>16. Councils &amp; Supreme Committees-SHURA-NCA-ECC-2:2024</v>
      </c>
      <c r="BD355" s="591" t="str">
        <f t="shared" si="27"/>
        <v>SHURA-NCA-ECC-2-2024</v>
      </c>
      <c r="BE355" s="591" t="str">
        <f t="shared" si="28"/>
        <v>NCA-ECC-2-2024</v>
      </c>
      <c r="BF355" s="594">
        <f t="shared" si="29"/>
        <v>6</v>
      </c>
    </row>
    <row r="356" spans="1:58" ht="42" customHeight="1" x14ac:dyDescent="0.45">
      <c r="A356" s="389">
        <v>309</v>
      </c>
      <c r="B356" s="390" t="s">
        <v>2178</v>
      </c>
      <c r="C356" s="391" t="s">
        <v>2179</v>
      </c>
      <c r="D356" s="391" t="s">
        <v>2169</v>
      </c>
      <c r="E356" s="390" t="s">
        <v>2180</v>
      </c>
      <c r="F356" s="392" t="s">
        <v>2181</v>
      </c>
      <c r="G356" s="391" t="s">
        <v>1898</v>
      </c>
      <c r="H356" s="391" t="s">
        <v>1746</v>
      </c>
      <c r="I356" s="393" t="s">
        <v>1202</v>
      </c>
      <c r="J356" s="393" t="s">
        <v>310</v>
      </c>
      <c r="K356" s="391" t="s">
        <v>63</v>
      </c>
      <c r="L356" s="22" t="s">
        <v>64</v>
      </c>
      <c r="M356" s="391" t="s">
        <v>1900</v>
      </c>
      <c r="N356" s="394" t="s">
        <v>253</v>
      </c>
      <c r="O356" s="395" t="s">
        <v>1901</v>
      </c>
      <c r="P356" s="391" t="s">
        <v>1902</v>
      </c>
      <c r="Q356" s="391" t="s">
        <v>562</v>
      </c>
      <c r="R356" s="391" t="s">
        <v>563</v>
      </c>
      <c r="S356" s="393" t="s">
        <v>564</v>
      </c>
      <c r="T356" s="391" t="s">
        <v>565</v>
      </c>
      <c r="U356" s="25" t="s">
        <v>566</v>
      </c>
      <c r="V356" s="391" t="s">
        <v>282</v>
      </c>
      <c r="W356" s="392" t="s">
        <v>283</v>
      </c>
      <c r="X356" s="391" t="s">
        <v>284</v>
      </c>
      <c r="Y356" s="49" t="s">
        <v>285</v>
      </c>
      <c r="Z356" s="391" t="s">
        <v>286</v>
      </c>
      <c r="AA356" s="393" t="s">
        <v>286</v>
      </c>
      <c r="AB356" s="391" t="s">
        <v>287</v>
      </c>
      <c r="AC356" s="391" t="s">
        <v>288</v>
      </c>
      <c r="AD356" s="49" t="s">
        <v>289</v>
      </c>
      <c r="AE356" s="58" t="s">
        <v>290</v>
      </c>
      <c r="AF356" s="56" t="s">
        <v>291</v>
      </c>
      <c r="AG356" s="391" t="s">
        <v>292</v>
      </c>
      <c r="AH356" s="391" t="s">
        <v>293</v>
      </c>
      <c r="AI356" s="396" t="s">
        <v>215</v>
      </c>
      <c r="AJ356" s="391" t="s">
        <v>216</v>
      </c>
      <c r="AK356" s="397" t="s">
        <v>217</v>
      </c>
      <c r="AL356" s="398" t="s">
        <v>218</v>
      </c>
      <c r="AM356" s="399" t="s">
        <v>219</v>
      </c>
      <c r="AN356" s="400" t="s">
        <v>220</v>
      </c>
      <c r="AO356" s="401" t="s">
        <v>221</v>
      </c>
      <c r="AP356" s="51" t="s">
        <v>138</v>
      </c>
      <c r="AQ356" s="402" t="s">
        <v>139</v>
      </c>
      <c r="AR356" s="397" t="s">
        <v>140</v>
      </c>
      <c r="AS356" s="22" t="s">
        <v>141</v>
      </c>
      <c r="AT356" s="398" t="s">
        <v>142</v>
      </c>
      <c r="AU356" s="403" t="s">
        <v>143</v>
      </c>
      <c r="AV356" s="404" t="s">
        <v>144</v>
      </c>
      <c r="AW356" s="405" t="s">
        <v>145</v>
      </c>
      <c r="AX356" s="406" t="s">
        <v>146</v>
      </c>
      <c r="AY356" s="407" t="s">
        <v>147</v>
      </c>
      <c r="AZ356" s="404" t="s">
        <v>104</v>
      </c>
      <c r="BA356" s="41" t="s">
        <v>105</v>
      </c>
      <c r="BB356" s="591" t="str">
        <f t="shared" si="25"/>
        <v>TEMPLATE</v>
      </c>
      <c r="BC356" s="591" t="str">
        <f t="shared" si="26"/>
        <v>16. Councils &amp; Supreme Committees-V2030-V2030-FW</v>
      </c>
      <c r="BD356" s="591" t="str">
        <f t="shared" si="27"/>
        <v>V2030-V2030-FW</v>
      </c>
      <c r="BE356" s="591" t="str">
        <f t="shared" si="28"/>
        <v>NONE</v>
      </c>
      <c r="BF356" s="594">
        <f t="shared" si="29"/>
        <v>7</v>
      </c>
    </row>
    <row r="357" spans="1:58" ht="42" customHeight="1" x14ac:dyDescent="0.45">
      <c r="A357" s="42">
        <v>310</v>
      </c>
      <c r="B357" s="408" t="s">
        <v>2178</v>
      </c>
      <c r="C357" s="44" t="s">
        <v>2179</v>
      </c>
      <c r="D357" s="44" t="s">
        <v>2169</v>
      </c>
      <c r="E357" s="408" t="s">
        <v>557</v>
      </c>
      <c r="F357" s="45" t="s">
        <v>58</v>
      </c>
      <c r="G357" s="44" t="s">
        <v>59</v>
      </c>
      <c r="H357" s="44" t="s">
        <v>57</v>
      </c>
      <c r="I357" s="46" t="s">
        <v>61</v>
      </c>
      <c r="J357" s="46" t="s">
        <v>62</v>
      </c>
      <c r="K357" s="44" t="s">
        <v>558</v>
      </c>
      <c r="L357" s="66" t="s">
        <v>559</v>
      </c>
      <c r="M357" s="44" t="s">
        <v>2182</v>
      </c>
      <c r="N357" s="59" t="s">
        <v>275</v>
      </c>
      <c r="O357" s="48" t="s">
        <v>196</v>
      </c>
      <c r="P357" s="44" t="s">
        <v>561</v>
      </c>
      <c r="Q357" s="391" t="s">
        <v>562</v>
      </c>
      <c r="R357" s="391" t="s">
        <v>563</v>
      </c>
      <c r="S357" s="393" t="s">
        <v>564</v>
      </c>
      <c r="T357" s="391" t="s">
        <v>565</v>
      </c>
      <c r="U357" s="25" t="s">
        <v>566</v>
      </c>
      <c r="V357" s="391" t="s">
        <v>282</v>
      </c>
      <c r="W357" s="392" t="s">
        <v>283</v>
      </c>
      <c r="X357" s="391" t="s">
        <v>284</v>
      </c>
      <c r="Y357" s="49" t="s">
        <v>285</v>
      </c>
      <c r="Z357" s="391" t="s">
        <v>286</v>
      </c>
      <c r="AA357" s="393" t="s">
        <v>286</v>
      </c>
      <c r="AB357" s="391" t="s">
        <v>287</v>
      </c>
      <c r="AC357" s="391" t="s">
        <v>288</v>
      </c>
      <c r="AD357" s="49" t="s">
        <v>289</v>
      </c>
      <c r="AE357" s="58" t="s">
        <v>290</v>
      </c>
      <c r="AF357" s="56" t="s">
        <v>291</v>
      </c>
      <c r="AG357" s="391" t="s">
        <v>292</v>
      </c>
      <c r="AH357" s="391" t="s">
        <v>293</v>
      </c>
      <c r="AI357" s="396" t="s">
        <v>215</v>
      </c>
      <c r="AJ357" s="391" t="s">
        <v>216</v>
      </c>
      <c r="AK357" s="397" t="s">
        <v>217</v>
      </c>
      <c r="AL357" s="398" t="s">
        <v>218</v>
      </c>
      <c r="AM357" s="399" t="s">
        <v>219</v>
      </c>
      <c r="AN357" s="400" t="s">
        <v>220</v>
      </c>
      <c r="AO357" s="401" t="s">
        <v>221</v>
      </c>
      <c r="AP357" s="51" t="s">
        <v>138</v>
      </c>
      <c r="AQ357" s="402" t="s">
        <v>139</v>
      </c>
      <c r="AR357" s="397" t="s">
        <v>140</v>
      </c>
      <c r="AS357" s="22" t="s">
        <v>141</v>
      </c>
      <c r="AT357" s="398" t="s">
        <v>142</v>
      </c>
      <c r="AU357" s="403" t="s">
        <v>143</v>
      </c>
      <c r="AV357" s="404" t="s">
        <v>144</v>
      </c>
      <c r="AW357" s="405" t="s">
        <v>145</v>
      </c>
      <c r="AX357" s="406" t="s">
        <v>146</v>
      </c>
      <c r="AY357" s="407" t="s">
        <v>147</v>
      </c>
      <c r="AZ357" s="404" t="s">
        <v>567</v>
      </c>
      <c r="BA357" s="34" t="s">
        <v>320</v>
      </c>
      <c r="BB357" s="591" t="str">
        <f t="shared" si="25"/>
        <v>TEMPLATE</v>
      </c>
      <c r="BC357" s="591" t="str">
        <f t="shared" si="26"/>
        <v>16. Councils &amp; Supreme Committees-V2030-NCA-ECC-2:2024</v>
      </c>
      <c r="BD357" s="591" t="str">
        <f t="shared" si="27"/>
        <v>V2030-NCA-ECC-2-2024</v>
      </c>
      <c r="BE357" s="591" t="str">
        <f t="shared" si="28"/>
        <v>NCA-ECC-2-2024</v>
      </c>
      <c r="BF357" s="594">
        <f t="shared" si="29"/>
        <v>6</v>
      </c>
    </row>
    <row r="358" spans="1:58" ht="42" customHeight="1" x14ac:dyDescent="0.45">
      <c r="A358" s="389">
        <v>311</v>
      </c>
      <c r="B358" s="390" t="s">
        <v>2183</v>
      </c>
      <c r="C358" s="391" t="s">
        <v>2184</v>
      </c>
      <c r="D358" s="391" t="s">
        <v>2169</v>
      </c>
      <c r="E358" s="390" t="s">
        <v>2185</v>
      </c>
      <c r="F358" s="392" t="s">
        <v>2186</v>
      </c>
      <c r="G358" s="391" t="s">
        <v>1898</v>
      </c>
      <c r="H358" s="391" t="s">
        <v>1746</v>
      </c>
      <c r="I358" s="393" t="s">
        <v>61</v>
      </c>
      <c r="J358" s="393" t="s">
        <v>310</v>
      </c>
      <c r="K358" s="391" t="s">
        <v>63</v>
      </c>
      <c r="L358" s="22" t="s">
        <v>64</v>
      </c>
      <c r="M358" s="391" t="s">
        <v>1900</v>
      </c>
      <c r="N358" s="394" t="s">
        <v>253</v>
      </c>
      <c r="O358" s="395" t="s">
        <v>1901</v>
      </c>
      <c r="P358" s="391" t="s">
        <v>1902</v>
      </c>
      <c r="Q358" s="391" t="s">
        <v>562</v>
      </c>
      <c r="R358" s="391" t="s">
        <v>563</v>
      </c>
      <c r="S358" s="393" t="s">
        <v>564</v>
      </c>
      <c r="T358" s="391" t="s">
        <v>565</v>
      </c>
      <c r="U358" s="25" t="s">
        <v>566</v>
      </c>
      <c r="V358" s="391" t="s">
        <v>282</v>
      </c>
      <c r="W358" s="392" t="s">
        <v>283</v>
      </c>
      <c r="X358" s="391" t="s">
        <v>284</v>
      </c>
      <c r="Y358" s="49" t="s">
        <v>285</v>
      </c>
      <c r="Z358" s="391" t="s">
        <v>286</v>
      </c>
      <c r="AA358" s="393" t="s">
        <v>286</v>
      </c>
      <c r="AB358" s="391" t="s">
        <v>287</v>
      </c>
      <c r="AC358" s="391" t="s">
        <v>288</v>
      </c>
      <c r="AD358" s="49" t="s">
        <v>289</v>
      </c>
      <c r="AE358" s="58" t="s">
        <v>290</v>
      </c>
      <c r="AF358" s="56" t="s">
        <v>291</v>
      </c>
      <c r="AG358" s="391" t="s">
        <v>292</v>
      </c>
      <c r="AH358" s="391" t="s">
        <v>293</v>
      </c>
      <c r="AI358" s="396" t="s">
        <v>215</v>
      </c>
      <c r="AJ358" s="391" t="s">
        <v>216</v>
      </c>
      <c r="AK358" s="397" t="s">
        <v>217</v>
      </c>
      <c r="AL358" s="398" t="s">
        <v>218</v>
      </c>
      <c r="AM358" s="399" t="s">
        <v>219</v>
      </c>
      <c r="AN358" s="400" t="s">
        <v>220</v>
      </c>
      <c r="AO358" s="401" t="s">
        <v>221</v>
      </c>
      <c r="AP358" s="51" t="s">
        <v>138</v>
      </c>
      <c r="AQ358" s="402" t="s">
        <v>139</v>
      </c>
      <c r="AR358" s="397" t="s">
        <v>140</v>
      </c>
      <c r="AS358" s="22" t="s">
        <v>141</v>
      </c>
      <c r="AT358" s="398" t="s">
        <v>142</v>
      </c>
      <c r="AU358" s="403" t="s">
        <v>143</v>
      </c>
      <c r="AV358" s="404" t="s">
        <v>144</v>
      </c>
      <c r="AW358" s="405" t="s">
        <v>145</v>
      </c>
      <c r="AX358" s="406" t="s">
        <v>146</v>
      </c>
      <c r="AY358" s="407" t="s">
        <v>147</v>
      </c>
      <c r="AZ358" s="404" t="s">
        <v>104</v>
      </c>
      <c r="BA358" s="41" t="s">
        <v>105</v>
      </c>
      <c r="BB358" s="591" t="str">
        <f t="shared" si="25"/>
        <v>TEMPLATE</v>
      </c>
      <c r="BC358" s="591" t="str">
        <f t="shared" si="26"/>
        <v>16. Councils &amp; Supreme Committees-SBC-SBC-FW</v>
      </c>
      <c r="BD358" s="591" t="str">
        <f t="shared" si="27"/>
        <v>SBC-SBC-FW</v>
      </c>
      <c r="BE358" s="591" t="str">
        <f t="shared" si="28"/>
        <v>NONE</v>
      </c>
      <c r="BF358" s="594">
        <f t="shared" si="29"/>
        <v>7</v>
      </c>
    </row>
    <row r="359" spans="1:58" ht="42" customHeight="1" x14ac:dyDescent="0.45">
      <c r="A359" s="42">
        <v>312</v>
      </c>
      <c r="B359" s="408" t="s">
        <v>2183</v>
      </c>
      <c r="C359" s="44" t="s">
        <v>2184</v>
      </c>
      <c r="D359" s="44" t="s">
        <v>2169</v>
      </c>
      <c r="E359" s="408" t="s">
        <v>557</v>
      </c>
      <c r="F359" s="45" t="s">
        <v>58</v>
      </c>
      <c r="G359" s="44" t="s">
        <v>59</v>
      </c>
      <c r="H359" s="44" t="s">
        <v>57</v>
      </c>
      <c r="I359" s="46" t="s">
        <v>61</v>
      </c>
      <c r="J359" s="46" t="s">
        <v>62</v>
      </c>
      <c r="K359" s="44" t="s">
        <v>558</v>
      </c>
      <c r="L359" s="66" t="s">
        <v>559</v>
      </c>
      <c r="M359" s="44" t="s">
        <v>2187</v>
      </c>
      <c r="N359" s="59" t="s">
        <v>275</v>
      </c>
      <c r="O359" s="48" t="s">
        <v>196</v>
      </c>
      <c r="P359" s="44" t="s">
        <v>561</v>
      </c>
      <c r="Q359" s="391" t="s">
        <v>562</v>
      </c>
      <c r="R359" s="391" t="s">
        <v>563</v>
      </c>
      <c r="S359" s="393" t="s">
        <v>564</v>
      </c>
      <c r="T359" s="391" t="s">
        <v>565</v>
      </c>
      <c r="U359" s="25" t="s">
        <v>566</v>
      </c>
      <c r="V359" s="391" t="s">
        <v>282</v>
      </c>
      <c r="W359" s="392" t="s">
        <v>283</v>
      </c>
      <c r="X359" s="391" t="s">
        <v>284</v>
      </c>
      <c r="Y359" s="49" t="s">
        <v>285</v>
      </c>
      <c r="Z359" s="391" t="s">
        <v>286</v>
      </c>
      <c r="AA359" s="393" t="s">
        <v>286</v>
      </c>
      <c r="AB359" s="391" t="s">
        <v>287</v>
      </c>
      <c r="AC359" s="391" t="s">
        <v>288</v>
      </c>
      <c r="AD359" s="49" t="s">
        <v>289</v>
      </c>
      <c r="AE359" s="58" t="s">
        <v>290</v>
      </c>
      <c r="AF359" s="56" t="s">
        <v>291</v>
      </c>
      <c r="AG359" s="391" t="s">
        <v>292</v>
      </c>
      <c r="AH359" s="391" t="s">
        <v>293</v>
      </c>
      <c r="AI359" s="396" t="s">
        <v>215</v>
      </c>
      <c r="AJ359" s="391" t="s">
        <v>216</v>
      </c>
      <c r="AK359" s="397" t="s">
        <v>217</v>
      </c>
      <c r="AL359" s="398" t="s">
        <v>218</v>
      </c>
      <c r="AM359" s="399" t="s">
        <v>219</v>
      </c>
      <c r="AN359" s="400" t="s">
        <v>220</v>
      </c>
      <c r="AO359" s="401" t="s">
        <v>221</v>
      </c>
      <c r="AP359" s="51" t="s">
        <v>138</v>
      </c>
      <c r="AQ359" s="402" t="s">
        <v>139</v>
      </c>
      <c r="AR359" s="397" t="s">
        <v>140</v>
      </c>
      <c r="AS359" s="22" t="s">
        <v>141</v>
      </c>
      <c r="AT359" s="398" t="s">
        <v>142</v>
      </c>
      <c r="AU359" s="403" t="s">
        <v>143</v>
      </c>
      <c r="AV359" s="404" t="s">
        <v>144</v>
      </c>
      <c r="AW359" s="405" t="s">
        <v>145</v>
      </c>
      <c r="AX359" s="406" t="s">
        <v>146</v>
      </c>
      <c r="AY359" s="407" t="s">
        <v>147</v>
      </c>
      <c r="AZ359" s="404" t="s">
        <v>567</v>
      </c>
      <c r="BA359" s="34" t="s">
        <v>320</v>
      </c>
      <c r="BB359" s="591" t="str">
        <f t="shared" si="25"/>
        <v>TEMPLATE</v>
      </c>
      <c r="BC359" s="591" t="str">
        <f t="shared" si="26"/>
        <v>16. Councils &amp; Supreme Committees-SBC-NCA-ECC-2:2024</v>
      </c>
      <c r="BD359" s="591" t="str">
        <f t="shared" si="27"/>
        <v>SBC-NCA-ECC-2-2024</v>
      </c>
      <c r="BE359" s="591" t="str">
        <f t="shared" si="28"/>
        <v>NCA-ECC-2-2024</v>
      </c>
      <c r="BF359" s="594">
        <f t="shared" si="29"/>
        <v>6</v>
      </c>
    </row>
    <row r="360" spans="1:58" x14ac:dyDescent="0.45">
      <c r="BB360" s="591" t="str">
        <f t="shared" si="25"/>
        <v/>
      </c>
      <c r="BC360" s="591" t="str">
        <f t="shared" si="26"/>
        <v/>
      </c>
      <c r="BD360" s="591" t="str">
        <f t="shared" si="27"/>
        <v/>
      </c>
      <c r="BE360" s="591" t="str">
        <f t="shared" si="28"/>
        <v/>
      </c>
      <c r="BF360" s="594" t="str">
        <f t="shared" si="29"/>
        <v/>
      </c>
    </row>
    <row r="361" spans="1:58" ht="19.5" customHeight="1" x14ac:dyDescent="0.45">
      <c r="A361" s="409"/>
      <c r="B361" s="410" t="s">
        <v>2188</v>
      </c>
      <c r="C361" s="409"/>
      <c r="D361" s="409"/>
      <c r="E361" s="409"/>
      <c r="F361" s="409"/>
      <c r="G361" s="409"/>
      <c r="H361" s="409"/>
      <c r="I361" s="409"/>
      <c r="J361" s="409"/>
      <c r="K361" s="409"/>
      <c r="L361" s="409"/>
      <c r="M361" s="409"/>
      <c r="N361" s="409"/>
      <c r="O361" s="409"/>
      <c r="P361" s="409"/>
      <c r="BB361" s="591" t="str">
        <f t="shared" si="25"/>
        <v/>
      </c>
      <c r="BC361" s="591" t="str">
        <f t="shared" si="26"/>
        <v/>
      </c>
      <c r="BD361" s="591" t="str">
        <f t="shared" si="27"/>
        <v/>
      </c>
      <c r="BE361" s="591" t="str">
        <f t="shared" si="28"/>
        <v/>
      </c>
      <c r="BF361" s="594" t="str">
        <f t="shared" si="29"/>
        <v/>
      </c>
    </row>
    <row r="362" spans="1:58" ht="42" customHeight="1" x14ac:dyDescent="0.45">
      <c r="A362" s="84">
        <v>313</v>
      </c>
      <c r="B362" s="411" t="s">
        <v>2189</v>
      </c>
      <c r="C362" s="70" t="s">
        <v>2190</v>
      </c>
      <c r="D362" s="70" t="s">
        <v>2191</v>
      </c>
      <c r="E362" s="411" t="s">
        <v>586</v>
      </c>
      <c r="F362" s="72" t="s">
        <v>587</v>
      </c>
      <c r="G362" s="70" t="s">
        <v>588</v>
      </c>
      <c r="H362" s="70" t="s">
        <v>589</v>
      </c>
      <c r="I362" s="71" t="s">
        <v>590</v>
      </c>
      <c r="J362" s="71" t="s">
        <v>591</v>
      </c>
      <c r="K362" s="70" t="s">
        <v>558</v>
      </c>
      <c r="L362" s="66" t="s">
        <v>559</v>
      </c>
      <c r="M362" s="70" t="s">
        <v>2192</v>
      </c>
      <c r="N362" s="86" t="s">
        <v>66</v>
      </c>
      <c r="O362" s="87" t="s">
        <v>593</v>
      </c>
      <c r="P362" s="70" t="s">
        <v>661</v>
      </c>
      <c r="Q362" s="70" t="s">
        <v>595</v>
      </c>
      <c r="R362" s="70" t="s">
        <v>596</v>
      </c>
      <c r="S362" s="71" t="s">
        <v>597</v>
      </c>
      <c r="T362" s="70" t="s">
        <v>598</v>
      </c>
      <c r="U362" s="25" t="s">
        <v>599</v>
      </c>
      <c r="V362" s="70" t="s">
        <v>600</v>
      </c>
      <c r="W362" s="72" t="s">
        <v>601</v>
      </c>
      <c r="X362" s="70" t="s">
        <v>602</v>
      </c>
      <c r="Y362" s="49" t="s">
        <v>603</v>
      </c>
      <c r="Z362" s="70" t="s">
        <v>604</v>
      </c>
      <c r="AA362" s="71" t="s">
        <v>605</v>
      </c>
      <c r="AB362" s="70" t="s">
        <v>606</v>
      </c>
      <c r="AC362" s="70" t="s">
        <v>607</v>
      </c>
      <c r="AD362" s="49" t="s">
        <v>608</v>
      </c>
      <c r="AE362" s="26" t="s">
        <v>609</v>
      </c>
      <c r="AF362" s="27" t="s">
        <v>610</v>
      </c>
      <c r="AG362" s="70" t="s">
        <v>611</v>
      </c>
      <c r="AH362" s="70" t="s">
        <v>612</v>
      </c>
      <c r="AI362" s="73" t="s">
        <v>613</v>
      </c>
      <c r="AJ362" s="70" t="s">
        <v>614</v>
      </c>
      <c r="AK362" s="74" t="s">
        <v>615</v>
      </c>
      <c r="AL362" s="75" t="s">
        <v>616</v>
      </c>
      <c r="AM362" s="76" t="s">
        <v>617</v>
      </c>
      <c r="AN362" s="50" t="s">
        <v>618</v>
      </c>
      <c r="AO362" s="77" t="s">
        <v>619</v>
      </c>
      <c r="AP362" s="34" t="s">
        <v>620</v>
      </c>
      <c r="AQ362" s="78" t="s">
        <v>621</v>
      </c>
      <c r="AR362" s="74" t="s">
        <v>622</v>
      </c>
      <c r="AS362" s="61" t="s">
        <v>623</v>
      </c>
      <c r="AT362" s="75" t="s">
        <v>624</v>
      </c>
      <c r="AU362" s="79" t="s">
        <v>625</v>
      </c>
      <c r="AV362" s="80" t="s">
        <v>626</v>
      </c>
      <c r="AW362" s="81" t="s">
        <v>627</v>
      </c>
      <c r="AX362" s="82" t="s">
        <v>628</v>
      </c>
      <c r="AY362" s="83" t="s">
        <v>629</v>
      </c>
      <c r="AZ362" s="80" t="s">
        <v>585</v>
      </c>
      <c r="BA362" s="41" t="s">
        <v>105</v>
      </c>
      <c r="BB362" s="591" t="str">
        <f t="shared" si="25"/>
        <v>DEEP</v>
      </c>
      <c r="BC362" s="591" t="str">
        <f t="shared" si="26"/>
        <v>17. Regional Health Clusters-RHC1-MOH-HIS</v>
      </c>
      <c r="BD362" s="591" t="str">
        <f t="shared" si="27"/>
        <v>RHC1-MOH-HIS</v>
      </c>
      <c r="BE362" s="591" t="str">
        <f t="shared" si="28"/>
        <v>NONE</v>
      </c>
      <c r="BF362" s="594">
        <f t="shared" si="29"/>
        <v>18</v>
      </c>
    </row>
    <row r="363" spans="1:58" ht="42" customHeight="1" x14ac:dyDescent="0.45">
      <c r="A363" s="42">
        <v>314</v>
      </c>
      <c r="B363" s="412" t="s">
        <v>2189</v>
      </c>
      <c r="C363" s="44" t="s">
        <v>2190</v>
      </c>
      <c r="D363" s="44" t="s">
        <v>2191</v>
      </c>
      <c r="E363" s="412" t="s">
        <v>630</v>
      </c>
      <c r="F363" s="45" t="s">
        <v>2193</v>
      </c>
      <c r="G363" s="44" t="s">
        <v>2194</v>
      </c>
      <c r="H363" s="44" t="s">
        <v>633</v>
      </c>
      <c r="I363" s="46" t="s">
        <v>590</v>
      </c>
      <c r="J363" s="46" t="s">
        <v>634</v>
      </c>
      <c r="K363" s="44" t="s">
        <v>558</v>
      </c>
      <c r="L363" s="66" t="s">
        <v>559</v>
      </c>
      <c r="M363" s="44" t="s">
        <v>2195</v>
      </c>
      <c r="N363" s="47" t="s">
        <v>66</v>
      </c>
      <c r="O363" s="48" t="s">
        <v>593</v>
      </c>
      <c r="P363" s="44" t="s">
        <v>2196</v>
      </c>
      <c r="Q363" s="70" t="s">
        <v>637</v>
      </c>
      <c r="R363" s="70" t="s">
        <v>638</v>
      </c>
      <c r="S363" s="71" t="s">
        <v>639</v>
      </c>
      <c r="T363" s="70" t="s">
        <v>640</v>
      </c>
      <c r="U363" s="25" t="s">
        <v>641</v>
      </c>
      <c r="V363" s="70" t="s">
        <v>642</v>
      </c>
      <c r="W363" s="72" t="s">
        <v>643</v>
      </c>
      <c r="X363" s="70" t="s">
        <v>644</v>
      </c>
      <c r="Y363" s="49" t="s">
        <v>645</v>
      </c>
      <c r="Z363" s="70" t="s">
        <v>646</v>
      </c>
      <c r="AA363" s="71" t="s">
        <v>647</v>
      </c>
      <c r="AB363" s="70" t="s">
        <v>648</v>
      </c>
      <c r="AC363" s="70" t="s">
        <v>649</v>
      </c>
      <c r="AD363" s="49" t="s">
        <v>650</v>
      </c>
      <c r="AE363" s="26" t="s">
        <v>651</v>
      </c>
      <c r="AF363" s="27" t="s">
        <v>652</v>
      </c>
      <c r="AG363" s="70" t="s">
        <v>653</v>
      </c>
      <c r="AH363" s="70" t="s">
        <v>654</v>
      </c>
      <c r="AI363" s="73" t="s">
        <v>215</v>
      </c>
      <c r="AJ363" s="70" t="s">
        <v>216</v>
      </c>
      <c r="AK363" s="74" t="s">
        <v>217</v>
      </c>
      <c r="AL363" s="75" t="s">
        <v>218</v>
      </c>
      <c r="AM363" s="76" t="s">
        <v>219</v>
      </c>
      <c r="AN363" s="50" t="s">
        <v>220</v>
      </c>
      <c r="AO363" s="77" t="s">
        <v>221</v>
      </c>
      <c r="AP363" s="51" t="s">
        <v>138</v>
      </c>
      <c r="AQ363" s="78" t="s">
        <v>139</v>
      </c>
      <c r="AR363" s="74" t="s">
        <v>140</v>
      </c>
      <c r="AS363" s="22" t="s">
        <v>141</v>
      </c>
      <c r="AT363" s="75" t="s">
        <v>142</v>
      </c>
      <c r="AU363" s="79" t="s">
        <v>143</v>
      </c>
      <c r="AV363" s="80" t="s">
        <v>144</v>
      </c>
      <c r="AW363" s="81" t="s">
        <v>145</v>
      </c>
      <c r="AX363" s="82" t="s">
        <v>146</v>
      </c>
      <c r="AY363" s="83" t="s">
        <v>147</v>
      </c>
      <c r="AZ363" s="80" t="s">
        <v>585</v>
      </c>
      <c r="BA363" s="41" t="s">
        <v>105</v>
      </c>
      <c r="BB363" s="591" t="str">
        <f t="shared" si="25"/>
        <v>TEMPLATE</v>
      </c>
      <c r="BC363" s="591" t="str">
        <f t="shared" si="26"/>
        <v>17. Regional Health Clusters-RHC1-MOH-EMR-NABIDH</v>
      </c>
      <c r="BD363" s="591" t="str">
        <f t="shared" si="27"/>
        <v>RHC1-MOH-EMR-NABIDH</v>
      </c>
      <c r="BE363" s="591" t="str">
        <f t="shared" si="28"/>
        <v>NONE</v>
      </c>
      <c r="BF363" s="594">
        <f t="shared" si="29"/>
        <v>11</v>
      </c>
    </row>
    <row r="364" spans="1:58" ht="42" customHeight="1" x14ac:dyDescent="0.45">
      <c r="A364" s="84">
        <v>315</v>
      </c>
      <c r="B364" s="411" t="s">
        <v>2189</v>
      </c>
      <c r="C364" s="70" t="s">
        <v>2190</v>
      </c>
      <c r="D364" s="70" t="s">
        <v>2191</v>
      </c>
      <c r="E364" s="411" t="s">
        <v>655</v>
      </c>
      <c r="F364" s="72" t="s">
        <v>656</v>
      </c>
      <c r="G364" s="70" t="s">
        <v>657</v>
      </c>
      <c r="H364" s="70" t="s">
        <v>589</v>
      </c>
      <c r="I364" s="71" t="s">
        <v>658</v>
      </c>
      <c r="J364" s="71" t="s">
        <v>659</v>
      </c>
      <c r="K364" s="70" t="s">
        <v>558</v>
      </c>
      <c r="L364" s="66" t="s">
        <v>559</v>
      </c>
      <c r="M364" s="70" t="s">
        <v>2197</v>
      </c>
      <c r="N364" s="86" t="s">
        <v>66</v>
      </c>
      <c r="O364" s="87" t="s">
        <v>593</v>
      </c>
      <c r="P364" s="70" t="s">
        <v>661</v>
      </c>
      <c r="Q364" s="70" t="s">
        <v>662</v>
      </c>
      <c r="R364" s="70" t="s">
        <v>663</v>
      </c>
      <c r="S364" s="71" t="s">
        <v>664</v>
      </c>
      <c r="T364" s="70" t="s">
        <v>665</v>
      </c>
      <c r="U364" s="25" t="s">
        <v>666</v>
      </c>
      <c r="V364" s="70" t="s">
        <v>667</v>
      </c>
      <c r="W364" s="72" t="s">
        <v>668</v>
      </c>
      <c r="X364" s="70" t="s">
        <v>669</v>
      </c>
      <c r="Y364" s="22" t="s">
        <v>205</v>
      </c>
      <c r="Z364" s="70" t="s">
        <v>670</v>
      </c>
      <c r="AA364" s="71" t="s">
        <v>671</v>
      </c>
      <c r="AB364" s="70" t="s">
        <v>672</v>
      </c>
      <c r="AC364" s="70" t="s">
        <v>673</v>
      </c>
      <c r="AD364" s="49" t="s">
        <v>674</v>
      </c>
      <c r="AE364" s="26" t="s">
        <v>675</v>
      </c>
      <c r="AF364" s="27" t="s">
        <v>676</v>
      </c>
      <c r="AG364" s="70" t="s">
        <v>677</v>
      </c>
      <c r="AH364" s="70" t="s">
        <v>678</v>
      </c>
      <c r="AI364" s="73" t="s">
        <v>215</v>
      </c>
      <c r="AJ364" s="70" t="s">
        <v>216</v>
      </c>
      <c r="AK364" s="74" t="s">
        <v>217</v>
      </c>
      <c r="AL364" s="75" t="s">
        <v>218</v>
      </c>
      <c r="AM364" s="76" t="s">
        <v>219</v>
      </c>
      <c r="AN364" s="50" t="s">
        <v>220</v>
      </c>
      <c r="AO364" s="77" t="s">
        <v>221</v>
      </c>
      <c r="AP364" s="51" t="s">
        <v>138</v>
      </c>
      <c r="AQ364" s="78" t="s">
        <v>139</v>
      </c>
      <c r="AR364" s="74" t="s">
        <v>140</v>
      </c>
      <c r="AS364" s="22" t="s">
        <v>141</v>
      </c>
      <c r="AT364" s="75" t="s">
        <v>142</v>
      </c>
      <c r="AU364" s="79" t="s">
        <v>143</v>
      </c>
      <c r="AV364" s="80" t="s">
        <v>144</v>
      </c>
      <c r="AW364" s="81" t="s">
        <v>145</v>
      </c>
      <c r="AX364" s="82" t="s">
        <v>146</v>
      </c>
      <c r="AY364" s="83" t="s">
        <v>147</v>
      </c>
      <c r="AZ364" s="80" t="s">
        <v>585</v>
      </c>
      <c r="BA364" s="41" t="s">
        <v>105</v>
      </c>
      <c r="BB364" s="591" t="str">
        <f t="shared" si="25"/>
        <v>TEMPLATE</v>
      </c>
      <c r="BC364" s="591" t="str">
        <f t="shared" si="26"/>
        <v>17. Regional Health Clusters-RHC1-MOH-PS</v>
      </c>
      <c r="BD364" s="591" t="str">
        <f t="shared" si="27"/>
        <v>RHC1-MOH-PS</v>
      </c>
      <c r="BE364" s="591" t="str">
        <f t="shared" si="28"/>
        <v>NONE</v>
      </c>
      <c r="BF364" s="594">
        <f t="shared" si="29"/>
        <v>11</v>
      </c>
    </row>
    <row r="365" spans="1:58" ht="42" customHeight="1" x14ac:dyDescent="0.45">
      <c r="A365" s="42">
        <v>316</v>
      </c>
      <c r="B365" s="412" t="s">
        <v>2189</v>
      </c>
      <c r="C365" s="44" t="s">
        <v>2190</v>
      </c>
      <c r="D365" s="44" t="s">
        <v>2191</v>
      </c>
      <c r="E365" s="412" t="s">
        <v>679</v>
      </c>
      <c r="F365" s="45" t="s">
        <v>680</v>
      </c>
      <c r="G365" s="44" t="s">
        <v>681</v>
      </c>
      <c r="H365" s="44" t="s">
        <v>225</v>
      </c>
      <c r="I365" s="46" t="s">
        <v>682</v>
      </c>
      <c r="J365" s="46" t="s">
        <v>386</v>
      </c>
      <c r="K365" s="44" t="s">
        <v>558</v>
      </c>
      <c r="L365" s="66" t="s">
        <v>559</v>
      </c>
      <c r="M365" s="44" t="s">
        <v>2198</v>
      </c>
      <c r="N365" s="54" t="s">
        <v>154</v>
      </c>
      <c r="O365" s="48" t="s">
        <v>593</v>
      </c>
      <c r="P365" s="44" t="s">
        <v>661</v>
      </c>
      <c r="Q365" s="70" t="s">
        <v>683</v>
      </c>
      <c r="R365" s="70" t="s">
        <v>684</v>
      </c>
      <c r="S365" s="71" t="s">
        <v>685</v>
      </c>
      <c r="T365" s="70" t="s">
        <v>686</v>
      </c>
      <c r="U365" s="25" t="s">
        <v>687</v>
      </c>
      <c r="V365" s="70" t="s">
        <v>282</v>
      </c>
      <c r="W365" s="72" t="s">
        <v>283</v>
      </c>
      <c r="X365" s="70" t="s">
        <v>284</v>
      </c>
      <c r="Y365" s="49" t="s">
        <v>285</v>
      </c>
      <c r="Z365" s="70" t="s">
        <v>286</v>
      </c>
      <c r="AA365" s="71" t="s">
        <v>286</v>
      </c>
      <c r="AB365" s="70" t="s">
        <v>287</v>
      </c>
      <c r="AC365" s="70" t="s">
        <v>288</v>
      </c>
      <c r="AD365" s="49" t="s">
        <v>289</v>
      </c>
      <c r="AE365" s="58" t="s">
        <v>290</v>
      </c>
      <c r="AF365" s="56" t="s">
        <v>291</v>
      </c>
      <c r="AG365" s="70" t="s">
        <v>292</v>
      </c>
      <c r="AH365" s="70" t="s">
        <v>293</v>
      </c>
      <c r="AI365" s="73" t="s">
        <v>215</v>
      </c>
      <c r="AJ365" s="70" t="s">
        <v>216</v>
      </c>
      <c r="AK365" s="74" t="s">
        <v>217</v>
      </c>
      <c r="AL365" s="75" t="s">
        <v>218</v>
      </c>
      <c r="AM365" s="76" t="s">
        <v>219</v>
      </c>
      <c r="AN365" s="50" t="s">
        <v>220</v>
      </c>
      <c r="AO365" s="77" t="s">
        <v>221</v>
      </c>
      <c r="AP365" s="51" t="s">
        <v>138</v>
      </c>
      <c r="AQ365" s="78" t="s">
        <v>139</v>
      </c>
      <c r="AR365" s="74" t="s">
        <v>140</v>
      </c>
      <c r="AS365" s="22" t="s">
        <v>141</v>
      </c>
      <c r="AT365" s="75" t="s">
        <v>142</v>
      </c>
      <c r="AU365" s="79" t="s">
        <v>143</v>
      </c>
      <c r="AV365" s="80" t="s">
        <v>144</v>
      </c>
      <c r="AW365" s="81" t="s">
        <v>145</v>
      </c>
      <c r="AX365" s="82" t="s">
        <v>146</v>
      </c>
      <c r="AY365" s="83" t="s">
        <v>147</v>
      </c>
      <c r="AZ365" s="80" t="s">
        <v>585</v>
      </c>
      <c r="BA365" s="41" t="s">
        <v>105</v>
      </c>
      <c r="BB365" s="591" t="str">
        <f t="shared" si="25"/>
        <v>TEMPLATE</v>
      </c>
      <c r="BC365" s="591" t="str">
        <f t="shared" si="26"/>
        <v>17. Regional Health Clusters-RHC1-MOH-PR</v>
      </c>
      <c r="BD365" s="591" t="str">
        <f t="shared" si="27"/>
        <v>RHC1-MOH-PR</v>
      </c>
      <c r="BE365" s="591" t="str">
        <f t="shared" si="28"/>
        <v>NONE</v>
      </c>
      <c r="BF365" s="594">
        <f t="shared" si="29"/>
        <v>9</v>
      </c>
    </row>
    <row r="366" spans="1:58" ht="42" customHeight="1" x14ac:dyDescent="0.45">
      <c r="A366" s="84">
        <v>317</v>
      </c>
      <c r="B366" s="411" t="s">
        <v>2189</v>
      </c>
      <c r="C366" s="70" t="s">
        <v>2190</v>
      </c>
      <c r="D366" s="70" t="s">
        <v>2191</v>
      </c>
      <c r="E366" s="411" t="s">
        <v>930</v>
      </c>
      <c r="F366" s="72" t="s">
        <v>2199</v>
      </c>
      <c r="G366" s="70" t="s">
        <v>932</v>
      </c>
      <c r="H366" s="70" t="s">
        <v>2200</v>
      </c>
      <c r="I366" s="71" t="s">
        <v>924</v>
      </c>
      <c r="J366" s="71" t="s">
        <v>934</v>
      </c>
      <c r="K366" s="70" t="s">
        <v>558</v>
      </c>
      <c r="L366" s="92" t="s">
        <v>935</v>
      </c>
      <c r="M366" s="70" t="s">
        <v>2201</v>
      </c>
      <c r="N366" s="86" t="s">
        <v>66</v>
      </c>
      <c r="O366" s="87" t="s">
        <v>937</v>
      </c>
      <c r="P366" s="70" t="s">
        <v>979</v>
      </c>
      <c r="Q366" s="70" t="s">
        <v>939</v>
      </c>
      <c r="R366" s="70" t="s">
        <v>940</v>
      </c>
      <c r="S366" s="71" t="s">
        <v>941</v>
      </c>
      <c r="T366" s="70" t="s">
        <v>942</v>
      </c>
      <c r="U366" s="25" t="s">
        <v>943</v>
      </c>
      <c r="V366" s="70" t="s">
        <v>944</v>
      </c>
      <c r="W366" s="72" t="s">
        <v>945</v>
      </c>
      <c r="X366" s="70" t="s">
        <v>946</v>
      </c>
      <c r="Y366" s="49" t="s">
        <v>947</v>
      </c>
      <c r="Z366" s="70" t="s">
        <v>948</v>
      </c>
      <c r="AA366" s="71" t="s">
        <v>949</v>
      </c>
      <c r="AB366" s="70" t="s">
        <v>950</v>
      </c>
      <c r="AC366" s="70" t="s">
        <v>951</v>
      </c>
      <c r="AD366" s="22" t="s">
        <v>82</v>
      </c>
      <c r="AE366" s="26" t="s">
        <v>952</v>
      </c>
      <c r="AF366" s="27" t="s">
        <v>953</v>
      </c>
      <c r="AG366" s="70" t="s">
        <v>954</v>
      </c>
      <c r="AH366" s="70" t="s">
        <v>955</v>
      </c>
      <c r="AI366" s="73" t="s">
        <v>956</v>
      </c>
      <c r="AJ366" s="70" t="s">
        <v>957</v>
      </c>
      <c r="AK366" s="74" t="s">
        <v>958</v>
      </c>
      <c r="AL366" s="75" t="s">
        <v>959</v>
      </c>
      <c r="AM366" s="76" t="s">
        <v>960</v>
      </c>
      <c r="AN366" s="50" t="s">
        <v>961</v>
      </c>
      <c r="AO366" s="77" t="s">
        <v>962</v>
      </c>
      <c r="AP366" s="51" t="s">
        <v>963</v>
      </c>
      <c r="AQ366" s="78" t="s">
        <v>964</v>
      </c>
      <c r="AR366" s="74" t="s">
        <v>965</v>
      </c>
      <c r="AS366" s="92" t="s">
        <v>966</v>
      </c>
      <c r="AT366" s="75" t="s">
        <v>967</v>
      </c>
      <c r="AU366" s="79" t="s">
        <v>968</v>
      </c>
      <c r="AV366" s="80" t="s">
        <v>969</v>
      </c>
      <c r="AW366" s="81" t="s">
        <v>970</v>
      </c>
      <c r="AX366" s="82" t="s">
        <v>971</v>
      </c>
      <c r="AY366" s="83" t="s">
        <v>972</v>
      </c>
      <c r="AZ366" s="80" t="s">
        <v>585</v>
      </c>
      <c r="BA366" s="41" t="s">
        <v>105</v>
      </c>
      <c r="BB366" s="591" t="str">
        <f t="shared" si="25"/>
        <v>DEEP</v>
      </c>
      <c r="BC366" s="591" t="str">
        <f t="shared" si="26"/>
        <v>17. Regional Health Clusters-RHC1-CBAHI-HAS-H</v>
      </c>
      <c r="BD366" s="591" t="str">
        <f t="shared" si="27"/>
        <v>RHC1-CBAHI-HAS-H</v>
      </c>
      <c r="BE366" s="591" t="str">
        <f t="shared" si="28"/>
        <v>NONE</v>
      </c>
      <c r="BF366" s="594">
        <f t="shared" si="29"/>
        <v>15</v>
      </c>
    </row>
    <row r="367" spans="1:58" ht="42" customHeight="1" x14ac:dyDescent="0.45">
      <c r="A367" s="42">
        <v>318</v>
      </c>
      <c r="B367" s="412" t="s">
        <v>2189</v>
      </c>
      <c r="C367" s="44" t="s">
        <v>2190</v>
      </c>
      <c r="D367" s="44" t="s">
        <v>2191</v>
      </c>
      <c r="E367" s="412" t="s">
        <v>557</v>
      </c>
      <c r="F367" s="45" t="s">
        <v>58</v>
      </c>
      <c r="G367" s="44" t="s">
        <v>59</v>
      </c>
      <c r="H367" s="44" t="s">
        <v>57</v>
      </c>
      <c r="I367" s="46" t="s">
        <v>61</v>
      </c>
      <c r="J367" s="46" t="s">
        <v>62</v>
      </c>
      <c r="K367" s="44" t="s">
        <v>558</v>
      </c>
      <c r="L367" s="66" t="s">
        <v>559</v>
      </c>
      <c r="M367" s="44" t="s">
        <v>2202</v>
      </c>
      <c r="N367" s="47" t="s">
        <v>66</v>
      </c>
      <c r="O367" s="48" t="s">
        <v>196</v>
      </c>
      <c r="P367" s="44" t="s">
        <v>561</v>
      </c>
      <c r="Q367" s="70" t="s">
        <v>562</v>
      </c>
      <c r="R367" s="70" t="s">
        <v>563</v>
      </c>
      <c r="S367" s="71" t="s">
        <v>564</v>
      </c>
      <c r="T367" s="70" t="s">
        <v>565</v>
      </c>
      <c r="U367" s="25" t="s">
        <v>566</v>
      </c>
      <c r="V367" s="70" t="s">
        <v>282</v>
      </c>
      <c r="W367" s="72" t="s">
        <v>283</v>
      </c>
      <c r="X367" s="70" t="s">
        <v>284</v>
      </c>
      <c r="Y367" s="49" t="s">
        <v>285</v>
      </c>
      <c r="Z367" s="70" t="s">
        <v>286</v>
      </c>
      <c r="AA367" s="71" t="s">
        <v>286</v>
      </c>
      <c r="AB367" s="70" t="s">
        <v>287</v>
      </c>
      <c r="AC367" s="70" t="s">
        <v>288</v>
      </c>
      <c r="AD367" s="49" t="s">
        <v>289</v>
      </c>
      <c r="AE367" s="58" t="s">
        <v>290</v>
      </c>
      <c r="AF367" s="56" t="s">
        <v>291</v>
      </c>
      <c r="AG367" s="70" t="s">
        <v>292</v>
      </c>
      <c r="AH367" s="70" t="s">
        <v>293</v>
      </c>
      <c r="AI367" s="73" t="s">
        <v>215</v>
      </c>
      <c r="AJ367" s="70" t="s">
        <v>216</v>
      </c>
      <c r="AK367" s="74" t="s">
        <v>217</v>
      </c>
      <c r="AL367" s="75" t="s">
        <v>218</v>
      </c>
      <c r="AM367" s="76" t="s">
        <v>219</v>
      </c>
      <c r="AN367" s="50" t="s">
        <v>220</v>
      </c>
      <c r="AO367" s="77" t="s">
        <v>221</v>
      </c>
      <c r="AP367" s="51" t="s">
        <v>138</v>
      </c>
      <c r="AQ367" s="78" t="s">
        <v>139</v>
      </c>
      <c r="AR367" s="74" t="s">
        <v>140</v>
      </c>
      <c r="AS367" s="22" t="s">
        <v>141</v>
      </c>
      <c r="AT367" s="75" t="s">
        <v>142</v>
      </c>
      <c r="AU367" s="79" t="s">
        <v>143</v>
      </c>
      <c r="AV367" s="80" t="s">
        <v>144</v>
      </c>
      <c r="AW367" s="81" t="s">
        <v>145</v>
      </c>
      <c r="AX367" s="82" t="s">
        <v>146</v>
      </c>
      <c r="AY367" s="83" t="s">
        <v>147</v>
      </c>
      <c r="AZ367" s="80" t="s">
        <v>567</v>
      </c>
      <c r="BA367" s="34" t="s">
        <v>320</v>
      </c>
      <c r="BB367" s="591" t="str">
        <f t="shared" si="25"/>
        <v>TEMPLATE</v>
      </c>
      <c r="BC367" s="591" t="str">
        <f t="shared" si="26"/>
        <v>17. Regional Health Clusters-RHC1-NCA-ECC-2:2024</v>
      </c>
      <c r="BD367" s="591" t="str">
        <f t="shared" si="27"/>
        <v>RHC1-NCA-ECC-2-2024</v>
      </c>
      <c r="BE367" s="591" t="str">
        <f t="shared" si="28"/>
        <v>NCA-ECC-2-2024</v>
      </c>
      <c r="BF367" s="594">
        <f t="shared" si="29"/>
        <v>11</v>
      </c>
    </row>
    <row r="368" spans="1:58" ht="42" customHeight="1" x14ac:dyDescent="0.45">
      <c r="A368" s="84">
        <v>319</v>
      </c>
      <c r="B368" s="411" t="s">
        <v>2189</v>
      </c>
      <c r="C368" s="70" t="s">
        <v>2190</v>
      </c>
      <c r="D368" s="70" t="s">
        <v>2191</v>
      </c>
      <c r="E368" s="411" t="s">
        <v>382</v>
      </c>
      <c r="F368" s="72" t="s">
        <v>383</v>
      </c>
      <c r="G368" s="70" t="s">
        <v>384</v>
      </c>
      <c r="H368" s="70" t="s">
        <v>765</v>
      </c>
      <c r="I368" s="71" t="s">
        <v>250</v>
      </c>
      <c r="J368" s="71" t="s">
        <v>386</v>
      </c>
      <c r="K368" s="70" t="s">
        <v>558</v>
      </c>
      <c r="L368" s="66" t="s">
        <v>559</v>
      </c>
      <c r="M368" s="70" t="s">
        <v>2203</v>
      </c>
      <c r="N368" s="86" t="s">
        <v>66</v>
      </c>
      <c r="O368" s="87" t="s">
        <v>540</v>
      </c>
      <c r="P368" s="70" t="s">
        <v>380</v>
      </c>
      <c r="Q368" s="70" t="s">
        <v>390</v>
      </c>
      <c r="R368" s="70" t="s">
        <v>391</v>
      </c>
      <c r="S368" s="71" t="s">
        <v>392</v>
      </c>
      <c r="T368" s="70" t="s">
        <v>393</v>
      </c>
      <c r="U368" s="25" t="s">
        <v>394</v>
      </c>
      <c r="V368" s="70" t="s">
        <v>395</v>
      </c>
      <c r="W368" s="72" t="s">
        <v>396</v>
      </c>
      <c r="X368" s="70" t="s">
        <v>397</v>
      </c>
      <c r="Y368" s="49" t="s">
        <v>398</v>
      </c>
      <c r="Z368" s="70" t="s">
        <v>399</v>
      </c>
      <c r="AA368" s="71" t="s">
        <v>400</v>
      </c>
      <c r="AB368" s="70" t="s">
        <v>401</v>
      </c>
      <c r="AC368" s="70" t="s">
        <v>402</v>
      </c>
      <c r="AD368" s="49" t="s">
        <v>403</v>
      </c>
      <c r="AE368" s="50" t="s">
        <v>404</v>
      </c>
      <c r="AF368" s="60" t="s">
        <v>405</v>
      </c>
      <c r="AG368" s="70" t="s">
        <v>406</v>
      </c>
      <c r="AH368" s="70" t="s">
        <v>407</v>
      </c>
      <c r="AI368" s="73" t="s">
        <v>408</v>
      </c>
      <c r="AJ368" s="70" t="s">
        <v>409</v>
      </c>
      <c r="AK368" s="74" t="s">
        <v>410</v>
      </c>
      <c r="AL368" s="75" t="s">
        <v>411</v>
      </c>
      <c r="AM368" s="76" t="s">
        <v>412</v>
      </c>
      <c r="AN368" s="50" t="s">
        <v>413</v>
      </c>
      <c r="AO368" s="77" t="s">
        <v>414</v>
      </c>
      <c r="AP368" s="51" t="s">
        <v>415</v>
      </c>
      <c r="AQ368" s="78" t="s">
        <v>416</v>
      </c>
      <c r="AR368" s="74" t="s">
        <v>417</v>
      </c>
      <c r="AS368" s="22" t="s">
        <v>418</v>
      </c>
      <c r="AT368" s="75" t="s">
        <v>419</v>
      </c>
      <c r="AU368" s="79" t="s">
        <v>420</v>
      </c>
      <c r="AV368" s="80" t="s">
        <v>421</v>
      </c>
      <c r="AW368" s="81" t="s">
        <v>422</v>
      </c>
      <c r="AX368" s="82" t="s">
        <v>423</v>
      </c>
      <c r="AY368" s="83" t="s">
        <v>424</v>
      </c>
      <c r="AZ368" s="80" t="s">
        <v>425</v>
      </c>
      <c r="BA368" s="34" t="s">
        <v>320</v>
      </c>
      <c r="BB368" s="591" t="str">
        <f t="shared" si="25"/>
        <v>DEEP</v>
      </c>
      <c r="BC368" s="591" t="str">
        <f t="shared" si="26"/>
        <v>17. Regional Health Clusters-RHC1-PDPL-2021</v>
      </c>
      <c r="BD368" s="591" t="str">
        <f t="shared" si="27"/>
        <v>RHC1-PDPL-2021</v>
      </c>
      <c r="BE368" s="591" t="str">
        <f t="shared" si="28"/>
        <v>NONE</v>
      </c>
      <c r="BF368" s="594">
        <f t="shared" si="29"/>
        <v>18</v>
      </c>
    </row>
    <row r="369" spans="1:58" ht="42" customHeight="1" x14ac:dyDescent="0.45">
      <c r="A369" s="42">
        <v>320</v>
      </c>
      <c r="B369" s="412" t="s">
        <v>2189</v>
      </c>
      <c r="C369" s="44" t="s">
        <v>2190</v>
      </c>
      <c r="D369" s="44" t="s">
        <v>2191</v>
      </c>
      <c r="E369" s="412" t="s">
        <v>688</v>
      </c>
      <c r="F369" s="45" t="s">
        <v>689</v>
      </c>
      <c r="G369" s="44" t="s">
        <v>690</v>
      </c>
      <c r="H369" s="44" t="s">
        <v>691</v>
      </c>
      <c r="I369" s="46" t="s">
        <v>151</v>
      </c>
      <c r="J369" s="46" t="s">
        <v>692</v>
      </c>
      <c r="K369" s="44" t="s">
        <v>558</v>
      </c>
      <c r="L369" s="66" t="s">
        <v>559</v>
      </c>
      <c r="M369" s="44" t="s">
        <v>2204</v>
      </c>
      <c r="N369" s="54" t="s">
        <v>154</v>
      </c>
      <c r="O369" s="48" t="s">
        <v>593</v>
      </c>
      <c r="P369" s="44" t="s">
        <v>636</v>
      </c>
      <c r="Q369" s="70" t="s">
        <v>695</v>
      </c>
      <c r="R369" s="70" t="s">
        <v>696</v>
      </c>
      <c r="S369" s="71" t="s">
        <v>697</v>
      </c>
      <c r="T369" s="70" t="s">
        <v>698</v>
      </c>
      <c r="U369" s="25" t="s">
        <v>699</v>
      </c>
      <c r="V369" s="70" t="s">
        <v>700</v>
      </c>
      <c r="W369" s="72" t="s">
        <v>701</v>
      </c>
      <c r="X369" s="70" t="s">
        <v>702</v>
      </c>
      <c r="Y369" s="22" t="s">
        <v>205</v>
      </c>
      <c r="Z369" s="70" t="s">
        <v>703</v>
      </c>
      <c r="AA369" s="71" t="s">
        <v>704</v>
      </c>
      <c r="AB369" s="70" t="s">
        <v>705</v>
      </c>
      <c r="AC369" s="70" t="s">
        <v>706</v>
      </c>
      <c r="AD369" s="49" t="s">
        <v>707</v>
      </c>
      <c r="AE369" s="26" t="s">
        <v>675</v>
      </c>
      <c r="AF369" s="60" t="s">
        <v>708</v>
      </c>
      <c r="AG369" s="70" t="s">
        <v>709</v>
      </c>
      <c r="AH369" s="70" t="s">
        <v>710</v>
      </c>
      <c r="AI369" s="73" t="s">
        <v>711</v>
      </c>
      <c r="AJ369" s="70" t="s">
        <v>712</v>
      </c>
      <c r="AK369" s="74" t="s">
        <v>713</v>
      </c>
      <c r="AL369" s="75" t="s">
        <v>714</v>
      </c>
      <c r="AM369" s="76" t="s">
        <v>715</v>
      </c>
      <c r="AN369" s="50" t="s">
        <v>716</v>
      </c>
      <c r="AO369" s="77" t="s">
        <v>717</v>
      </c>
      <c r="AP369" s="51" t="s">
        <v>718</v>
      </c>
      <c r="AQ369" s="78" t="s">
        <v>719</v>
      </c>
      <c r="AR369" s="74" t="s">
        <v>720</v>
      </c>
      <c r="AS369" s="61" t="s">
        <v>721</v>
      </c>
      <c r="AT369" s="75" t="s">
        <v>722</v>
      </c>
      <c r="AU369" s="79" t="s">
        <v>723</v>
      </c>
      <c r="AV369" s="80" t="s">
        <v>724</v>
      </c>
      <c r="AW369" s="81" t="s">
        <v>725</v>
      </c>
      <c r="AX369" s="82" t="s">
        <v>726</v>
      </c>
      <c r="AY369" s="83" t="s">
        <v>727</v>
      </c>
      <c r="AZ369" s="80" t="s">
        <v>728</v>
      </c>
      <c r="BA369" s="41" t="s">
        <v>105</v>
      </c>
      <c r="BB369" s="591" t="str">
        <f t="shared" si="25"/>
        <v>DEEP</v>
      </c>
      <c r="BC369" s="591" t="str">
        <f t="shared" si="26"/>
        <v>17. Regional Health Clusters-RHC1-MOH-TELE</v>
      </c>
      <c r="BD369" s="591" t="str">
        <f t="shared" si="27"/>
        <v>RHC1-MOH-TELE</v>
      </c>
      <c r="BE369" s="591" t="str">
        <f t="shared" si="28"/>
        <v>NONE</v>
      </c>
      <c r="BF369" s="594">
        <f t="shared" si="29"/>
        <v>16</v>
      </c>
    </row>
    <row r="370" spans="1:58" ht="42" customHeight="1" x14ac:dyDescent="0.45">
      <c r="A370" s="84">
        <v>321</v>
      </c>
      <c r="B370" s="411" t="s">
        <v>2189</v>
      </c>
      <c r="C370" s="70" t="s">
        <v>2190</v>
      </c>
      <c r="D370" s="70" t="s">
        <v>2191</v>
      </c>
      <c r="E370" s="411" t="s">
        <v>1246</v>
      </c>
      <c r="F370" s="72" t="s">
        <v>2205</v>
      </c>
      <c r="G370" s="70" t="s">
        <v>2206</v>
      </c>
      <c r="H370" s="70" t="s">
        <v>633</v>
      </c>
      <c r="I370" s="71" t="s">
        <v>61</v>
      </c>
      <c r="J370" s="71" t="s">
        <v>194</v>
      </c>
      <c r="K370" s="70" t="s">
        <v>558</v>
      </c>
      <c r="L370" s="66" t="s">
        <v>559</v>
      </c>
      <c r="M370" s="70" t="s">
        <v>2207</v>
      </c>
      <c r="N370" s="86" t="s">
        <v>66</v>
      </c>
      <c r="O370" s="87" t="s">
        <v>1250</v>
      </c>
      <c r="P370" s="70" t="s">
        <v>1244</v>
      </c>
      <c r="Q370" s="70" t="s">
        <v>1252</v>
      </c>
      <c r="R370" s="70" t="s">
        <v>1253</v>
      </c>
      <c r="S370" s="71" t="s">
        <v>1254</v>
      </c>
      <c r="T370" s="70" t="s">
        <v>1255</v>
      </c>
      <c r="U370" s="25" t="s">
        <v>1256</v>
      </c>
      <c r="V370" s="70" t="s">
        <v>1257</v>
      </c>
      <c r="W370" s="72" t="s">
        <v>1258</v>
      </c>
      <c r="X370" s="70" t="s">
        <v>1259</v>
      </c>
      <c r="Y370" s="22" t="s">
        <v>205</v>
      </c>
      <c r="Z370" s="70" t="s">
        <v>1260</v>
      </c>
      <c r="AA370" s="71" t="s">
        <v>1261</v>
      </c>
      <c r="AB370" s="70" t="s">
        <v>1262</v>
      </c>
      <c r="AC370" s="70" t="s">
        <v>1263</v>
      </c>
      <c r="AD370" s="49" t="s">
        <v>650</v>
      </c>
      <c r="AE370" s="37" t="s">
        <v>1264</v>
      </c>
      <c r="AF370" s="27" t="s">
        <v>1265</v>
      </c>
      <c r="AG370" s="70" t="s">
        <v>1266</v>
      </c>
      <c r="AH370" s="70" t="s">
        <v>1267</v>
      </c>
      <c r="AI370" s="73" t="s">
        <v>215</v>
      </c>
      <c r="AJ370" s="70" t="s">
        <v>216</v>
      </c>
      <c r="AK370" s="74" t="s">
        <v>217</v>
      </c>
      <c r="AL370" s="75" t="s">
        <v>218</v>
      </c>
      <c r="AM370" s="76" t="s">
        <v>219</v>
      </c>
      <c r="AN370" s="50" t="s">
        <v>220</v>
      </c>
      <c r="AO370" s="77" t="s">
        <v>221</v>
      </c>
      <c r="AP370" s="51" t="s">
        <v>138</v>
      </c>
      <c r="AQ370" s="78" t="s">
        <v>139</v>
      </c>
      <c r="AR370" s="74" t="s">
        <v>140</v>
      </c>
      <c r="AS370" s="22" t="s">
        <v>141</v>
      </c>
      <c r="AT370" s="75" t="s">
        <v>142</v>
      </c>
      <c r="AU370" s="79" t="s">
        <v>143</v>
      </c>
      <c r="AV370" s="80" t="s">
        <v>144</v>
      </c>
      <c r="AW370" s="81" t="s">
        <v>145</v>
      </c>
      <c r="AX370" s="82" t="s">
        <v>146</v>
      </c>
      <c r="AY370" s="83" t="s">
        <v>147</v>
      </c>
      <c r="AZ370" s="80" t="s">
        <v>585</v>
      </c>
      <c r="BA370" s="41" t="s">
        <v>105</v>
      </c>
      <c r="BB370" s="591" t="str">
        <f t="shared" si="25"/>
        <v>TEMPLATE</v>
      </c>
      <c r="BC370" s="591" t="str">
        <f t="shared" si="26"/>
        <v>17. Regional Health Clusters-RHC1-NHIC-NABIDH</v>
      </c>
      <c r="BD370" s="591" t="str">
        <f t="shared" si="27"/>
        <v>RHC1-NHIC-NABIDH</v>
      </c>
      <c r="BE370" s="591" t="str">
        <f t="shared" si="28"/>
        <v>NONE</v>
      </c>
      <c r="BF370" s="594">
        <f t="shared" si="29"/>
        <v>11</v>
      </c>
    </row>
    <row r="371" spans="1:58" ht="42" customHeight="1" x14ac:dyDescent="0.45">
      <c r="A371" s="42">
        <v>322</v>
      </c>
      <c r="B371" s="412" t="s">
        <v>2189</v>
      </c>
      <c r="C371" s="44" t="s">
        <v>2190</v>
      </c>
      <c r="D371" s="44" t="s">
        <v>2191</v>
      </c>
      <c r="E371" s="412" t="s">
        <v>770</v>
      </c>
      <c r="F371" s="45" t="s">
        <v>107</v>
      </c>
      <c r="G371" s="44" t="s">
        <v>108</v>
      </c>
      <c r="H371" s="44" t="s">
        <v>106</v>
      </c>
      <c r="I371" s="46" t="s">
        <v>109</v>
      </c>
      <c r="J371" s="46" t="s">
        <v>110</v>
      </c>
      <c r="K371" s="44" t="s">
        <v>558</v>
      </c>
      <c r="L371" s="66" t="s">
        <v>559</v>
      </c>
      <c r="M371" s="44" t="s">
        <v>2208</v>
      </c>
      <c r="N371" s="47" t="s">
        <v>66</v>
      </c>
      <c r="O371" s="48" t="s">
        <v>196</v>
      </c>
      <c r="P371" s="44" t="s">
        <v>2209</v>
      </c>
      <c r="Q371" s="70" t="s">
        <v>562</v>
      </c>
      <c r="R371" s="70" t="s">
        <v>563</v>
      </c>
      <c r="S371" s="71" t="s">
        <v>564</v>
      </c>
      <c r="T371" s="70" t="s">
        <v>565</v>
      </c>
      <c r="U371" s="25" t="s">
        <v>566</v>
      </c>
      <c r="V371" s="70" t="s">
        <v>282</v>
      </c>
      <c r="W371" s="72" t="s">
        <v>283</v>
      </c>
      <c r="X371" s="70" t="s">
        <v>284</v>
      </c>
      <c r="Y371" s="49" t="s">
        <v>285</v>
      </c>
      <c r="Z371" s="70" t="s">
        <v>286</v>
      </c>
      <c r="AA371" s="71" t="s">
        <v>286</v>
      </c>
      <c r="AB371" s="70" t="s">
        <v>287</v>
      </c>
      <c r="AC371" s="70" t="s">
        <v>288</v>
      </c>
      <c r="AD371" s="49" t="s">
        <v>289</v>
      </c>
      <c r="AE371" s="58" t="s">
        <v>290</v>
      </c>
      <c r="AF371" s="56" t="s">
        <v>291</v>
      </c>
      <c r="AG371" s="70" t="s">
        <v>292</v>
      </c>
      <c r="AH371" s="70" t="s">
        <v>293</v>
      </c>
      <c r="AI371" s="73" t="s">
        <v>215</v>
      </c>
      <c r="AJ371" s="70" t="s">
        <v>216</v>
      </c>
      <c r="AK371" s="74" t="s">
        <v>217</v>
      </c>
      <c r="AL371" s="75" t="s">
        <v>218</v>
      </c>
      <c r="AM371" s="76" t="s">
        <v>219</v>
      </c>
      <c r="AN371" s="50" t="s">
        <v>220</v>
      </c>
      <c r="AO371" s="77" t="s">
        <v>221</v>
      </c>
      <c r="AP371" s="53" t="s">
        <v>773</v>
      </c>
      <c r="AQ371" s="78" t="s">
        <v>774</v>
      </c>
      <c r="AR371" s="74" t="s">
        <v>775</v>
      </c>
      <c r="AS371" s="22" t="s">
        <v>776</v>
      </c>
      <c r="AT371" s="75" t="s">
        <v>777</v>
      </c>
      <c r="AU371" s="79" t="s">
        <v>778</v>
      </c>
      <c r="AV371" s="80" t="s">
        <v>779</v>
      </c>
      <c r="AW371" s="81" t="s">
        <v>780</v>
      </c>
      <c r="AX371" s="82" t="s">
        <v>781</v>
      </c>
      <c r="AY371" s="83" t="s">
        <v>782</v>
      </c>
      <c r="AZ371" s="80" t="s">
        <v>104</v>
      </c>
      <c r="BA371" s="41" t="s">
        <v>105</v>
      </c>
      <c r="BB371" s="591" t="str">
        <f t="shared" si="25"/>
        <v>TEMPLATE</v>
      </c>
      <c r="BC371" s="591" t="str">
        <f t="shared" si="26"/>
        <v>17. Regional Health Clusters-RHC1-NCA-OTCC</v>
      </c>
      <c r="BD371" s="591" t="str">
        <f t="shared" si="27"/>
        <v>RHC1-NCA-OTCC</v>
      </c>
      <c r="BE371" s="591" t="str">
        <f t="shared" si="28"/>
        <v>NCA-ECC-2-2024</v>
      </c>
      <c r="BF371" s="594">
        <f t="shared" si="29"/>
        <v>11</v>
      </c>
    </row>
    <row r="372" spans="1:58" ht="42" customHeight="1" x14ac:dyDescent="0.45">
      <c r="A372" s="84">
        <v>323</v>
      </c>
      <c r="B372" s="411" t="s">
        <v>2210</v>
      </c>
      <c r="C372" s="70" t="s">
        <v>2211</v>
      </c>
      <c r="D372" s="70" t="s">
        <v>2191</v>
      </c>
      <c r="E372" s="411" t="s">
        <v>586</v>
      </c>
      <c r="F372" s="72" t="s">
        <v>587</v>
      </c>
      <c r="G372" s="70" t="s">
        <v>588</v>
      </c>
      <c r="H372" s="70" t="s">
        <v>589</v>
      </c>
      <c r="I372" s="71" t="s">
        <v>590</v>
      </c>
      <c r="J372" s="71" t="s">
        <v>591</v>
      </c>
      <c r="K372" s="70" t="s">
        <v>558</v>
      </c>
      <c r="L372" s="66" t="s">
        <v>559</v>
      </c>
      <c r="M372" s="70" t="s">
        <v>2212</v>
      </c>
      <c r="N372" s="86" t="s">
        <v>66</v>
      </c>
      <c r="O372" s="87" t="s">
        <v>593</v>
      </c>
      <c r="P372" s="70" t="s">
        <v>661</v>
      </c>
      <c r="Q372" s="70" t="s">
        <v>595</v>
      </c>
      <c r="R372" s="70" t="s">
        <v>596</v>
      </c>
      <c r="S372" s="71" t="s">
        <v>597</v>
      </c>
      <c r="T372" s="70" t="s">
        <v>598</v>
      </c>
      <c r="U372" s="25" t="s">
        <v>599</v>
      </c>
      <c r="V372" s="70" t="s">
        <v>600</v>
      </c>
      <c r="W372" s="72" t="s">
        <v>601</v>
      </c>
      <c r="X372" s="70" t="s">
        <v>602</v>
      </c>
      <c r="Y372" s="49" t="s">
        <v>603</v>
      </c>
      <c r="Z372" s="70" t="s">
        <v>604</v>
      </c>
      <c r="AA372" s="71" t="s">
        <v>605</v>
      </c>
      <c r="AB372" s="70" t="s">
        <v>606</v>
      </c>
      <c r="AC372" s="70" t="s">
        <v>607</v>
      </c>
      <c r="AD372" s="49" t="s">
        <v>608</v>
      </c>
      <c r="AE372" s="26" t="s">
        <v>609</v>
      </c>
      <c r="AF372" s="27" t="s">
        <v>610</v>
      </c>
      <c r="AG372" s="70" t="s">
        <v>611</v>
      </c>
      <c r="AH372" s="70" t="s">
        <v>612</v>
      </c>
      <c r="AI372" s="73" t="s">
        <v>613</v>
      </c>
      <c r="AJ372" s="70" t="s">
        <v>614</v>
      </c>
      <c r="AK372" s="74" t="s">
        <v>615</v>
      </c>
      <c r="AL372" s="75" t="s">
        <v>616</v>
      </c>
      <c r="AM372" s="76" t="s">
        <v>617</v>
      </c>
      <c r="AN372" s="50" t="s">
        <v>618</v>
      </c>
      <c r="AO372" s="77" t="s">
        <v>619</v>
      </c>
      <c r="AP372" s="34" t="s">
        <v>620</v>
      </c>
      <c r="AQ372" s="78" t="s">
        <v>621</v>
      </c>
      <c r="AR372" s="74" t="s">
        <v>622</v>
      </c>
      <c r="AS372" s="61" t="s">
        <v>623</v>
      </c>
      <c r="AT372" s="75" t="s">
        <v>624</v>
      </c>
      <c r="AU372" s="79" t="s">
        <v>625</v>
      </c>
      <c r="AV372" s="80" t="s">
        <v>626</v>
      </c>
      <c r="AW372" s="81" t="s">
        <v>627</v>
      </c>
      <c r="AX372" s="82" t="s">
        <v>628</v>
      </c>
      <c r="AY372" s="83" t="s">
        <v>629</v>
      </c>
      <c r="AZ372" s="80" t="s">
        <v>585</v>
      </c>
      <c r="BA372" s="41" t="s">
        <v>105</v>
      </c>
      <c r="BB372" s="591" t="str">
        <f t="shared" si="25"/>
        <v>DEEP</v>
      </c>
      <c r="BC372" s="591" t="str">
        <f t="shared" si="26"/>
        <v>17. Regional Health Clusters-RHC2-MOH-HIS</v>
      </c>
      <c r="BD372" s="591" t="str">
        <f t="shared" si="27"/>
        <v>RHC2-MOH-HIS</v>
      </c>
      <c r="BE372" s="591" t="str">
        <f t="shared" si="28"/>
        <v>NONE</v>
      </c>
      <c r="BF372" s="594">
        <f t="shared" si="29"/>
        <v>18</v>
      </c>
    </row>
    <row r="373" spans="1:58" ht="42" customHeight="1" x14ac:dyDescent="0.45">
      <c r="A373" s="42">
        <v>324</v>
      </c>
      <c r="B373" s="412" t="s">
        <v>2210</v>
      </c>
      <c r="C373" s="44" t="s">
        <v>2211</v>
      </c>
      <c r="D373" s="44" t="s">
        <v>2191</v>
      </c>
      <c r="E373" s="412" t="s">
        <v>630</v>
      </c>
      <c r="F373" s="45" t="s">
        <v>2193</v>
      </c>
      <c r="G373" s="44" t="s">
        <v>2194</v>
      </c>
      <c r="H373" s="44" t="s">
        <v>633</v>
      </c>
      <c r="I373" s="46" t="s">
        <v>590</v>
      </c>
      <c r="J373" s="46" t="s">
        <v>634</v>
      </c>
      <c r="K373" s="44" t="s">
        <v>558</v>
      </c>
      <c r="L373" s="66" t="s">
        <v>559</v>
      </c>
      <c r="M373" s="44" t="s">
        <v>2213</v>
      </c>
      <c r="N373" s="47" t="s">
        <v>66</v>
      </c>
      <c r="O373" s="48" t="s">
        <v>593</v>
      </c>
      <c r="P373" s="44" t="s">
        <v>2196</v>
      </c>
      <c r="Q373" s="70" t="s">
        <v>637</v>
      </c>
      <c r="R373" s="70" t="s">
        <v>638</v>
      </c>
      <c r="S373" s="71" t="s">
        <v>639</v>
      </c>
      <c r="T373" s="70" t="s">
        <v>640</v>
      </c>
      <c r="U373" s="25" t="s">
        <v>641</v>
      </c>
      <c r="V373" s="70" t="s">
        <v>642</v>
      </c>
      <c r="W373" s="72" t="s">
        <v>643</v>
      </c>
      <c r="X373" s="70" t="s">
        <v>644</v>
      </c>
      <c r="Y373" s="49" t="s">
        <v>645</v>
      </c>
      <c r="Z373" s="70" t="s">
        <v>646</v>
      </c>
      <c r="AA373" s="71" t="s">
        <v>647</v>
      </c>
      <c r="AB373" s="70" t="s">
        <v>648</v>
      </c>
      <c r="AC373" s="70" t="s">
        <v>649</v>
      </c>
      <c r="AD373" s="49" t="s">
        <v>650</v>
      </c>
      <c r="AE373" s="26" t="s">
        <v>651</v>
      </c>
      <c r="AF373" s="27" t="s">
        <v>652</v>
      </c>
      <c r="AG373" s="70" t="s">
        <v>653</v>
      </c>
      <c r="AH373" s="70" t="s">
        <v>654</v>
      </c>
      <c r="AI373" s="73" t="s">
        <v>215</v>
      </c>
      <c r="AJ373" s="70" t="s">
        <v>216</v>
      </c>
      <c r="AK373" s="74" t="s">
        <v>217</v>
      </c>
      <c r="AL373" s="75" t="s">
        <v>218</v>
      </c>
      <c r="AM373" s="76" t="s">
        <v>219</v>
      </c>
      <c r="AN373" s="50" t="s">
        <v>220</v>
      </c>
      <c r="AO373" s="77" t="s">
        <v>221</v>
      </c>
      <c r="AP373" s="51" t="s">
        <v>138</v>
      </c>
      <c r="AQ373" s="78" t="s">
        <v>139</v>
      </c>
      <c r="AR373" s="74" t="s">
        <v>140</v>
      </c>
      <c r="AS373" s="22" t="s">
        <v>141</v>
      </c>
      <c r="AT373" s="75" t="s">
        <v>142</v>
      </c>
      <c r="AU373" s="79" t="s">
        <v>143</v>
      </c>
      <c r="AV373" s="80" t="s">
        <v>144</v>
      </c>
      <c r="AW373" s="81" t="s">
        <v>145</v>
      </c>
      <c r="AX373" s="82" t="s">
        <v>146</v>
      </c>
      <c r="AY373" s="83" t="s">
        <v>147</v>
      </c>
      <c r="AZ373" s="80" t="s">
        <v>585</v>
      </c>
      <c r="BA373" s="41" t="s">
        <v>105</v>
      </c>
      <c r="BB373" s="591" t="str">
        <f t="shared" si="25"/>
        <v>TEMPLATE</v>
      </c>
      <c r="BC373" s="591" t="str">
        <f t="shared" si="26"/>
        <v>17. Regional Health Clusters-RHC2-MOH-EMR-NABIDH</v>
      </c>
      <c r="BD373" s="591" t="str">
        <f t="shared" si="27"/>
        <v>RHC2-MOH-EMR-NABIDH</v>
      </c>
      <c r="BE373" s="591" t="str">
        <f t="shared" si="28"/>
        <v>NONE</v>
      </c>
      <c r="BF373" s="594">
        <f t="shared" si="29"/>
        <v>11</v>
      </c>
    </row>
    <row r="374" spans="1:58" ht="42" customHeight="1" x14ac:dyDescent="0.45">
      <c r="A374" s="84">
        <v>325</v>
      </c>
      <c r="B374" s="411" t="s">
        <v>2210</v>
      </c>
      <c r="C374" s="70" t="s">
        <v>2211</v>
      </c>
      <c r="D374" s="70" t="s">
        <v>2191</v>
      </c>
      <c r="E374" s="411" t="s">
        <v>655</v>
      </c>
      <c r="F374" s="72" t="s">
        <v>656</v>
      </c>
      <c r="G374" s="70" t="s">
        <v>657</v>
      </c>
      <c r="H374" s="70" t="s">
        <v>589</v>
      </c>
      <c r="I374" s="71" t="s">
        <v>658</v>
      </c>
      <c r="J374" s="71" t="s">
        <v>659</v>
      </c>
      <c r="K374" s="70" t="s">
        <v>558</v>
      </c>
      <c r="L374" s="66" t="s">
        <v>559</v>
      </c>
      <c r="M374" s="70" t="s">
        <v>2214</v>
      </c>
      <c r="N374" s="86" t="s">
        <v>66</v>
      </c>
      <c r="O374" s="87" t="s">
        <v>593</v>
      </c>
      <c r="P374" s="70" t="s">
        <v>661</v>
      </c>
      <c r="Q374" s="70" t="s">
        <v>662</v>
      </c>
      <c r="R374" s="70" t="s">
        <v>663</v>
      </c>
      <c r="S374" s="71" t="s">
        <v>664</v>
      </c>
      <c r="T374" s="70" t="s">
        <v>665</v>
      </c>
      <c r="U374" s="25" t="s">
        <v>666</v>
      </c>
      <c r="V374" s="70" t="s">
        <v>667</v>
      </c>
      <c r="W374" s="72" t="s">
        <v>668</v>
      </c>
      <c r="X374" s="70" t="s">
        <v>669</v>
      </c>
      <c r="Y374" s="22" t="s">
        <v>205</v>
      </c>
      <c r="Z374" s="70" t="s">
        <v>670</v>
      </c>
      <c r="AA374" s="71" t="s">
        <v>671</v>
      </c>
      <c r="AB374" s="70" t="s">
        <v>672</v>
      </c>
      <c r="AC374" s="70" t="s">
        <v>673</v>
      </c>
      <c r="AD374" s="49" t="s">
        <v>674</v>
      </c>
      <c r="AE374" s="26" t="s">
        <v>675</v>
      </c>
      <c r="AF374" s="27" t="s">
        <v>676</v>
      </c>
      <c r="AG374" s="70" t="s">
        <v>677</v>
      </c>
      <c r="AH374" s="70" t="s">
        <v>678</v>
      </c>
      <c r="AI374" s="73" t="s">
        <v>215</v>
      </c>
      <c r="AJ374" s="70" t="s">
        <v>216</v>
      </c>
      <c r="AK374" s="74" t="s">
        <v>217</v>
      </c>
      <c r="AL374" s="75" t="s">
        <v>218</v>
      </c>
      <c r="AM374" s="76" t="s">
        <v>219</v>
      </c>
      <c r="AN374" s="50" t="s">
        <v>220</v>
      </c>
      <c r="AO374" s="77" t="s">
        <v>221</v>
      </c>
      <c r="AP374" s="51" t="s">
        <v>138</v>
      </c>
      <c r="AQ374" s="78" t="s">
        <v>139</v>
      </c>
      <c r="AR374" s="74" t="s">
        <v>140</v>
      </c>
      <c r="AS374" s="22" t="s">
        <v>141</v>
      </c>
      <c r="AT374" s="75" t="s">
        <v>142</v>
      </c>
      <c r="AU374" s="79" t="s">
        <v>143</v>
      </c>
      <c r="AV374" s="80" t="s">
        <v>144</v>
      </c>
      <c r="AW374" s="81" t="s">
        <v>145</v>
      </c>
      <c r="AX374" s="82" t="s">
        <v>146</v>
      </c>
      <c r="AY374" s="83" t="s">
        <v>147</v>
      </c>
      <c r="AZ374" s="80" t="s">
        <v>585</v>
      </c>
      <c r="BA374" s="41" t="s">
        <v>105</v>
      </c>
      <c r="BB374" s="591" t="str">
        <f t="shared" si="25"/>
        <v>TEMPLATE</v>
      </c>
      <c r="BC374" s="591" t="str">
        <f t="shared" si="26"/>
        <v>17. Regional Health Clusters-RHC2-MOH-PS</v>
      </c>
      <c r="BD374" s="591" t="str">
        <f t="shared" si="27"/>
        <v>RHC2-MOH-PS</v>
      </c>
      <c r="BE374" s="591" t="str">
        <f t="shared" si="28"/>
        <v>NONE</v>
      </c>
      <c r="BF374" s="594">
        <f t="shared" si="29"/>
        <v>11</v>
      </c>
    </row>
    <row r="375" spans="1:58" ht="42" customHeight="1" x14ac:dyDescent="0.45">
      <c r="A375" s="42">
        <v>326</v>
      </c>
      <c r="B375" s="412" t="s">
        <v>2210</v>
      </c>
      <c r="C375" s="44" t="s">
        <v>2211</v>
      </c>
      <c r="D375" s="44" t="s">
        <v>2191</v>
      </c>
      <c r="E375" s="412" t="s">
        <v>679</v>
      </c>
      <c r="F375" s="45" t="s">
        <v>680</v>
      </c>
      <c r="G375" s="44" t="s">
        <v>681</v>
      </c>
      <c r="H375" s="44" t="s">
        <v>225</v>
      </c>
      <c r="I375" s="46" t="s">
        <v>682</v>
      </c>
      <c r="J375" s="46" t="s">
        <v>386</v>
      </c>
      <c r="K375" s="44" t="s">
        <v>558</v>
      </c>
      <c r="L375" s="66" t="s">
        <v>559</v>
      </c>
      <c r="M375" s="44" t="s">
        <v>2215</v>
      </c>
      <c r="N375" s="54" t="s">
        <v>154</v>
      </c>
      <c r="O375" s="48" t="s">
        <v>593</v>
      </c>
      <c r="P375" s="44" t="s">
        <v>661</v>
      </c>
      <c r="Q375" s="70" t="s">
        <v>683</v>
      </c>
      <c r="R375" s="70" t="s">
        <v>684</v>
      </c>
      <c r="S375" s="71" t="s">
        <v>685</v>
      </c>
      <c r="T375" s="70" t="s">
        <v>686</v>
      </c>
      <c r="U375" s="25" t="s">
        <v>687</v>
      </c>
      <c r="V375" s="70" t="s">
        <v>282</v>
      </c>
      <c r="W375" s="72" t="s">
        <v>283</v>
      </c>
      <c r="X375" s="70" t="s">
        <v>284</v>
      </c>
      <c r="Y375" s="49" t="s">
        <v>285</v>
      </c>
      <c r="Z375" s="70" t="s">
        <v>286</v>
      </c>
      <c r="AA375" s="71" t="s">
        <v>286</v>
      </c>
      <c r="AB375" s="70" t="s">
        <v>287</v>
      </c>
      <c r="AC375" s="70" t="s">
        <v>288</v>
      </c>
      <c r="AD375" s="49" t="s">
        <v>289</v>
      </c>
      <c r="AE375" s="58" t="s">
        <v>290</v>
      </c>
      <c r="AF375" s="56" t="s">
        <v>291</v>
      </c>
      <c r="AG375" s="70" t="s">
        <v>292</v>
      </c>
      <c r="AH375" s="70" t="s">
        <v>293</v>
      </c>
      <c r="AI375" s="73" t="s">
        <v>215</v>
      </c>
      <c r="AJ375" s="70" t="s">
        <v>216</v>
      </c>
      <c r="AK375" s="74" t="s">
        <v>217</v>
      </c>
      <c r="AL375" s="75" t="s">
        <v>218</v>
      </c>
      <c r="AM375" s="76" t="s">
        <v>219</v>
      </c>
      <c r="AN375" s="50" t="s">
        <v>220</v>
      </c>
      <c r="AO375" s="77" t="s">
        <v>221</v>
      </c>
      <c r="AP375" s="51" t="s">
        <v>138</v>
      </c>
      <c r="AQ375" s="78" t="s">
        <v>139</v>
      </c>
      <c r="AR375" s="74" t="s">
        <v>140</v>
      </c>
      <c r="AS375" s="22" t="s">
        <v>141</v>
      </c>
      <c r="AT375" s="75" t="s">
        <v>142</v>
      </c>
      <c r="AU375" s="79" t="s">
        <v>143</v>
      </c>
      <c r="AV375" s="80" t="s">
        <v>144</v>
      </c>
      <c r="AW375" s="81" t="s">
        <v>145</v>
      </c>
      <c r="AX375" s="82" t="s">
        <v>146</v>
      </c>
      <c r="AY375" s="83" t="s">
        <v>147</v>
      </c>
      <c r="AZ375" s="80" t="s">
        <v>585</v>
      </c>
      <c r="BA375" s="41" t="s">
        <v>105</v>
      </c>
      <c r="BB375" s="591" t="str">
        <f t="shared" si="25"/>
        <v>TEMPLATE</v>
      </c>
      <c r="BC375" s="591" t="str">
        <f t="shared" si="26"/>
        <v>17. Regional Health Clusters-RHC2-MOH-PR</v>
      </c>
      <c r="BD375" s="591" t="str">
        <f t="shared" si="27"/>
        <v>RHC2-MOH-PR</v>
      </c>
      <c r="BE375" s="591" t="str">
        <f t="shared" si="28"/>
        <v>NONE</v>
      </c>
      <c r="BF375" s="594">
        <f t="shared" si="29"/>
        <v>9</v>
      </c>
    </row>
    <row r="376" spans="1:58" ht="42" customHeight="1" x14ac:dyDescent="0.45">
      <c r="A376" s="84">
        <v>327</v>
      </c>
      <c r="B376" s="411" t="s">
        <v>2210</v>
      </c>
      <c r="C376" s="70" t="s">
        <v>2211</v>
      </c>
      <c r="D376" s="70" t="s">
        <v>2191</v>
      </c>
      <c r="E376" s="411" t="s">
        <v>930</v>
      </c>
      <c r="F376" s="72" t="s">
        <v>2199</v>
      </c>
      <c r="G376" s="70" t="s">
        <v>932</v>
      </c>
      <c r="H376" s="70" t="s">
        <v>2200</v>
      </c>
      <c r="I376" s="71" t="s">
        <v>924</v>
      </c>
      <c r="J376" s="71" t="s">
        <v>934</v>
      </c>
      <c r="K376" s="70" t="s">
        <v>558</v>
      </c>
      <c r="L376" s="92" t="s">
        <v>935</v>
      </c>
      <c r="M376" s="70" t="s">
        <v>2216</v>
      </c>
      <c r="N376" s="86" t="s">
        <v>66</v>
      </c>
      <c r="O376" s="87" t="s">
        <v>937</v>
      </c>
      <c r="P376" s="70" t="s">
        <v>979</v>
      </c>
      <c r="Q376" s="70" t="s">
        <v>939</v>
      </c>
      <c r="R376" s="70" t="s">
        <v>940</v>
      </c>
      <c r="S376" s="71" t="s">
        <v>941</v>
      </c>
      <c r="T376" s="70" t="s">
        <v>942</v>
      </c>
      <c r="U376" s="25" t="s">
        <v>943</v>
      </c>
      <c r="V376" s="70" t="s">
        <v>944</v>
      </c>
      <c r="W376" s="72" t="s">
        <v>945</v>
      </c>
      <c r="X376" s="70" t="s">
        <v>946</v>
      </c>
      <c r="Y376" s="49" t="s">
        <v>947</v>
      </c>
      <c r="Z376" s="70" t="s">
        <v>948</v>
      </c>
      <c r="AA376" s="71" t="s">
        <v>949</v>
      </c>
      <c r="AB376" s="70" t="s">
        <v>950</v>
      </c>
      <c r="AC376" s="70" t="s">
        <v>951</v>
      </c>
      <c r="AD376" s="22" t="s">
        <v>82</v>
      </c>
      <c r="AE376" s="26" t="s">
        <v>952</v>
      </c>
      <c r="AF376" s="27" t="s">
        <v>953</v>
      </c>
      <c r="AG376" s="70" t="s">
        <v>954</v>
      </c>
      <c r="AH376" s="70" t="s">
        <v>955</v>
      </c>
      <c r="AI376" s="73" t="s">
        <v>956</v>
      </c>
      <c r="AJ376" s="70" t="s">
        <v>957</v>
      </c>
      <c r="AK376" s="74" t="s">
        <v>958</v>
      </c>
      <c r="AL376" s="75" t="s">
        <v>959</v>
      </c>
      <c r="AM376" s="76" t="s">
        <v>960</v>
      </c>
      <c r="AN376" s="50" t="s">
        <v>961</v>
      </c>
      <c r="AO376" s="77" t="s">
        <v>962</v>
      </c>
      <c r="AP376" s="51" t="s">
        <v>963</v>
      </c>
      <c r="AQ376" s="78" t="s">
        <v>964</v>
      </c>
      <c r="AR376" s="74" t="s">
        <v>965</v>
      </c>
      <c r="AS376" s="92" t="s">
        <v>966</v>
      </c>
      <c r="AT376" s="75" t="s">
        <v>967</v>
      </c>
      <c r="AU376" s="79" t="s">
        <v>968</v>
      </c>
      <c r="AV376" s="80" t="s">
        <v>969</v>
      </c>
      <c r="AW376" s="81" t="s">
        <v>970</v>
      </c>
      <c r="AX376" s="82" t="s">
        <v>971</v>
      </c>
      <c r="AY376" s="83" t="s">
        <v>972</v>
      </c>
      <c r="AZ376" s="80" t="s">
        <v>585</v>
      </c>
      <c r="BA376" s="41" t="s">
        <v>105</v>
      </c>
      <c r="BB376" s="591" t="str">
        <f t="shared" si="25"/>
        <v>DEEP</v>
      </c>
      <c r="BC376" s="591" t="str">
        <f t="shared" si="26"/>
        <v>17. Regional Health Clusters-RHC2-CBAHI-HAS-H</v>
      </c>
      <c r="BD376" s="591" t="str">
        <f t="shared" si="27"/>
        <v>RHC2-CBAHI-HAS-H</v>
      </c>
      <c r="BE376" s="591" t="str">
        <f t="shared" si="28"/>
        <v>NONE</v>
      </c>
      <c r="BF376" s="594">
        <f t="shared" si="29"/>
        <v>15</v>
      </c>
    </row>
    <row r="377" spans="1:58" ht="42" customHeight="1" x14ac:dyDescent="0.45">
      <c r="A377" s="42">
        <v>328</v>
      </c>
      <c r="B377" s="412" t="s">
        <v>2210</v>
      </c>
      <c r="C377" s="44" t="s">
        <v>2211</v>
      </c>
      <c r="D377" s="44" t="s">
        <v>2191</v>
      </c>
      <c r="E377" s="412" t="s">
        <v>557</v>
      </c>
      <c r="F377" s="45" t="s">
        <v>58</v>
      </c>
      <c r="G377" s="44" t="s">
        <v>59</v>
      </c>
      <c r="H377" s="44" t="s">
        <v>57</v>
      </c>
      <c r="I377" s="46" t="s">
        <v>61</v>
      </c>
      <c r="J377" s="46" t="s">
        <v>62</v>
      </c>
      <c r="K377" s="44" t="s">
        <v>558</v>
      </c>
      <c r="L377" s="66" t="s">
        <v>559</v>
      </c>
      <c r="M377" s="44" t="s">
        <v>2217</v>
      </c>
      <c r="N377" s="47" t="s">
        <v>66</v>
      </c>
      <c r="O377" s="48" t="s">
        <v>196</v>
      </c>
      <c r="P377" s="44" t="s">
        <v>561</v>
      </c>
      <c r="Q377" s="70" t="s">
        <v>562</v>
      </c>
      <c r="R377" s="70" t="s">
        <v>563</v>
      </c>
      <c r="S377" s="71" t="s">
        <v>564</v>
      </c>
      <c r="T377" s="70" t="s">
        <v>565</v>
      </c>
      <c r="U377" s="25" t="s">
        <v>566</v>
      </c>
      <c r="V377" s="70" t="s">
        <v>282</v>
      </c>
      <c r="W377" s="72" t="s">
        <v>283</v>
      </c>
      <c r="X377" s="70" t="s">
        <v>284</v>
      </c>
      <c r="Y377" s="49" t="s">
        <v>285</v>
      </c>
      <c r="Z377" s="70" t="s">
        <v>286</v>
      </c>
      <c r="AA377" s="71" t="s">
        <v>286</v>
      </c>
      <c r="AB377" s="70" t="s">
        <v>287</v>
      </c>
      <c r="AC377" s="70" t="s">
        <v>288</v>
      </c>
      <c r="AD377" s="49" t="s">
        <v>289</v>
      </c>
      <c r="AE377" s="58" t="s">
        <v>290</v>
      </c>
      <c r="AF377" s="56" t="s">
        <v>291</v>
      </c>
      <c r="AG377" s="70" t="s">
        <v>292</v>
      </c>
      <c r="AH377" s="70" t="s">
        <v>293</v>
      </c>
      <c r="AI377" s="73" t="s">
        <v>215</v>
      </c>
      <c r="AJ377" s="70" t="s">
        <v>216</v>
      </c>
      <c r="AK377" s="74" t="s">
        <v>217</v>
      </c>
      <c r="AL377" s="75" t="s">
        <v>218</v>
      </c>
      <c r="AM377" s="76" t="s">
        <v>219</v>
      </c>
      <c r="AN377" s="50" t="s">
        <v>220</v>
      </c>
      <c r="AO377" s="77" t="s">
        <v>221</v>
      </c>
      <c r="AP377" s="51" t="s">
        <v>138</v>
      </c>
      <c r="AQ377" s="78" t="s">
        <v>139</v>
      </c>
      <c r="AR377" s="74" t="s">
        <v>140</v>
      </c>
      <c r="AS377" s="22" t="s">
        <v>141</v>
      </c>
      <c r="AT377" s="75" t="s">
        <v>142</v>
      </c>
      <c r="AU377" s="79" t="s">
        <v>143</v>
      </c>
      <c r="AV377" s="80" t="s">
        <v>144</v>
      </c>
      <c r="AW377" s="81" t="s">
        <v>145</v>
      </c>
      <c r="AX377" s="82" t="s">
        <v>146</v>
      </c>
      <c r="AY377" s="83" t="s">
        <v>147</v>
      </c>
      <c r="AZ377" s="80" t="s">
        <v>567</v>
      </c>
      <c r="BA377" s="34" t="s">
        <v>320</v>
      </c>
      <c r="BB377" s="591" t="str">
        <f t="shared" si="25"/>
        <v>TEMPLATE</v>
      </c>
      <c r="BC377" s="591" t="str">
        <f t="shared" si="26"/>
        <v>17. Regional Health Clusters-RHC2-NCA-ECC-2:2024</v>
      </c>
      <c r="BD377" s="591" t="str">
        <f t="shared" si="27"/>
        <v>RHC2-NCA-ECC-2-2024</v>
      </c>
      <c r="BE377" s="591" t="str">
        <f t="shared" si="28"/>
        <v>NCA-ECC-2-2024</v>
      </c>
      <c r="BF377" s="594">
        <f t="shared" si="29"/>
        <v>11</v>
      </c>
    </row>
    <row r="378" spans="1:58" ht="42" customHeight="1" x14ac:dyDescent="0.45">
      <c r="A378" s="84">
        <v>329</v>
      </c>
      <c r="B378" s="411" t="s">
        <v>2210</v>
      </c>
      <c r="C378" s="70" t="s">
        <v>2211</v>
      </c>
      <c r="D378" s="70" t="s">
        <v>2191</v>
      </c>
      <c r="E378" s="411" t="s">
        <v>382</v>
      </c>
      <c r="F378" s="72" t="s">
        <v>383</v>
      </c>
      <c r="G378" s="70" t="s">
        <v>384</v>
      </c>
      <c r="H378" s="70" t="s">
        <v>765</v>
      </c>
      <c r="I378" s="71" t="s">
        <v>250</v>
      </c>
      <c r="J378" s="71" t="s">
        <v>386</v>
      </c>
      <c r="K378" s="70" t="s">
        <v>558</v>
      </c>
      <c r="L378" s="66" t="s">
        <v>559</v>
      </c>
      <c r="M378" s="70" t="s">
        <v>2218</v>
      </c>
      <c r="N378" s="86" t="s">
        <v>66</v>
      </c>
      <c r="O378" s="87" t="s">
        <v>540</v>
      </c>
      <c r="P378" s="70" t="s">
        <v>380</v>
      </c>
      <c r="Q378" s="70" t="s">
        <v>390</v>
      </c>
      <c r="R378" s="70" t="s">
        <v>391</v>
      </c>
      <c r="S378" s="71" t="s">
        <v>392</v>
      </c>
      <c r="T378" s="70" t="s">
        <v>393</v>
      </c>
      <c r="U378" s="25" t="s">
        <v>394</v>
      </c>
      <c r="V378" s="70" t="s">
        <v>395</v>
      </c>
      <c r="W378" s="72" t="s">
        <v>396</v>
      </c>
      <c r="X378" s="70" t="s">
        <v>397</v>
      </c>
      <c r="Y378" s="49" t="s">
        <v>398</v>
      </c>
      <c r="Z378" s="70" t="s">
        <v>399</v>
      </c>
      <c r="AA378" s="71" t="s">
        <v>400</v>
      </c>
      <c r="AB378" s="70" t="s">
        <v>401</v>
      </c>
      <c r="AC378" s="70" t="s">
        <v>402</v>
      </c>
      <c r="AD378" s="49" t="s">
        <v>403</v>
      </c>
      <c r="AE378" s="50" t="s">
        <v>404</v>
      </c>
      <c r="AF378" s="60" t="s">
        <v>405</v>
      </c>
      <c r="AG378" s="70" t="s">
        <v>406</v>
      </c>
      <c r="AH378" s="70" t="s">
        <v>407</v>
      </c>
      <c r="AI378" s="73" t="s">
        <v>408</v>
      </c>
      <c r="AJ378" s="70" t="s">
        <v>409</v>
      </c>
      <c r="AK378" s="74" t="s">
        <v>410</v>
      </c>
      <c r="AL378" s="75" t="s">
        <v>411</v>
      </c>
      <c r="AM378" s="76" t="s">
        <v>412</v>
      </c>
      <c r="AN378" s="50" t="s">
        <v>413</v>
      </c>
      <c r="AO378" s="77" t="s">
        <v>414</v>
      </c>
      <c r="AP378" s="51" t="s">
        <v>415</v>
      </c>
      <c r="AQ378" s="78" t="s">
        <v>416</v>
      </c>
      <c r="AR378" s="74" t="s">
        <v>417</v>
      </c>
      <c r="AS378" s="22" t="s">
        <v>418</v>
      </c>
      <c r="AT378" s="75" t="s">
        <v>419</v>
      </c>
      <c r="AU378" s="79" t="s">
        <v>420</v>
      </c>
      <c r="AV378" s="80" t="s">
        <v>421</v>
      </c>
      <c r="AW378" s="81" t="s">
        <v>422</v>
      </c>
      <c r="AX378" s="82" t="s">
        <v>423</v>
      </c>
      <c r="AY378" s="83" t="s">
        <v>424</v>
      </c>
      <c r="AZ378" s="80" t="s">
        <v>425</v>
      </c>
      <c r="BA378" s="34" t="s">
        <v>320</v>
      </c>
      <c r="BB378" s="591" t="str">
        <f t="shared" si="25"/>
        <v>DEEP</v>
      </c>
      <c r="BC378" s="591" t="str">
        <f t="shared" si="26"/>
        <v>17. Regional Health Clusters-RHC2-PDPL-2021</v>
      </c>
      <c r="BD378" s="591" t="str">
        <f t="shared" si="27"/>
        <v>RHC2-PDPL-2021</v>
      </c>
      <c r="BE378" s="591" t="str">
        <f t="shared" si="28"/>
        <v>NONE</v>
      </c>
      <c r="BF378" s="594">
        <f t="shared" si="29"/>
        <v>18</v>
      </c>
    </row>
    <row r="379" spans="1:58" ht="42" customHeight="1" x14ac:dyDescent="0.45">
      <c r="A379" s="42">
        <v>330</v>
      </c>
      <c r="B379" s="412" t="s">
        <v>2210</v>
      </c>
      <c r="C379" s="44" t="s">
        <v>2211</v>
      </c>
      <c r="D379" s="44" t="s">
        <v>2191</v>
      </c>
      <c r="E379" s="412" t="s">
        <v>688</v>
      </c>
      <c r="F379" s="45" t="s">
        <v>689</v>
      </c>
      <c r="G379" s="44" t="s">
        <v>690</v>
      </c>
      <c r="H379" s="44" t="s">
        <v>691</v>
      </c>
      <c r="I379" s="46" t="s">
        <v>151</v>
      </c>
      <c r="J379" s="46" t="s">
        <v>692</v>
      </c>
      <c r="K379" s="44" t="s">
        <v>558</v>
      </c>
      <c r="L379" s="66" t="s">
        <v>559</v>
      </c>
      <c r="M379" s="44" t="s">
        <v>2219</v>
      </c>
      <c r="N379" s="54" t="s">
        <v>154</v>
      </c>
      <c r="O379" s="48" t="s">
        <v>593</v>
      </c>
      <c r="P379" s="44" t="s">
        <v>636</v>
      </c>
      <c r="Q379" s="70" t="s">
        <v>695</v>
      </c>
      <c r="R379" s="70" t="s">
        <v>696</v>
      </c>
      <c r="S379" s="71" t="s">
        <v>697</v>
      </c>
      <c r="T379" s="70" t="s">
        <v>698</v>
      </c>
      <c r="U379" s="25" t="s">
        <v>699</v>
      </c>
      <c r="V379" s="70" t="s">
        <v>700</v>
      </c>
      <c r="W379" s="72" t="s">
        <v>701</v>
      </c>
      <c r="X379" s="70" t="s">
        <v>702</v>
      </c>
      <c r="Y379" s="22" t="s">
        <v>205</v>
      </c>
      <c r="Z379" s="70" t="s">
        <v>703</v>
      </c>
      <c r="AA379" s="71" t="s">
        <v>704</v>
      </c>
      <c r="AB379" s="70" t="s">
        <v>705</v>
      </c>
      <c r="AC379" s="70" t="s">
        <v>706</v>
      </c>
      <c r="AD379" s="49" t="s">
        <v>707</v>
      </c>
      <c r="AE379" s="26" t="s">
        <v>675</v>
      </c>
      <c r="AF379" s="60" t="s">
        <v>708</v>
      </c>
      <c r="AG379" s="70" t="s">
        <v>709</v>
      </c>
      <c r="AH379" s="70" t="s">
        <v>710</v>
      </c>
      <c r="AI379" s="73" t="s">
        <v>711</v>
      </c>
      <c r="AJ379" s="70" t="s">
        <v>712</v>
      </c>
      <c r="AK379" s="74" t="s">
        <v>713</v>
      </c>
      <c r="AL379" s="75" t="s">
        <v>714</v>
      </c>
      <c r="AM379" s="76" t="s">
        <v>715</v>
      </c>
      <c r="AN379" s="50" t="s">
        <v>716</v>
      </c>
      <c r="AO379" s="77" t="s">
        <v>717</v>
      </c>
      <c r="AP379" s="51" t="s">
        <v>718</v>
      </c>
      <c r="AQ379" s="78" t="s">
        <v>719</v>
      </c>
      <c r="AR379" s="74" t="s">
        <v>720</v>
      </c>
      <c r="AS379" s="61" t="s">
        <v>721</v>
      </c>
      <c r="AT379" s="75" t="s">
        <v>722</v>
      </c>
      <c r="AU379" s="79" t="s">
        <v>723</v>
      </c>
      <c r="AV379" s="80" t="s">
        <v>724</v>
      </c>
      <c r="AW379" s="81" t="s">
        <v>725</v>
      </c>
      <c r="AX379" s="82" t="s">
        <v>726</v>
      </c>
      <c r="AY379" s="83" t="s">
        <v>727</v>
      </c>
      <c r="AZ379" s="80" t="s">
        <v>728</v>
      </c>
      <c r="BA379" s="41" t="s">
        <v>105</v>
      </c>
      <c r="BB379" s="591" t="str">
        <f t="shared" si="25"/>
        <v>DEEP</v>
      </c>
      <c r="BC379" s="591" t="str">
        <f t="shared" si="26"/>
        <v>17. Regional Health Clusters-RHC2-MOH-TELE</v>
      </c>
      <c r="BD379" s="591" t="str">
        <f t="shared" si="27"/>
        <v>RHC2-MOH-TELE</v>
      </c>
      <c r="BE379" s="591" t="str">
        <f t="shared" si="28"/>
        <v>NONE</v>
      </c>
      <c r="BF379" s="594">
        <f t="shared" si="29"/>
        <v>16</v>
      </c>
    </row>
    <row r="380" spans="1:58" ht="42" customHeight="1" x14ac:dyDescent="0.45">
      <c r="A380" s="84">
        <v>331</v>
      </c>
      <c r="B380" s="411" t="s">
        <v>2210</v>
      </c>
      <c r="C380" s="70" t="s">
        <v>2211</v>
      </c>
      <c r="D380" s="70" t="s">
        <v>2191</v>
      </c>
      <c r="E380" s="411" t="s">
        <v>1246</v>
      </c>
      <c r="F380" s="72" t="s">
        <v>2205</v>
      </c>
      <c r="G380" s="70" t="s">
        <v>2206</v>
      </c>
      <c r="H380" s="70" t="s">
        <v>633</v>
      </c>
      <c r="I380" s="71" t="s">
        <v>61</v>
      </c>
      <c r="J380" s="71" t="s">
        <v>194</v>
      </c>
      <c r="K380" s="70" t="s">
        <v>558</v>
      </c>
      <c r="L380" s="66" t="s">
        <v>559</v>
      </c>
      <c r="M380" s="70" t="s">
        <v>2220</v>
      </c>
      <c r="N380" s="86" t="s">
        <v>66</v>
      </c>
      <c r="O380" s="87" t="s">
        <v>1250</v>
      </c>
      <c r="P380" s="70" t="s">
        <v>1244</v>
      </c>
      <c r="Q380" s="70" t="s">
        <v>1252</v>
      </c>
      <c r="R380" s="70" t="s">
        <v>1253</v>
      </c>
      <c r="S380" s="71" t="s">
        <v>1254</v>
      </c>
      <c r="T380" s="70" t="s">
        <v>1255</v>
      </c>
      <c r="U380" s="25" t="s">
        <v>1256</v>
      </c>
      <c r="V380" s="70" t="s">
        <v>1257</v>
      </c>
      <c r="W380" s="72" t="s">
        <v>1258</v>
      </c>
      <c r="X380" s="70" t="s">
        <v>1259</v>
      </c>
      <c r="Y380" s="22" t="s">
        <v>205</v>
      </c>
      <c r="Z380" s="70" t="s">
        <v>1260</v>
      </c>
      <c r="AA380" s="71" t="s">
        <v>1261</v>
      </c>
      <c r="AB380" s="70" t="s">
        <v>1262</v>
      </c>
      <c r="AC380" s="70" t="s">
        <v>1263</v>
      </c>
      <c r="AD380" s="49" t="s">
        <v>650</v>
      </c>
      <c r="AE380" s="37" t="s">
        <v>1264</v>
      </c>
      <c r="AF380" s="27" t="s">
        <v>1265</v>
      </c>
      <c r="AG380" s="70" t="s">
        <v>1266</v>
      </c>
      <c r="AH380" s="70" t="s">
        <v>1267</v>
      </c>
      <c r="AI380" s="73" t="s">
        <v>215</v>
      </c>
      <c r="AJ380" s="70" t="s">
        <v>216</v>
      </c>
      <c r="AK380" s="74" t="s">
        <v>217</v>
      </c>
      <c r="AL380" s="75" t="s">
        <v>218</v>
      </c>
      <c r="AM380" s="76" t="s">
        <v>219</v>
      </c>
      <c r="AN380" s="50" t="s">
        <v>220</v>
      </c>
      <c r="AO380" s="77" t="s">
        <v>221</v>
      </c>
      <c r="AP380" s="51" t="s">
        <v>138</v>
      </c>
      <c r="AQ380" s="78" t="s">
        <v>139</v>
      </c>
      <c r="AR380" s="74" t="s">
        <v>140</v>
      </c>
      <c r="AS380" s="22" t="s">
        <v>141</v>
      </c>
      <c r="AT380" s="75" t="s">
        <v>142</v>
      </c>
      <c r="AU380" s="79" t="s">
        <v>143</v>
      </c>
      <c r="AV380" s="80" t="s">
        <v>144</v>
      </c>
      <c r="AW380" s="81" t="s">
        <v>145</v>
      </c>
      <c r="AX380" s="82" t="s">
        <v>146</v>
      </c>
      <c r="AY380" s="83" t="s">
        <v>147</v>
      </c>
      <c r="AZ380" s="80" t="s">
        <v>585</v>
      </c>
      <c r="BA380" s="41" t="s">
        <v>105</v>
      </c>
      <c r="BB380" s="591" t="str">
        <f t="shared" si="25"/>
        <v>TEMPLATE</v>
      </c>
      <c r="BC380" s="591" t="str">
        <f t="shared" si="26"/>
        <v>17. Regional Health Clusters-RHC2-NHIC-NABIDH</v>
      </c>
      <c r="BD380" s="591" t="str">
        <f t="shared" si="27"/>
        <v>RHC2-NHIC-NABIDH</v>
      </c>
      <c r="BE380" s="591" t="str">
        <f t="shared" si="28"/>
        <v>NONE</v>
      </c>
      <c r="BF380" s="594">
        <f t="shared" si="29"/>
        <v>11</v>
      </c>
    </row>
    <row r="381" spans="1:58" ht="42" customHeight="1" x14ac:dyDescent="0.45">
      <c r="A381" s="42">
        <v>332</v>
      </c>
      <c r="B381" s="412" t="s">
        <v>2210</v>
      </c>
      <c r="C381" s="44" t="s">
        <v>2211</v>
      </c>
      <c r="D381" s="44" t="s">
        <v>2191</v>
      </c>
      <c r="E381" s="412" t="s">
        <v>770</v>
      </c>
      <c r="F381" s="45" t="s">
        <v>107</v>
      </c>
      <c r="G381" s="44" t="s">
        <v>108</v>
      </c>
      <c r="H381" s="44" t="s">
        <v>106</v>
      </c>
      <c r="I381" s="46" t="s">
        <v>109</v>
      </c>
      <c r="J381" s="46" t="s">
        <v>110</v>
      </c>
      <c r="K381" s="44" t="s">
        <v>558</v>
      </c>
      <c r="L381" s="66" t="s">
        <v>559</v>
      </c>
      <c r="M381" s="44" t="s">
        <v>2221</v>
      </c>
      <c r="N381" s="47" t="s">
        <v>66</v>
      </c>
      <c r="O381" s="48" t="s">
        <v>196</v>
      </c>
      <c r="P381" s="44" t="s">
        <v>2209</v>
      </c>
      <c r="Q381" s="70" t="s">
        <v>562</v>
      </c>
      <c r="R381" s="70" t="s">
        <v>563</v>
      </c>
      <c r="S381" s="71" t="s">
        <v>564</v>
      </c>
      <c r="T381" s="70" t="s">
        <v>565</v>
      </c>
      <c r="U381" s="25" t="s">
        <v>566</v>
      </c>
      <c r="V381" s="70" t="s">
        <v>282</v>
      </c>
      <c r="W381" s="72" t="s">
        <v>283</v>
      </c>
      <c r="X381" s="70" t="s">
        <v>284</v>
      </c>
      <c r="Y381" s="49" t="s">
        <v>285</v>
      </c>
      <c r="Z381" s="70" t="s">
        <v>286</v>
      </c>
      <c r="AA381" s="71" t="s">
        <v>286</v>
      </c>
      <c r="AB381" s="70" t="s">
        <v>287</v>
      </c>
      <c r="AC381" s="70" t="s">
        <v>288</v>
      </c>
      <c r="AD381" s="49" t="s">
        <v>289</v>
      </c>
      <c r="AE381" s="58" t="s">
        <v>290</v>
      </c>
      <c r="AF381" s="56" t="s">
        <v>291</v>
      </c>
      <c r="AG381" s="70" t="s">
        <v>292</v>
      </c>
      <c r="AH381" s="70" t="s">
        <v>293</v>
      </c>
      <c r="AI381" s="73" t="s">
        <v>215</v>
      </c>
      <c r="AJ381" s="70" t="s">
        <v>216</v>
      </c>
      <c r="AK381" s="74" t="s">
        <v>217</v>
      </c>
      <c r="AL381" s="75" t="s">
        <v>218</v>
      </c>
      <c r="AM381" s="76" t="s">
        <v>219</v>
      </c>
      <c r="AN381" s="50" t="s">
        <v>220</v>
      </c>
      <c r="AO381" s="77" t="s">
        <v>221</v>
      </c>
      <c r="AP381" s="53" t="s">
        <v>773</v>
      </c>
      <c r="AQ381" s="78" t="s">
        <v>774</v>
      </c>
      <c r="AR381" s="74" t="s">
        <v>775</v>
      </c>
      <c r="AS381" s="22" t="s">
        <v>776</v>
      </c>
      <c r="AT381" s="75" t="s">
        <v>777</v>
      </c>
      <c r="AU381" s="79" t="s">
        <v>778</v>
      </c>
      <c r="AV381" s="80" t="s">
        <v>779</v>
      </c>
      <c r="AW381" s="81" t="s">
        <v>780</v>
      </c>
      <c r="AX381" s="82" t="s">
        <v>781</v>
      </c>
      <c r="AY381" s="83" t="s">
        <v>782</v>
      </c>
      <c r="AZ381" s="80" t="s">
        <v>104</v>
      </c>
      <c r="BA381" s="41" t="s">
        <v>105</v>
      </c>
      <c r="BB381" s="591" t="str">
        <f t="shared" si="25"/>
        <v>TEMPLATE</v>
      </c>
      <c r="BC381" s="591" t="str">
        <f t="shared" si="26"/>
        <v>17. Regional Health Clusters-RHC2-NCA-OTCC</v>
      </c>
      <c r="BD381" s="591" t="str">
        <f t="shared" si="27"/>
        <v>RHC2-NCA-OTCC</v>
      </c>
      <c r="BE381" s="591" t="str">
        <f t="shared" si="28"/>
        <v>NCA-ECC-2-2024</v>
      </c>
      <c r="BF381" s="594">
        <f t="shared" si="29"/>
        <v>11</v>
      </c>
    </row>
    <row r="382" spans="1:58" ht="42" customHeight="1" x14ac:dyDescent="0.45">
      <c r="A382" s="84">
        <v>333</v>
      </c>
      <c r="B382" s="411" t="s">
        <v>2222</v>
      </c>
      <c r="C382" s="70" t="s">
        <v>2223</v>
      </c>
      <c r="D382" s="70" t="s">
        <v>2191</v>
      </c>
      <c r="E382" s="411" t="s">
        <v>586</v>
      </c>
      <c r="F382" s="72" t="s">
        <v>587</v>
      </c>
      <c r="G382" s="70" t="s">
        <v>588</v>
      </c>
      <c r="H382" s="70" t="s">
        <v>589</v>
      </c>
      <c r="I382" s="71" t="s">
        <v>590</v>
      </c>
      <c r="J382" s="71" t="s">
        <v>591</v>
      </c>
      <c r="K382" s="70" t="s">
        <v>558</v>
      </c>
      <c r="L382" s="66" t="s">
        <v>559</v>
      </c>
      <c r="M382" s="70" t="s">
        <v>2224</v>
      </c>
      <c r="N382" s="86" t="s">
        <v>66</v>
      </c>
      <c r="O382" s="87" t="s">
        <v>593</v>
      </c>
      <c r="P382" s="70" t="s">
        <v>661</v>
      </c>
      <c r="Q382" s="70" t="s">
        <v>595</v>
      </c>
      <c r="R382" s="70" t="s">
        <v>596</v>
      </c>
      <c r="S382" s="71" t="s">
        <v>597</v>
      </c>
      <c r="T382" s="70" t="s">
        <v>598</v>
      </c>
      <c r="U382" s="25" t="s">
        <v>599</v>
      </c>
      <c r="V382" s="70" t="s">
        <v>600</v>
      </c>
      <c r="W382" s="72" t="s">
        <v>601</v>
      </c>
      <c r="X382" s="70" t="s">
        <v>602</v>
      </c>
      <c r="Y382" s="49" t="s">
        <v>603</v>
      </c>
      <c r="Z382" s="70" t="s">
        <v>604</v>
      </c>
      <c r="AA382" s="71" t="s">
        <v>605</v>
      </c>
      <c r="AB382" s="70" t="s">
        <v>606</v>
      </c>
      <c r="AC382" s="70" t="s">
        <v>607</v>
      </c>
      <c r="AD382" s="49" t="s">
        <v>608</v>
      </c>
      <c r="AE382" s="26" t="s">
        <v>609</v>
      </c>
      <c r="AF382" s="27" t="s">
        <v>610</v>
      </c>
      <c r="AG382" s="70" t="s">
        <v>611</v>
      </c>
      <c r="AH382" s="70" t="s">
        <v>612</v>
      </c>
      <c r="AI382" s="73" t="s">
        <v>613</v>
      </c>
      <c r="AJ382" s="70" t="s">
        <v>614</v>
      </c>
      <c r="AK382" s="74" t="s">
        <v>615</v>
      </c>
      <c r="AL382" s="75" t="s">
        <v>616</v>
      </c>
      <c r="AM382" s="76" t="s">
        <v>617</v>
      </c>
      <c r="AN382" s="50" t="s">
        <v>618</v>
      </c>
      <c r="AO382" s="77" t="s">
        <v>619</v>
      </c>
      <c r="AP382" s="34" t="s">
        <v>620</v>
      </c>
      <c r="AQ382" s="78" t="s">
        <v>621</v>
      </c>
      <c r="AR382" s="74" t="s">
        <v>622</v>
      </c>
      <c r="AS382" s="61" t="s">
        <v>623</v>
      </c>
      <c r="AT382" s="75" t="s">
        <v>624</v>
      </c>
      <c r="AU382" s="79" t="s">
        <v>625</v>
      </c>
      <c r="AV382" s="80" t="s">
        <v>626</v>
      </c>
      <c r="AW382" s="81" t="s">
        <v>627</v>
      </c>
      <c r="AX382" s="82" t="s">
        <v>628</v>
      </c>
      <c r="AY382" s="83" t="s">
        <v>629</v>
      </c>
      <c r="AZ382" s="80" t="s">
        <v>585</v>
      </c>
      <c r="BA382" s="41" t="s">
        <v>105</v>
      </c>
      <c r="BB382" s="591" t="str">
        <f t="shared" si="25"/>
        <v>DEEP</v>
      </c>
      <c r="BC382" s="591" t="str">
        <f t="shared" si="26"/>
        <v>17. Regional Health Clusters-JDHC-MOH-HIS</v>
      </c>
      <c r="BD382" s="591" t="str">
        <f t="shared" si="27"/>
        <v>JDHC-MOH-HIS</v>
      </c>
      <c r="BE382" s="591" t="str">
        <f t="shared" si="28"/>
        <v>NONE</v>
      </c>
      <c r="BF382" s="594">
        <f t="shared" si="29"/>
        <v>18</v>
      </c>
    </row>
    <row r="383" spans="1:58" ht="42" customHeight="1" x14ac:dyDescent="0.45">
      <c r="A383" s="42">
        <v>334</v>
      </c>
      <c r="B383" s="412" t="s">
        <v>2222</v>
      </c>
      <c r="C383" s="44" t="s">
        <v>2223</v>
      </c>
      <c r="D383" s="44" t="s">
        <v>2191</v>
      </c>
      <c r="E383" s="412" t="s">
        <v>630</v>
      </c>
      <c r="F383" s="45" t="s">
        <v>2193</v>
      </c>
      <c r="G383" s="44" t="s">
        <v>2194</v>
      </c>
      <c r="H383" s="44" t="s">
        <v>633</v>
      </c>
      <c r="I383" s="46" t="s">
        <v>590</v>
      </c>
      <c r="J383" s="46" t="s">
        <v>634</v>
      </c>
      <c r="K383" s="44" t="s">
        <v>558</v>
      </c>
      <c r="L383" s="66" t="s">
        <v>559</v>
      </c>
      <c r="M383" s="44" t="s">
        <v>2225</v>
      </c>
      <c r="N383" s="47" t="s">
        <v>66</v>
      </c>
      <c r="O383" s="48" t="s">
        <v>593</v>
      </c>
      <c r="P383" s="44" t="s">
        <v>2196</v>
      </c>
      <c r="Q383" s="70" t="s">
        <v>637</v>
      </c>
      <c r="R383" s="70" t="s">
        <v>638</v>
      </c>
      <c r="S383" s="71" t="s">
        <v>639</v>
      </c>
      <c r="T383" s="70" t="s">
        <v>640</v>
      </c>
      <c r="U383" s="25" t="s">
        <v>641</v>
      </c>
      <c r="V383" s="70" t="s">
        <v>642</v>
      </c>
      <c r="W383" s="72" t="s">
        <v>643</v>
      </c>
      <c r="X383" s="70" t="s">
        <v>644</v>
      </c>
      <c r="Y383" s="49" t="s">
        <v>645</v>
      </c>
      <c r="Z383" s="70" t="s">
        <v>646</v>
      </c>
      <c r="AA383" s="71" t="s">
        <v>647</v>
      </c>
      <c r="AB383" s="70" t="s">
        <v>648</v>
      </c>
      <c r="AC383" s="70" t="s">
        <v>649</v>
      </c>
      <c r="AD383" s="49" t="s">
        <v>650</v>
      </c>
      <c r="AE383" s="26" t="s">
        <v>651</v>
      </c>
      <c r="AF383" s="27" t="s">
        <v>652</v>
      </c>
      <c r="AG383" s="70" t="s">
        <v>653</v>
      </c>
      <c r="AH383" s="70" t="s">
        <v>654</v>
      </c>
      <c r="AI383" s="73" t="s">
        <v>215</v>
      </c>
      <c r="AJ383" s="70" t="s">
        <v>216</v>
      </c>
      <c r="AK383" s="74" t="s">
        <v>217</v>
      </c>
      <c r="AL383" s="75" t="s">
        <v>218</v>
      </c>
      <c r="AM383" s="76" t="s">
        <v>219</v>
      </c>
      <c r="AN383" s="50" t="s">
        <v>220</v>
      </c>
      <c r="AO383" s="77" t="s">
        <v>221</v>
      </c>
      <c r="AP383" s="51" t="s">
        <v>138</v>
      </c>
      <c r="AQ383" s="78" t="s">
        <v>139</v>
      </c>
      <c r="AR383" s="74" t="s">
        <v>140</v>
      </c>
      <c r="AS383" s="22" t="s">
        <v>141</v>
      </c>
      <c r="AT383" s="75" t="s">
        <v>142</v>
      </c>
      <c r="AU383" s="79" t="s">
        <v>143</v>
      </c>
      <c r="AV383" s="80" t="s">
        <v>144</v>
      </c>
      <c r="AW383" s="81" t="s">
        <v>145</v>
      </c>
      <c r="AX383" s="82" t="s">
        <v>146</v>
      </c>
      <c r="AY383" s="83" t="s">
        <v>147</v>
      </c>
      <c r="AZ383" s="80" t="s">
        <v>585</v>
      </c>
      <c r="BA383" s="41" t="s">
        <v>105</v>
      </c>
      <c r="BB383" s="591" t="str">
        <f t="shared" si="25"/>
        <v>TEMPLATE</v>
      </c>
      <c r="BC383" s="591" t="str">
        <f t="shared" si="26"/>
        <v>17. Regional Health Clusters-JDHC-MOH-EMR-NABIDH</v>
      </c>
      <c r="BD383" s="591" t="str">
        <f t="shared" si="27"/>
        <v>JDHC-MOH-EMR-NABIDH</v>
      </c>
      <c r="BE383" s="591" t="str">
        <f t="shared" si="28"/>
        <v>NONE</v>
      </c>
      <c r="BF383" s="594">
        <f t="shared" si="29"/>
        <v>11</v>
      </c>
    </row>
    <row r="384" spans="1:58" ht="42" customHeight="1" x14ac:dyDescent="0.45">
      <c r="A384" s="84">
        <v>335</v>
      </c>
      <c r="B384" s="411" t="s">
        <v>2222</v>
      </c>
      <c r="C384" s="70" t="s">
        <v>2223</v>
      </c>
      <c r="D384" s="70" t="s">
        <v>2191</v>
      </c>
      <c r="E384" s="411" t="s">
        <v>655</v>
      </c>
      <c r="F384" s="72" t="s">
        <v>656</v>
      </c>
      <c r="G384" s="70" t="s">
        <v>657</v>
      </c>
      <c r="H384" s="70" t="s">
        <v>589</v>
      </c>
      <c r="I384" s="71" t="s">
        <v>658</v>
      </c>
      <c r="J384" s="71" t="s">
        <v>659</v>
      </c>
      <c r="K384" s="70" t="s">
        <v>558</v>
      </c>
      <c r="L384" s="66" t="s">
        <v>559</v>
      </c>
      <c r="M384" s="70" t="s">
        <v>2226</v>
      </c>
      <c r="N384" s="86" t="s">
        <v>66</v>
      </c>
      <c r="O384" s="87" t="s">
        <v>593</v>
      </c>
      <c r="P384" s="70" t="s">
        <v>661</v>
      </c>
      <c r="Q384" s="70" t="s">
        <v>662</v>
      </c>
      <c r="R384" s="70" t="s">
        <v>663</v>
      </c>
      <c r="S384" s="71" t="s">
        <v>664</v>
      </c>
      <c r="T384" s="70" t="s">
        <v>665</v>
      </c>
      <c r="U384" s="25" t="s">
        <v>666</v>
      </c>
      <c r="V384" s="70" t="s">
        <v>667</v>
      </c>
      <c r="W384" s="72" t="s">
        <v>668</v>
      </c>
      <c r="X384" s="70" t="s">
        <v>669</v>
      </c>
      <c r="Y384" s="22" t="s">
        <v>205</v>
      </c>
      <c r="Z384" s="70" t="s">
        <v>670</v>
      </c>
      <c r="AA384" s="71" t="s">
        <v>671</v>
      </c>
      <c r="AB384" s="70" t="s">
        <v>672</v>
      </c>
      <c r="AC384" s="70" t="s">
        <v>673</v>
      </c>
      <c r="AD384" s="49" t="s">
        <v>674</v>
      </c>
      <c r="AE384" s="26" t="s">
        <v>675</v>
      </c>
      <c r="AF384" s="27" t="s">
        <v>676</v>
      </c>
      <c r="AG384" s="70" t="s">
        <v>677</v>
      </c>
      <c r="AH384" s="70" t="s">
        <v>678</v>
      </c>
      <c r="AI384" s="73" t="s">
        <v>215</v>
      </c>
      <c r="AJ384" s="70" t="s">
        <v>216</v>
      </c>
      <c r="AK384" s="74" t="s">
        <v>217</v>
      </c>
      <c r="AL384" s="75" t="s">
        <v>218</v>
      </c>
      <c r="AM384" s="76" t="s">
        <v>219</v>
      </c>
      <c r="AN384" s="50" t="s">
        <v>220</v>
      </c>
      <c r="AO384" s="77" t="s">
        <v>221</v>
      </c>
      <c r="AP384" s="51" t="s">
        <v>138</v>
      </c>
      <c r="AQ384" s="78" t="s">
        <v>139</v>
      </c>
      <c r="AR384" s="74" t="s">
        <v>140</v>
      </c>
      <c r="AS384" s="22" t="s">
        <v>141</v>
      </c>
      <c r="AT384" s="75" t="s">
        <v>142</v>
      </c>
      <c r="AU384" s="79" t="s">
        <v>143</v>
      </c>
      <c r="AV384" s="80" t="s">
        <v>144</v>
      </c>
      <c r="AW384" s="81" t="s">
        <v>145</v>
      </c>
      <c r="AX384" s="82" t="s">
        <v>146</v>
      </c>
      <c r="AY384" s="83" t="s">
        <v>147</v>
      </c>
      <c r="AZ384" s="80" t="s">
        <v>585</v>
      </c>
      <c r="BA384" s="41" t="s">
        <v>105</v>
      </c>
      <c r="BB384" s="591" t="str">
        <f t="shared" si="25"/>
        <v>TEMPLATE</v>
      </c>
      <c r="BC384" s="591" t="str">
        <f t="shared" si="26"/>
        <v>17. Regional Health Clusters-JDHC-MOH-PS</v>
      </c>
      <c r="BD384" s="591" t="str">
        <f t="shared" si="27"/>
        <v>JDHC-MOH-PS</v>
      </c>
      <c r="BE384" s="591" t="str">
        <f t="shared" si="28"/>
        <v>NONE</v>
      </c>
      <c r="BF384" s="594">
        <f t="shared" si="29"/>
        <v>11</v>
      </c>
    </row>
    <row r="385" spans="1:58" ht="42" customHeight="1" x14ac:dyDescent="0.45">
      <c r="A385" s="42">
        <v>336</v>
      </c>
      <c r="B385" s="412" t="s">
        <v>2222</v>
      </c>
      <c r="C385" s="44" t="s">
        <v>2223</v>
      </c>
      <c r="D385" s="44" t="s">
        <v>2191</v>
      </c>
      <c r="E385" s="412" t="s">
        <v>679</v>
      </c>
      <c r="F385" s="45" t="s">
        <v>680</v>
      </c>
      <c r="G385" s="44" t="s">
        <v>681</v>
      </c>
      <c r="H385" s="44" t="s">
        <v>225</v>
      </c>
      <c r="I385" s="46" t="s">
        <v>682</v>
      </c>
      <c r="J385" s="46" t="s">
        <v>386</v>
      </c>
      <c r="K385" s="44" t="s">
        <v>558</v>
      </c>
      <c r="L385" s="66" t="s">
        <v>559</v>
      </c>
      <c r="M385" s="44" t="s">
        <v>2227</v>
      </c>
      <c r="N385" s="54" t="s">
        <v>154</v>
      </c>
      <c r="O385" s="48" t="s">
        <v>593</v>
      </c>
      <c r="P385" s="44" t="s">
        <v>661</v>
      </c>
      <c r="Q385" s="70" t="s">
        <v>683</v>
      </c>
      <c r="R385" s="70" t="s">
        <v>684</v>
      </c>
      <c r="S385" s="71" t="s">
        <v>685</v>
      </c>
      <c r="T385" s="70" t="s">
        <v>686</v>
      </c>
      <c r="U385" s="25" t="s">
        <v>687</v>
      </c>
      <c r="V385" s="70" t="s">
        <v>282</v>
      </c>
      <c r="W385" s="72" t="s">
        <v>283</v>
      </c>
      <c r="X385" s="70" t="s">
        <v>284</v>
      </c>
      <c r="Y385" s="49" t="s">
        <v>285</v>
      </c>
      <c r="Z385" s="70" t="s">
        <v>286</v>
      </c>
      <c r="AA385" s="71" t="s">
        <v>286</v>
      </c>
      <c r="AB385" s="70" t="s">
        <v>287</v>
      </c>
      <c r="AC385" s="70" t="s">
        <v>288</v>
      </c>
      <c r="AD385" s="49" t="s">
        <v>289</v>
      </c>
      <c r="AE385" s="58" t="s">
        <v>290</v>
      </c>
      <c r="AF385" s="56" t="s">
        <v>291</v>
      </c>
      <c r="AG385" s="70" t="s">
        <v>292</v>
      </c>
      <c r="AH385" s="70" t="s">
        <v>293</v>
      </c>
      <c r="AI385" s="73" t="s">
        <v>215</v>
      </c>
      <c r="AJ385" s="70" t="s">
        <v>216</v>
      </c>
      <c r="AK385" s="74" t="s">
        <v>217</v>
      </c>
      <c r="AL385" s="75" t="s">
        <v>218</v>
      </c>
      <c r="AM385" s="76" t="s">
        <v>219</v>
      </c>
      <c r="AN385" s="50" t="s">
        <v>220</v>
      </c>
      <c r="AO385" s="77" t="s">
        <v>221</v>
      </c>
      <c r="AP385" s="51" t="s">
        <v>138</v>
      </c>
      <c r="AQ385" s="78" t="s">
        <v>139</v>
      </c>
      <c r="AR385" s="74" t="s">
        <v>140</v>
      </c>
      <c r="AS385" s="22" t="s">
        <v>141</v>
      </c>
      <c r="AT385" s="75" t="s">
        <v>142</v>
      </c>
      <c r="AU385" s="79" t="s">
        <v>143</v>
      </c>
      <c r="AV385" s="80" t="s">
        <v>144</v>
      </c>
      <c r="AW385" s="81" t="s">
        <v>145</v>
      </c>
      <c r="AX385" s="82" t="s">
        <v>146</v>
      </c>
      <c r="AY385" s="83" t="s">
        <v>147</v>
      </c>
      <c r="AZ385" s="80" t="s">
        <v>585</v>
      </c>
      <c r="BA385" s="41" t="s">
        <v>105</v>
      </c>
      <c r="BB385" s="591" t="str">
        <f t="shared" si="25"/>
        <v>TEMPLATE</v>
      </c>
      <c r="BC385" s="591" t="str">
        <f t="shared" si="26"/>
        <v>17. Regional Health Clusters-JDHC-MOH-PR</v>
      </c>
      <c r="BD385" s="591" t="str">
        <f t="shared" si="27"/>
        <v>JDHC-MOH-PR</v>
      </c>
      <c r="BE385" s="591" t="str">
        <f t="shared" si="28"/>
        <v>NONE</v>
      </c>
      <c r="BF385" s="594">
        <f t="shared" si="29"/>
        <v>9</v>
      </c>
    </row>
    <row r="386" spans="1:58" ht="42" customHeight="1" x14ac:dyDescent="0.45">
      <c r="A386" s="84">
        <v>337</v>
      </c>
      <c r="B386" s="411" t="s">
        <v>2222</v>
      </c>
      <c r="C386" s="70" t="s">
        <v>2223</v>
      </c>
      <c r="D386" s="70" t="s">
        <v>2191</v>
      </c>
      <c r="E386" s="411" t="s">
        <v>930</v>
      </c>
      <c r="F386" s="72" t="s">
        <v>2199</v>
      </c>
      <c r="G386" s="70" t="s">
        <v>932</v>
      </c>
      <c r="H386" s="70" t="s">
        <v>2200</v>
      </c>
      <c r="I386" s="71" t="s">
        <v>924</v>
      </c>
      <c r="J386" s="71" t="s">
        <v>934</v>
      </c>
      <c r="K386" s="70" t="s">
        <v>558</v>
      </c>
      <c r="L386" s="92" t="s">
        <v>935</v>
      </c>
      <c r="M386" s="70" t="s">
        <v>2228</v>
      </c>
      <c r="N386" s="86" t="s">
        <v>66</v>
      </c>
      <c r="O386" s="87" t="s">
        <v>937</v>
      </c>
      <c r="P386" s="70" t="s">
        <v>979</v>
      </c>
      <c r="Q386" s="70" t="s">
        <v>939</v>
      </c>
      <c r="R386" s="70" t="s">
        <v>940</v>
      </c>
      <c r="S386" s="71" t="s">
        <v>941</v>
      </c>
      <c r="T386" s="70" t="s">
        <v>942</v>
      </c>
      <c r="U386" s="25" t="s">
        <v>943</v>
      </c>
      <c r="V386" s="70" t="s">
        <v>944</v>
      </c>
      <c r="W386" s="72" t="s">
        <v>945</v>
      </c>
      <c r="X386" s="70" t="s">
        <v>946</v>
      </c>
      <c r="Y386" s="49" t="s">
        <v>947</v>
      </c>
      <c r="Z386" s="70" t="s">
        <v>948</v>
      </c>
      <c r="AA386" s="71" t="s">
        <v>949</v>
      </c>
      <c r="AB386" s="70" t="s">
        <v>950</v>
      </c>
      <c r="AC386" s="70" t="s">
        <v>951</v>
      </c>
      <c r="AD386" s="22" t="s">
        <v>82</v>
      </c>
      <c r="AE386" s="26" t="s">
        <v>952</v>
      </c>
      <c r="AF386" s="27" t="s">
        <v>953</v>
      </c>
      <c r="AG386" s="70" t="s">
        <v>954</v>
      </c>
      <c r="AH386" s="70" t="s">
        <v>955</v>
      </c>
      <c r="AI386" s="73" t="s">
        <v>956</v>
      </c>
      <c r="AJ386" s="70" t="s">
        <v>957</v>
      </c>
      <c r="AK386" s="74" t="s">
        <v>958</v>
      </c>
      <c r="AL386" s="75" t="s">
        <v>959</v>
      </c>
      <c r="AM386" s="76" t="s">
        <v>960</v>
      </c>
      <c r="AN386" s="50" t="s">
        <v>961</v>
      </c>
      <c r="AO386" s="77" t="s">
        <v>962</v>
      </c>
      <c r="AP386" s="51" t="s">
        <v>963</v>
      </c>
      <c r="AQ386" s="78" t="s">
        <v>964</v>
      </c>
      <c r="AR386" s="74" t="s">
        <v>965</v>
      </c>
      <c r="AS386" s="92" t="s">
        <v>966</v>
      </c>
      <c r="AT386" s="75" t="s">
        <v>967</v>
      </c>
      <c r="AU386" s="79" t="s">
        <v>968</v>
      </c>
      <c r="AV386" s="80" t="s">
        <v>969</v>
      </c>
      <c r="AW386" s="81" t="s">
        <v>970</v>
      </c>
      <c r="AX386" s="82" t="s">
        <v>971</v>
      </c>
      <c r="AY386" s="83" t="s">
        <v>972</v>
      </c>
      <c r="AZ386" s="80" t="s">
        <v>585</v>
      </c>
      <c r="BA386" s="41" t="s">
        <v>105</v>
      </c>
      <c r="BB386" s="591" t="str">
        <f t="shared" si="25"/>
        <v>DEEP</v>
      </c>
      <c r="BC386" s="591" t="str">
        <f t="shared" si="26"/>
        <v>17. Regional Health Clusters-JDHC-CBAHI-HAS-H</v>
      </c>
      <c r="BD386" s="591" t="str">
        <f t="shared" si="27"/>
        <v>JDHC-CBAHI-HAS-H</v>
      </c>
      <c r="BE386" s="591" t="str">
        <f t="shared" si="28"/>
        <v>NONE</v>
      </c>
      <c r="BF386" s="594">
        <f t="shared" si="29"/>
        <v>15</v>
      </c>
    </row>
    <row r="387" spans="1:58" ht="42" customHeight="1" x14ac:dyDescent="0.45">
      <c r="A387" s="42">
        <v>338</v>
      </c>
      <c r="B387" s="412" t="s">
        <v>2222</v>
      </c>
      <c r="C387" s="44" t="s">
        <v>2223</v>
      </c>
      <c r="D387" s="44" t="s">
        <v>2191</v>
      </c>
      <c r="E387" s="412" t="s">
        <v>557</v>
      </c>
      <c r="F387" s="45" t="s">
        <v>58</v>
      </c>
      <c r="G387" s="44" t="s">
        <v>59</v>
      </c>
      <c r="H387" s="44" t="s">
        <v>57</v>
      </c>
      <c r="I387" s="46" t="s">
        <v>61</v>
      </c>
      <c r="J387" s="46" t="s">
        <v>62</v>
      </c>
      <c r="K387" s="44" t="s">
        <v>558</v>
      </c>
      <c r="L387" s="66" t="s">
        <v>559</v>
      </c>
      <c r="M387" s="44" t="s">
        <v>2229</v>
      </c>
      <c r="N387" s="47" t="s">
        <v>66</v>
      </c>
      <c r="O387" s="48" t="s">
        <v>196</v>
      </c>
      <c r="P387" s="44" t="s">
        <v>561</v>
      </c>
      <c r="Q387" s="70" t="s">
        <v>562</v>
      </c>
      <c r="R387" s="70" t="s">
        <v>563</v>
      </c>
      <c r="S387" s="71" t="s">
        <v>564</v>
      </c>
      <c r="T387" s="70" t="s">
        <v>565</v>
      </c>
      <c r="U387" s="25" t="s">
        <v>566</v>
      </c>
      <c r="V387" s="70" t="s">
        <v>282</v>
      </c>
      <c r="W387" s="72" t="s">
        <v>283</v>
      </c>
      <c r="X387" s="70" t="s">
        <v>284</v>
      </c>
      <c r="Y387" s="49" t="s">
        <v>285</v>
      </c>
      <c r="Z387" s="70" t="s">
        <v>286</v>
      </c>
      <c r="AA387" s="71" t="s">
        <v>286</v>
      </c>
      <c r="AB387" s="70" t="s">
        <v>287</v>
      </c>
      <c r="AC387" s="70" t="s">
        <v>288</v>
      </c>
      <c r="AD387" s="49" t="s">
        <v>289</v>
      </c>
      <c r="AE387" s="58" t="s">
        <v>290</v>
      </c>
      <c r="AF387" s="56" t="s">
        <v>291</v>
      </c>
      <c r="AG387" s="70" t="s">
        <v>292</v>
      </c>
      <c r="AH387" s="70" t="s">
        <v>293</v>
      </c>
      <c r="AI387" s="73" t="s">
        <v>215</v>
      </c>
      <c r="AJ387" s="70" t="s">
        <v>216</v>
      </c>
      <c r="AK387" s="74" t="s">
        <v>217</v>
      </c>
      <c r="AL387" s="75" t="s">
        <v>218</v>
      </c>
      <c r="AM387" s="76" t="s">
        <v>219</v>
      </c>
      <c r="AN387" s="50" t="s">
        <v>220</v>
      </c>
      <c r="AO387" s="77" t="s">
        <v>221</v>
      </c>
      <c r="AP387" s="51" t="s">
        <v>138</v>
      </c>
      <c r="AQ387" s="78" t="s">
        <v>139</v>
      </c>
      <c r="AR387" s="74" t="s">
        <v>140</v>
      </c>
      <c r="AS387" s="22" t="s">
        <v>141</v>
      </c>
      <c r="AT387" s="75" t="s">
        <v>142</v>
      </c>
      <c r="AU387" s="79" t="s">
        <v>143</v>
      </c>
      <c r="AV387" s="80" t="s">
        <v>144</v>
      </c>
      <c r="AW387" s="81" t="s">
        <v>145</v>
      </c>
      <c r="AX387" s="82" t="s">
        <v>146</v>
      </c>
      <c r="AY387" s="83" t="s">
        <v>147</v>
      </c>
      <c r="AZ387" s="80" t="s">
        <v>567</v>
      </c>
      <c r="BA387" s="34" t="s">
        <v>320</v>
      </c>
      <c r="BB387" s="591" t="str">
        <f t="shared" si="25"/>
        <v>TEMPLATE</v>
      </c>
      <c r="BC387" s="591" t="str">
        <f t="shared" si="26"/>
        <v>17. Regional Health Clusters-JDHC-NCA-ECC-2:2024</v>
      </c>
      <c r="BD387" s="591" t="str">
        <f t="shared" si="27"/>
        <v>JDHC-NCA-ECC-2-2024</v>
      </c>
      <c r="BE387" s="591" t="str">
        <f t="shared" si="28"/>
        <v>NCA-ECC-2-2024</v>
      </c>
      <c r="BF387" s="594">
        <f t="shared" si="29"/>
        <v>11</v>
      </c>
    </row>
    <row r="388" spans="1:58" ht="42" customHeight="1" x14ac:dyDescent="0.45">
      <c r="A388" s="84">
        <v>339</v>
      </c>
      <c r="B388" s="411" t="s">
        <v>2222</v>
      </c>
      <c r="C388" s="70" t="s">
        <v>2223</v>
      </c>
      <c r="D388" s="70" t="s">
        <v>2191</v>
      </c>
      <c r="E388" s="411" t="s">
        <v>382</v>
      </c>
      <c r="F388" s="72" t="s">
        <v>383</v>
      </c>
      <c r="G388" s="70" t="s">
        <v>384</v>
      </c>
      <c r="H388" s="70" t="s">
        <v>765</v>
      </c>
      <c r="I388" s="71" t="s">
        <v>250</v>
      </c>
      <c r="J388" s="71" t="s">
        <v>386</v>
      </c>
      <c r="K388" s="70" t="s">
        <v>558</v>
      </c>
      <c r="L388" s="66" t="s">
        <v>559</v>
      </c>
      <c r="M388" s="70" t="s">
        <v>2230</v>
      </c>
      <c r="N388" s="86" t="s">
        <v>66</v>
      </c>
      <c r="O388" s="87" t="s">
        <v>540</v>
      </c>
      <c r="P388" s="70" t="s">
        <v>380</v>
      </c>
      <c r="Q388" s="70" t="s">
        <v>390</v>
      </c>
      <c r="R388" s="70" t="s">
        <v>391</v>
      </c>
      <c r="S388" s="71" t="s">
        <v>392</v>
      </c>
      <c r="T388" s="70" t="s">
        <v>393</v>
      </c>
      <c r="U388" s="25" t="s">
        <v>394</v>
      </c>
      <c r="V388" s="70" t="s">
        <v>395</v>
      </c>
      <c r="W388" s="72" t="s">
        <v>396</v>
      </c>
      <c r="X388" s="70" t="s">
        <v>397</v>
      </c>
      <c r="Y388" s="49" t="s">
        <v>398</v>
      </c>
      <c r="Z388" s="70" t="s">
        <v>399</v>
      </c>
      <c r="AA388" s="71" t="s">
        <v>400</v>
      </c>
      <c r="AB388" s="70" t="s">
        <v>401</v>
      </c>
      <c r="AC388" s="70" t="s">
        <v>402</v>
      </c>
      <c r="AD388" s="49" t="s">
        <v>403</v>
      </c>
      <c r="AE388" s="50" t="s">
        <v>404</v>
      </c>
      <c r="AF388" s="60" t="s">
        <v>405</v>
      </c>
      <c r="AG388" s="70" t="s">
        <v>406</v>
      </c>
      <c r="AH388" s="70" t="s">
        <v>407</v>
      </c>
      <c r="AI388" s="73" t="s">
        <v>408</v>
      </c>
      <c r="AJ388" s="70" t="s">
        <v>409</v>
      </c>
      <c r="AK388" s="74" t="s">
        <v>410</v>
      </c>
      <c r="AL388" s="75" t="s">
        <v>411</v>
      </c>
      <c r="AM388" s="76" t="s">
        <v>412</v>
      </c>
      <c r="AN388" s="50" t="s">
        <v>413</v>
      </c>
      <c r="AO388" s="77" t="s">
        <v>414</v>
      </c>
      <c r="AP388" s="51" t="s">
        <v>415</v>
      </c>
      <c r="AQ388" s="78" t="s">
        <v>416</v>
      </c>
      <c r="AR388" s="74" t="s">
        <v>417</v>
      </c>
      <c r="AS388" s="22" t="s">
        <v>418</v>
      </c>
      <c r="AT388" s="75" t="s">
        <v>419</v>
      </c>
      <c r="AU388" s="79" t="s">
        <v>420</v>
      </c>
      <c r="AV388" s="80" t="s">
        <v>421</v>
      </c>
      <c r="AW388" s="81" t="s">
        <v>422</v>
      </c>
      <c r="AX388" s="82" t="s">
        <v>423</v>
      </c>
      <c r="AY388" s="83" t="s">
        <v>424</v>
      </c>
      <c r="AZ388" s="80" t="s">
        <v>425</v>
      </c>
      <c r="BA388" s="34" t="s">
        <v>320</v>
      </c>
      <c r="BB388" s="591" t="str">
        <f t="shared" si="25"/>
        <v>DEEP</v>
      </c>
      <c r="BC388" s="591" t="str">
        <f t="shared" si="26"/>
        <v>17. Regional Health Clusters-JDHC-PDPL-2021</v>
      </c>
      <c r="BD388" s="591" t="str">
        <f t="shared" si="27"/>
        <v>JDHC-PDPL-2021</v>
      </c>
      <c r="BE388" s="591" t="str">
        <f t="shared" si="28"/>
        <v>NONE</v>
      </c>
      <c r="BF388" s="594">
        <f t="shared" si="29"/>
        <v>18</v>
      </c>
    </row>
    <row r="389" spans="1:58" ht="42" customHeight="1" x14ac:dyDescent="0.45">
      <c r="A389" s="42">
        <v>340</v>
      </c>
      <c r="B389" s="412" t="s">
        <v>2222</v>
      </c>
      <c r="C389" s="44" t="s">
        <v>2223</v>
      </c>
      <c r="D389" s="44" t="s">
        <v>2191</v>
      </c>
      <c r="E389" s="412" t="s">
        <v>688</v>
      </c>
      <c r="F389" s="45" t="s">
        <v>689</v>
      </c>
      <c r="G389" s="44" t="s">
        <v>690</v>
      </c>
      <c r="H389" s="44" t="s">
        <v>691</v>
      </c>
      <c r="I389" s="46" t="s">
        <v>151</v>
      </c>
      <c r="J389" s="46" t="s">
        <v>692</v>
      </c>
      <c r="K389" s="44" t="s">
        <v>558</v>
      </c>
      <c r="L389" s="66" t="s">
        <v>559</v>
      </c>
      <c r="M389" s="44" t="s">
        <v>2231</v>
      </c>
      <c r="N389" s="54" t="s">
        <v>154</v>
      </c>
      <c r="O389" s="48" t="s">
        <v>593</v>
      </c>
      <c r="P389" s="44" t="s">
        <v>636</v>
      </c>
      <c r="Q389" s="70" t="s">
        <v>695</v>
      </c>
      <c r="R389" s="70" t="s">
        <v>696</v>
      </c>
      <c r="S389" s="71" t="s">
        <v>697</v>
      </c>
      <c r="T389" s="70" t="s">
        <v>698</v>
      </c>
      <c r="U389" s="25" t="s">
        <v>699</v>
      </c>
      <c r="V389" s="70" t="s">
        <v>700</v>
      </c>
      <c r="W389" s="72" t="s">
        <v>701</v>
      </c>
      <c r="X389" s="70" t="s">
        <v>702</v>
      </c>
      <c r="Y389" s="22" t="s">
        <v>205</v>
      </c>
      <c r="Z389" s="70" t="s">
        <v>703</v>
      </c>
      <c r="AA389" s="71" t="s">
        <v>704</v>
      </c>
      <c r="AB389" s="70" t="s">
        <v>705</v>
      </c>
      <c r="AC389" s="70" t="s">
        <v>706</v>
      </c>
      <c r="AD389" s="49" t="s">
        <v>707</v>
      </c>
      <c r="AE389" s="26" t="s">
        <v>675</v>
      </c>
      <c r="AF389" s="60" t="s">
        <v>708</v>
      </c>
      <c r="AG389" s="70" t="s">
        <v>709</v>
      </c>
      <c r="AH389" s="70" t="s">
        <v>710</v>
      </c>
      <c r="AI389" s="73" t="s">
        <v>711</v>
      </c>
      <c r="AJ389" s="70" t="s">
        <v>712</v>
      </c>
      <c r="AK389" s="74" t="s">
        <v>713</v>
      </c>
      <c r="AL389" s="75" t="s">
        <v>714</v>
      </c>
      <c r="AM389" s="76" t="s">
        <v>715</v>
      </c>
      <c r="AN389" s="50" t="s">
        <v>716</v>
      </c>
      <c r="AO389" s="77" t="s">
        <v>717</v>
      </c>
      <c r="AP389" s="51" t="s">
        <v>718</v>
      </c>
      <c r="AQ389" s="78" t="s">
        <v>719</v>
      </c>
      <c r="AR389" s="74" t="s">
        <v>720</v>
      </c>
      <c r="AS389" s="61" t="s">
        <v>721</v>
      </c>
      <c r="AT389" s="75" t="s">
        <v>722</v>
      </c>
      <c r="AU389" s="79" t="s">
        <v>723</v>
      </c>
      <c r="AV389" s="80" t="s">
        <v>724</v>
      </c>
      <c r="AW389" s="81" t="s">
        <v>725</v>
      </c>
      <c r="AX389" s="82" t="s">
        <v>726</v>
      </c>
      <c r="AY389" s="83" t="s">
        <v>727</v>
      </c>
      <c r="AZ389" s="80" t="s">
        <v>728</v>
      </c>
      <c r="BA389" s="41" t="s">
        <v>105</v>
      </c>
      <c r="BB389" s="591" t="str">
        <f t="shared" ref="BB389:BB452" si="30">IF(E389="","",IF(ISNUMBER(SEARCH("Institutional theory and regulatory governance theory underpin",AI389)),"TEMPLATE",IF(LEN(AI389)&gt;100,"DEEP",IF(AI389="","SPARSE","SHALLOW"))))</f>
        <v>DEEP</v>
      </c>
      <c r="BC389" s="591" t="str">
        <f t="shared" ref="BC389:BC452" si="31">IF(E389="","",D389&amp;"-"&amp;B389&amp;"-"&amp;E389)</f>
        <v>17. Regional Health Clusters-JDHC-MOH-TELE</v>
      </c>
      <c r="BD389" s="591" t="str">
        <f t="shared" ref="BD389:BD452" si="32">IF(E389="","",SUBSTITUTE(SUBSTITUTE(B389&amp;"-"&amp;E389," ",""),":","-"))</f>
        <v>JDHC-MOH-TELE</v>
      </c>
      <c r="BE389" s="591" t="str">
        <f t="shared" ref="BE389:BE452" si="33">IF(E389="","",IF(ISNUMBER(SEARCH("ECC",E389)),"NCA-ECC-2-2024",IF(ISNUMBER(SEARCH("OTCC",E389)),"NCA-ECC-2-2024",IF(ISNUMBER(SEARCH("CCC",E389)),"NCA-ECC-2-2024",IF(ISNUMBER(SEARCH("DCC",E389)),"NCA-ECC-2-2024",IF(ISNUMBER(SEARCH("CSCC",E389)),"NCA-ECC-2-2024",IF(ISNUMBER(SEARCH("PDPL-IR",E389)),"PDPL-2021",IF(ISNUMBER(SEARCH("PDPL-DTR",E389)),"PDPL-2021","NONE"))))))))</f>
        <v>NONE</v>
      </c>
      <c r="BF389" s="594">
        <f t="shared" ref="BF389:BF452" si="34">IF(E389="","",IF(BB389="DEEP",10,IF(BB389="SHALLOW",5,IF(BB389="TEMPLATE",3,1)))+IF(N389="HIGHEST",5,IF(N389="HIGH",3,IF(N389="MODERATE",1,0)))+IF(ISNUMBER(SEARCH("Mandatory",L389)),3,0))</f>
        <v>16</v>
      </c>
    </row>
    <row r="390" spans="1:58" ht="42" customHeight="1" x14ac:dyDescent="0.45">
      <c r="A390" s="84">
        <v>341</v>
      </c>
      <c r="B390" s="411" t="s">
        <v>2222</v>
      </c>
      <c r="C390" s="70" t="s">
        <v>2223</v>
      </c>
      <c r="D390" s="70" t="s">
        <v>2191</v>
      </c>
      <c r="E390" s="411" t="s">
        <v>1246</v>
      </c>
      <c r="F390" s="72" t="s">
        <v>2205</v>
      </c>
      <c r="G390" s="70" t="s">
        <v>2206</v>
      </c>
      <c r="H390" s="70" t="s">
        <v>633</v>
      </c>
      <c r="I390" s="71" t="s">
        <v>61</v>
      </c>
      <c r="J390" s="71" t="s">
        <v>194</v>
      </c>
      <c r="K390" s="70" t="s">
        <v>558</v>
      </c>
      <c r="L390" s="66" t="s">
        <v>559</v>
      </c>
      <c r="M390" s="70" t="s">
        <v>2232</v>
      </c>
      <c r="N390" s="86" t="s">
        <v>66</v>
      </c>
      <c r="O390" s="87" t="s">
        <v>1250</v>
      </c>
      <c r="P390" s="70" t="s">
        <v>1244</v>
      </c>
      <c r="Q390" s="70" t="s">
        <v>1252</v>
      </c>
      <c r="R390" s="70" t="s">
        <v>1253</v>
      </c>
      <c r="S390" s="71" t="s">
        <v>1254</v>
      </c>
      <c r="T390" s="70" t="s">
        <v>1255</v>
      </c>
      <c r="U390" s="25" t="s">
        <v>1256</v>
      </c>
      <c r="V390" s="70" t="s">
        <v>1257</v>
      </c>
      <c r="W390" s="72" t="s">
        <v>1258</v>
      </c>
      <c r="X390" s="70" t="s">
        <v>1259</v>
      </c>
      <c r="Y390" s="22" t="s">
        <v>205</v>
      </c>
      <c r="Z390" s="70" t="s">
        <v>1260</v>
      </c>
      <c r="AA390" s="71" t="s">
        <v>1261</v>
      </c>
      <c r="AB390" s="70" t="s">
        <v>1262</v>
      </c>
      <c r="AC390" s="70" t="s">
        <v>1263</v>
      </c>
      <c r="AD390" s="49" t="s">
        <v>650</v>
      </c>
      <c r="AE390" s="37" t="s">
        <v>1264</v>
      </c>
      <c r="AF390" s="27" t="s">
        <v>1265</v>
      </c>
      <c r="AG390" s="70" t="s">
        <v>1266</v>
      </c>
      <c r="AH390" s="70" t="s">
        <v>1267</v>
      </c>
      <c r="AI390" s="73" t="s">
        <v>215</v>
      </c>
      <c r="AJ390" s="70" t="s">
        <v>216</v>
      </c>
      <c r="AK390" s="74" t="s">
        <v>217</v>
      </c>
      <c r="AL390" s="75" t="s">
        <v>218</v>
      </c>
      <c r="AM390" s="76" t="s">
        <v>219</v>
      </c>
      <c r="AN390" s="50" t="s">
        <v>220</v>
      </c>
      <c r="AO390" s="77" t="s">
        <v>221</v>
      </c>
      <c r="AP390" s="51" t="s">
        <v>138</v>
      </c>
      <c r="AQ390" s="78" t="s">
        <v>139</v>
      </c>
      <c r="AR390" s="74" t="s">
        <v>140</v>
      </c>
      <c r="AS390" s="22" t="s">
        <v>141</v>
      </c>
      <c r="AT390" s="75" t="s">
        <v>142</v>
      </c>
      <c r="AU390" s="79" t="s">
        <v>143</v>
      </c>
      <c r="AV390" s="80" t="s">
        <v>144</v>
      </c>
      <c r="AW390" s="81" t="s">
        <v>145</v>
      </c>
      <c r="AX390" s="82" t="s">
        <v>146</v>
      </c>
      <c r="AY390" s="83" t="s">
        <v>147</v>
      </c>
      <c r="AZ390" s="80" t="s">
        <v>585</v>
      </c>
      <c r="BA390" s="41" t="s">
        <v>105</v>
      </c>
      <c r="BB390" s="591" t="str">
        <f t="shared" si="30"/>
        <v>TEMPLATE</v>
      </c>
      <c r="BC390" s="591" t="str">
        <f t="shared" si="31"/>
        <v>17. Regional Health Clusters-JDHC-NHIC-NABIDH</v>
      </c>
      <c r="BD390" s="591" t="str">
        <f t="shared" si="32"/>
        <v>JDHC-NHIC-NABIDH</v>
      </c>
      <c r="BE390" s="591" t="str">
        <f t="shared" si="33"/>
        <v>NONE</v>
      </c>
      <c r="BF390" s="594">
        <f t="shared" si="34"/>
        <v>11</v>
      </c>
    </row>
    <row r="391" spans="1:58" ht="42" customHeight="1" x14ac:dyDescent="0.45">
      <c r="A391" s="42">
        <v>342</v>
      </c>
      <c r="B391" s="412" t="s">
        <v>2222</v>
      </c>
      <c r="C391" s="44" t="s">
        <v>2223</v>
      </c>
      <c r="D391" s="44" t="s">
        <v>2191</v>
      </c>
      <c r="E391" s="412" t="s">
        <v>770</v>
      </c>
      <c r="F391" s="45" t="s">
        <v>107</v>
      </c>
      <c r="G391" s="44" t="s">
        <v>108</v>
      </c>
      <c r="H391" s="44" t="s">
        <v>106</v>
      </c>
      <c r="I391" s="46" t="s">
        <v>109</v>
      </c>
      <c r="J391" s="46" t="s">
        <v>110</v>
      </c>
      <c r="K391" s="44" t="s">
        <v>558</v>
      </c>
      <c r="L391" s="66" t="s">
        <v>559</v>
      </c>
      <c r="M391" s="44" t="s">
        <v>2233</v>
      </c>
      <c r="N391" s="47" t="s">
        <v>66</v>
      </c>
      <c r="O391" s="48" t="s">
        <v>196</v>
      </c>
      <c r="P391" s="44" t="s">
        <v>2209</v>
      </c>
      <c r="Q391" s="70" t="s">
        <v>562</v>
      </c>
      <c r="R391" s="70" t="s">
        <v>563</v>
      </c>
      <c r="S391" s="71" t="s">
        <v>564</v>
      </c>
      <c r="T391" s="70" t="s">
        <v>565</v>
      </c>
      <c r="U391" s="25" t="s">
        <v>566</v>
      </c>
      <c r="V391" s="70" t="s">
        <v>282</v>
      </c>
      <c r="W391" s="72" t="s">
        <v>283</v>
      </c>
      <c r="X391" s="70" t="s">
        <v>284</v>
      </c>
      <c r="Y391" s="49" t="s">
        <v>285</v>
      </c>
      <c r="Z391" s="70" t="s">
        <v>286</v>
      </c>
      <c r="AA391" s="71" t="s">
        <v>286</v>
      </c>
      <c r="AB391" s="70" t="s">
        <v>287</v>
      </c>
      <c r="AC391" s="70" t="s">
        <v>288</v>
      </c>
      <c r="AD391" s="49" t="s">
        <v>289</v>
      </c>
      <c r="AE391" s="58" t="s">
        <v>290</v>
      </c>
      <c r="AF391" s="56" t="s">
        <v>291</v>
      </c>
      <c r="AG391" s="70" t="s">
        <v>292</v>
      </c>
      <c r="AH391" s="70" t="s">
        <v>293</v>
      </c>
      <c r="AI391" s="73" t="s">
        <v>215</v>
      </c>
      <c r="AJ391" s="70" t="s">
        <v>216</v>
      </c>
      <c r="AK391" s="74" t="s">
        <v>217</v>
      </c>
      <c r="AL391" s="75" t="s">
        <v>218</v>
      </c>
      <c r="AM391" s="76" t="s">
        <v>219</v>
      </c>
      <c r="AN391" s="50" t="s">
        <v>220</v>
      </c>
      <c r="AO391" s="77" t="s">
        <v>221</v>
      </c>
      <c r="AP391" s="53" t="s">
        <v>773</v>
      </c>
      <c r="AQ391" s="78" t="s">
        <v>774</v>
      </c>
      <c r="AR391" s="74" t="s">
        <v>775</v>
      </c>
      <c r="AS391" s="22" t="s">
        <v>776</v>
      </c>
      <c r="AT391" s="75" t="s">
        <v>777</v>
      </c>
      <c r="AU391" s="79" t="s">
        <v>778</v>
      </c>
      <c r="AV391" s="80" t="s">
        <v>779</v>
      </c>
      <c r="AW391" s="81" t="s">
        <v>780</v>
      </c>
      <c r="AX391" s="82" t="s">
        <v>781</v>
      </c>
      <c r="AY391" s="83" t="s">
        <v>782</v>
      </c>
      <c r="AZ391" s="80" t="s">
        <v>104</v>
      </c>
      <c r="BA391" s="41" t="s">
        <v>105</v>
      </c>
      <c r="BB391" s="591" t="str">
        <f t="shared" si="30"/>
        <v>TEMPLATE</v>
      </c>
      <c r="BC391" s="591" t="str">
        <f t="shared" si="31"/>
        <v>17. Regional Health Clusters-JDHC-NCA-OTCC</v>
      </c>
      <c r="BD391" s="591" t="str">
        <f t="shared" si="32"/>
        <v>JDHC-NCA-OTCC</v>
      </c>
      <c r="BE391" s="591" t="str">
        <f t="shared" si="33"/>
        <v>NCA-ECC-2-2024</v>
      </c>
      <c r="BF391" s="594">
        <f t="shared" si="34"/>
        <v>11</v>
      </c>
    </row>
    <row r="392" spans="1:58" ht="42" customHeight="1" x14ac:dyDescent="0.45">
      <c r="A392" s="84">
        <v>343</v>
      </c>
      <c r="B392" s="411" t="s">
        <v>2234</v>
      </c>
      <c r="C392" s="70" t="s">
        <v>2235</v>
      </c>
      <c r="D392" s="70" t="s">
        <v>2191</v>
      </c>
      <c r="E392" s="411" t="s">
        <v>586</v>
      </c>
      <c r="F392" s="72" t="s">
        <v>587</v>
      </c>
      <c r="G392" s="70" t="s">
        <v>588</v>
      </c>
      <c r="H392" s="70" t="s">
        <v>589</v>
      </c>
      <c r="I392" s="71" t="s">
        <v>590</v>
      </c>
      <c r="J392" s="71" t="s">
        <v>591</v>
      </c>
      <c r="K392" s="70" t="s">
        <v>558</v>
      </c>
      <c r="L392" s="66" t="s">
        <v>559</v>
      </c>
      <c r="M392" s="70" t="s">
        <v>2236</v>
      </c>
      <c r="N392" s="86" t="s">
        <v>66</v>
      </c>
      <c r="O392" s="87" t="s">
        <v>593</v>
      </c>
      <c r="P392" s="70" t="s">
        <v>661</v>
      </c>
      <c r="Q392" s="70" t="s">
        <v>595</v>
      </c>
      <c r="R392" s="70" t="s">
        <v>596</v>
      </c>
      <c r="S392" s="71" t="s">
        <v>597</v>
      </c>
      <c r="T392" s="70" t="s">
        <v>598</v>
      </c>
      <c r="U392" s="25" t="s">
        <v>599</v>
      </c>
      <c r="V392" s="70" t="s">
        <v>600</v>
      </c>
      <c r="W392" s="72" t="s">
        <v>601</v>
      </c>
      <c r="X392" s="70" t="s">
        <v>602</v>
      </c>
      <c r="Y392" s="49" t="s">
        <v>603</v>
      </c>
      <c r="Z392" s="70" t="s">
        <v>604</v>
      </c>
      <c r="AA392" s="71" t="s">
        <v>605</v>
      </c>
      <c r="AB392" s="70" t="s">
        <v>606</v>
      </c>
      <c r="AC392" s="70" t="s">
        <v>607</v>
      </c>
      <c r="AD392" s="49" t="s">
        <v>608</v>
      </c>
      <c r="AE392" s="26" t="s">
        <v>609</v>
      </c>
      <c r="AF392" s="27" t="s">
        <v>610</v>
      </c>
      <c r="AG392" s="70" t="s">
        <v>611</v>
      </c>
      <c r="AH392" s="70" t="s">
        <v>612</v>
      </c>
      <c r="AI392" s="73" t="s">
        <v>613</v>
      </c>
      <c r="AJ392" s="70" t="s">
        <v>614</v>
      </c>
      <c r="AK392" s="74" t="s">
        <v>615</v>
      </c>
      <c r="AL392" s="75" t="s">
        <v>616</v>
      </c>
      <c r="AM392" s="76" t="s">
        <v>617</v>
      </c>
      <c r="AN392" s="50" t="s">
        <v>618</v>
      </c>
      <c r="AO392" s="77" t="s">
        <v>619</v>
      </c>
      <c r="AP392" s="34" t="s">
        <v>620</v>
      </c>
      <c r="AQ392" s="78" t="s">
        <v>621</v>
      </c>
      <c r="AR392" s="74" t="s">
        <v>622</v>
      </c>
      <c r="AS392" s="61" t="s">
        <v>623</v>
      </c>
      <c r="AT392" s="75" t="s">
        <v>624</v>
      </c>
      <c r="AU392" s="79" t="s">
        <v>625</v>
      </c>
      <c r="AV392" s="80" t="s">
        <v>626</v>
      </c>
      <c r="AW392" s="81" t="s">
        <v>627</v>
      </c>
      <c r="AX392" s="82" t="s">
        <v>628</v>
      </c>
      <c r="AY392" s="83" t="s">
        <v>629</v>
      </c>
      <c r="AZ392" s="80" t="s">
        <v>585</v>
      </c>
      <c r="BA392" s="41" t="s">
        <v>105</v>
      </c>
      <c r="BB392" s="591" t="str">
        <f t="shared" si="30"/>
        <v>DEEP</v>
      </c>
      <c r="BC392" s="591" t="str">
        <f t="shared" si="31"/>
        <v>17. Regional Health Clusters-MKHC-MOH-HIS</v>
      </c>
      <c r="BD392" s="591" t="str">
        <f t="shared" si="32"/>
        <v>MKHC-MOH-HIS</v>
      </c>
      <c r="BE392" s="591" t="str">
        <f t="shared" si="33"/>
        <v>NONE</v>
      </c>
      <c r="BF392" s="594">
        <f t="shared" si="34"/>
        <v>18</v>
      </c>
    </row>
    <row r="393" spans="1:58" ht="42" customHeight="1" x14ac:dyDescent="0.45">
      <c r="A393" s="42">
        <v>344</v>
      </c>
      <c r="B393" s="412" t="s">
        <v>2234</v>
      </c>
      <c r="C393" s="44" t="s">
        <v>2235</v>
      </c>
      <c r="D393" s="44" t="s">
        <v>2191</v>
      </c>
      <c r="E393" s="412" t="s">
        <v>630</v>
      </c>
      <c r="F393" s="45" t="s">
        <v>2193</v>
      </c>
      <c r="G393" s="44" t="s">
        <v>2194</v>
      </c>
      <c r="H393" s="44" t="s">
        <v>633</v>
      </c>
      <c r="I393" s="46" t="s">
        <v>590</v>
      </c>
      <c r="J393" s="46" t="s">
        <v>634</v>
      </c>
      <c r="K393" s="44" t="s">
        <v>558</v>
      </c>
      <c r="L393" s="66" t="s">
        <v>559</v>
      </c>
      <c r="M393" s="44" t="s">
        <v>2237</v>
      </c>
      <c r="N393" s="47" t="s">
        <v>66</v>
      </c>
      <c r="O393" s="48" t="s">
        <v>593</v>
      </c>
      <c r="P393" s="44" t="s">
        <v>2196</v>
      </c>
      <c r="Q393" s="70" t="s">
        <v>637</v>
      </c>
      <c r="R393" s="70" t="s">
        <v>638</v>
      </c>
      <c r="S393" s="71" t="s">
        <v>639</v>
      </c>
      <c r="T393" s="70" t="s">
        <v>640</v>
      </c>
      <c r="U393" s="25" t="s">
        <v>641</v>
      </c>
      <c r="V393" s="70" t="s">
        <v>642</v>
      </c>
      <c r="W393" s="72" t="s">
        <v>643</v>
      </c>
      <c r="X393" s="70" t="s">
        <v>644</v>
      </c>
      <c r="Y393" s="49" t="s">
        <v>645</v>
      </c>
      <c r="Z393" s="70" t="s">
        <v>646</v>
      </c>
      <c r="AA393" s="71" t="s">
        <v>647</v>
      </c>
      <c r="AB393" s="70" t="s">
        <v>648</v>
      </c>
      <c r="AC393" s="70" t="s">
        <v>649</v>
      </c>
      <c r="AD393" s="49" t="s">
        <v>650</v>
      </c>
      <c r="AE393" s="26" t="s">
        <v>651</v>
      </c>
      <c r="AF393" s="27" t="s">
        <v>652</v>
      </c>
      <c r="AG393" s="70" t="s">
        <v>653</v>
      </c>
      <c r="AH393" s="70" t="s">
        <v>654</v>
      </c>
      <c r="AI393" s="73" t="s">
        <v>215</v>
      </c>
      <c r="AJ393" s="70" t="s">
        <v>216</v>
      </c>
      <c r="AK393" s="74" t="s">
        <v>217</v>
      </c>
      <c r="AL393" s="75" t="s">
        <v>218</v>
      </c>
      <c r="AM393" s="76" t="s">
        <v>219</v>
      </c>
      <c r="AN393" s="50" t="s">
        <v>220</v>
      </c>
      <c r="AO393" s="77" t="s">
        <v>221</v>
      </c>
      <c r="AP393" s="51" t="s">
        <v>138</v>
      </c>
      <c r="AQ393" s="78" t="s">
        <v>139</v>
      </c>
      <c r="AR393" s="74" t="s">
        <v>140</v>
      </c>
      <c r="AS393" s="22" t="s">
        <v>141</v>
      </c>
      <c r="AT393" s="75" t="s">
        <v>142</v>
      </c>
      <c r="AU393" s="79" t="s">
        <v>143</v>
      </c>
      <c r="AV393" s="80" t="s">
        <v>144</v>
      </c>
      <c r="AW393" s="81" t="s">
        <v>145</v>
      </c>
      <c r="AX393" s="82" t="s">
        <v>146</v>
      </c>
      <c r="AY393" s="83" t="s">
        <v>147</v>
      </c>
      <c r="AZ393" s="80" t="s">
        <v>585</v>
      </c>
      <c r="BA393" s="41" t="s">
        <v>105</v>
      </c>
      <c r="BB393" s="591" t="str">
        <f t="shared" si="30"/>
        <v>TEMPLATE</v>
      </c>
      <c r="BC393" s="591" t="str">
        <f t="shared" si="31"/>
        <v>17. Regional Health Clusters-MKHC-MOH-EMR-NABIDH</v>
      </c>
      <c r="BD393" s="591" t="str">
        <f t="shared" si="32"/>
        <v>MKHC-MOH-EMR-NABIDH</v>
      </c>
      <c r="BE393" s="591" t="str">
        <f t="shared" si="33"/>
        <v>NONE</v>
      </c>
      <c r="BF393" s="594">
        <f t="shared" si="34"/>
        <v>11</v>
      </c>
    </row>
    <row r="394" spans="1:58" ht="42" customHeight="1" x14ac:dyDescent="0.45">
      <c r="A394" s="84">
        <v>345</v>
      </c>
      <c r="B394" s="411" t="s">
        <v>2234</v>
      </c>
      <c r="C394" s="70" t="s">
        <v>2235</v>
      </c>
      <c r="D394" s="70" t="s">
        <v>2191</v>
      </c>
      <c r="E394" s="411" t="s">
        <v>655</v>
      </c>
      <c r="F394" s="72" t="s">
        <v>656</v>
      </c>
      <c r="G394" s="70" t="s">
        <v>657</v>
      </c>
      <c r="H394" s="70" t="s">
        <v>589</v>
      </c>
      <c r="I394" s="71" t="s">
        <v>658</v>
      </c>
      <c r="J394" s="71" t="s">
        <v>659</v>
      </c>
      <c r="K394" s="70" t="s">
        <v>558</v>
      </c>
      <c r="L394" s="66" t="s">
        <v>559</v>
      </c>
      <c r="M394" s="70" t="s">
        <v>2238</v>
      </c>
      <c r="N394" s="86" t="s">
        <v>66</v>
      </c>
      <c r="O394" s="87" t="s">
        <v>593</v>
      </c>
      <c r="P394" s="70" t="s">
        <v>661</v>
      </c>
      <c r="Q394" s="70" t="s">
        <v>662</v>
      </c>
      <c r="R394" s="70" t="s">
        <v>663</v>
      </c>
      <c r="S394" s="71" t="s">
        <v>664</v>
      </c>
      <c r="T394" s="70" t="s">
        <v>665</v>
      </c>
      <c r="U394" s="25" t="s">
        <v>666</v>
      </c>
      <c r="V394" s="70" t="s">
        <v>667</v>
      </c>
      <c r="W394" s="72" t="s">
        <v>668</v>
      </c>
      <c r="X394" s="70" t="s">
        <v>669</v>
      </c>
      <c r="Y394" s="22" t="s">
        <v>205</v>
      </c>
      <c r="Z394" s="70" t="s">
        <v>670</v>
      </c>
      <c r="AA394" s="71" t="s">
        <v>671</v>
      </c>
      <c r="AB394" s="70" t="s">
        <v>672</v>
      </c>
      <c r="AC394" s="70" t="s">
        <v>673</v>
      </c>
      <c r="AD394" s="49" t="s">
        <v>674</v>
      </c>
      <c r="AE394" s="26" t="s">
        <v>675</v>
      </c>
      <c r="AF394" s="27" t="s">
        <v>676</v>
      </c>
      <c r="AG394" s="70" t="s">
        <v>677</v>
      </c>
      <c r="AH394" s="70" t="s">
        <v>678</v>
      </c>
      <c r="AI394" s="73" t="s">
        <v>215</v>
      </c>
      <c r="AJ394" s="70" t="s">
        <v>216</v>
      </c>
      <c r="AK394" s="74" t="s">
        <v>217</v>
      </c>
      <c r="AL394" s="75" t="s">
        <v>218</v>
      </c>
      <c r="AM394" s="76" t="s">
        <v>219</v>
      </c>
      <c r="AN394" s="50" t="s">
        <v>220</v>
      </c>
      <c r="AO394" s="77" t="s">
        <v>221</v>
      </c>
      <c r="AP394" s="51" t="s">
        <v>138</v>
      </c>
      <c r="AQ394" s="78" t="s">
        <v>139</v>
      </c>
      <c r="AR394" s="74" t="s">
        <v>140</v>
      </c>
      <c r="AS394" s="22" t="s">
        <v>141</v>
      </c>
      <c r="AT394" s="75" t="s">
        <v>142</v>
      </c>
      <c r="AU394" s="79" t="s">
        <v>143</v>
      </c>
      <c r="AV394" s="80" t="s">
        <v>144</v>
      </c>
      <c r="AW394" s="81" t="s">
        <v>145</v>
      </c>
      <c r="AX394" s="82" t="s">
        <v>146</v>
      </c>
      <c r="AY394" s="83" t="s">
        <v>147</v>
      </c>
      <c r="AZ394" s="80" t="s">
        <v>585</v>
      </c>
      <c r="BA394" s="41" t="s">
        <v>105</v>
      </c>
      <c r="BB394" s="591" t="str">
        <f t="shared" si="30"/>
        <v>TEMPLATE</v>
      </c>
      <c r="BC394" s="591" t="str">
        <f t="shared" si="31"/>
        <v>17. Regional Health Clusters-MKHC-MOH-PS</v>
      </c>
      <c r="BD394" s="591" t="str">
        <f t="shared" si="32"/>
        <v>MKHC-MOH-PS</v>
      </c>
      <c r="BE394" s="591" t="str">
        <f t="shared" si="33"/>
        <v>NONE</v>
      </c>
      <c r="BF394" s="594">
        <f t="shared" si="34"/>
        <v>11</v>
      </c>
    </row>
    <row r="395" spans="1:58" ht="42" customHeight="1" x14ac:dyDescent="0.45">
      <c r="A395" s="42">
        <v>346</v>
      </c>
      <c r="B395" s="412" t="s">
        <v>2234</v>
      </c>
      <c r="C395" s="44" t="s">
        <v>2235</v>
      </c>
      <c r="D395" s="44" t="s">
        <v>2191</v>
      </c>
      <c r="E395" s="412" t="s">
        <v>679</v>
      </c>
      <c r="F395" s="45" t="s">
        <v>680</v>
      </c>
      <c r="G395" s="44" t="s">
        <v>681</v>
      </c>
      <c r="H395" s="44" t="s">
        <v>225</v>
      </c>
      <c r="I395" s="46" t="s">
        <v>682</v>
      </c>
      <c r="J395" s="46" t="s">
        <v>386</v>
      </c>
      <c r="K395" s="44" t="s">
        <v>558</v>
      </c>
      <c r="L395" s="66" t="s">
        <v>559</v>
      </c>
      <c r="M395" s="44" t="s">
        <v>2239</v>
      </c>
      <c r="N395" s="54" t="s">
        <v>154</v>
      </c>
      <c r="O395" s="48" t="s">
        <v>593</v>
      </c>
      <c r="P395" s="44" t="s">
        <v>661</v>
      </c>
      <c r="Q395" s="70" t="s">
        <v>683</v>
      </c>
      <c r="R395" s="70" t="s">
        <v>684</v>
      </c>
      <c r="S395" s="71" t="s">
        <v>685</v>
      </c>
      <c r="T395" s="70" t="s">
        <v>686</v>
      </c>
      <c r="U395" s="25" t="s">
        <v>687</v>
      </c>
      <c r="V395" s="70" t="s">
        <v>282</v>
      </c>
      <c r="W395" s="72" t="s">
        <v>283</v>
      </c>
      <c r="X395" s="70" t="s">
        <v>284</v>
      </c>
      <c r="Y395" s="49" t="s">
        <v>285</v>
      </c>
      <c r="Z395" s="70" t="s">
        <v>286</v>
      </c>
      <c r="AA395" s="71" t="s">
        <v>286</v>
      </c>
      <c r="AB395" s="70" t="s">
        <v>287</v>
      </c>
      <c r="AC395" s="70" t="s">
        <v>288</v>
      </c>
      <c r="AD395" s="49" t="s">
        <v>289</v>
      </c>
      <c r="AE395" s="58" t="s">
        <v>290</v>
      </c>
      <c r="AF395" s="56" t="s">
        <v>291</v>
      </c>
      <c r="AG395" s="70" t="s">
        <v>292</v>
      </c>
      <c r="AH395" s="70" t="s">
        <v>293</v>
      </c>
      <c r="AI395" s="73" t="s">
        <v>215</v>
      </c>
      <c r="AJ395" s="70" t="s">
        <v>216</v>
      </c>
      <c r="AK395" s="74" t="s">
        <v>217</v>
      </c>
      <c r="AL395" s="75" t="s">
        <v>218</v>
      </c>
      <c r="AM395" s="76" t="s">
        <v>219</v>
      </c>
      <c r="AN395" s="50" t="s">
        <v>220</v>
      </c>
      <c r="AO395" s="77" t="s">
        <v>221</v>
      </c>
      <c r="AP395" s="51" t="s">
        <v>138</v>
      </c>
      <c r="AQ395" s="78" t="s">
        <v>139</v>
      </c>
      <c r="AR395" s="74" t="s">
        <v>140</v>
      </c>
      <c r="AS395" s="22" t="s">
        <v>141</v>
      </c>
      <c r="AT395" s="75" t="s">
        <v>142</v>
      </c>
      <c r="AU395" s="79" t="s">
        <v>143</v>
      </c>
      <c r="AV395" s="80" t="s">
        <v>144</v>
      </c>
      <c r="AW395" s="81" t="s">
        <v>145</v>
      </c>
      <c r="AX395" s="82" t="s">
        <v>146</v>
      </c>
      <c r="AY395" s="83" t="s">
        <v>147</v>
      </c>
      <c r="AZ395" s="80" t="s">
        <v>585</v>
      </c>
      <c r="BA395" s="41" t="s">
        <v>105</v>
      </c>
      <c r="BB395" s="591" t="str">
        <f t="shared" si="30"/>
        <v>TEMPLATE</v>
      </c>
      <c r="BC395" s="591" t="str">
        <f t="shared" si="31"/>
        <v>17. Regional Health Clusters-MKHC-MOH-PR</v>
      </c>
      <c r="BD395" s="591" t="str">
        <f t="shared" si="32"/>
        <v>MKHC-MOH-PR</v>
      </c>
      <c r="BE395" s="591" t="str">
        <f t="shared" si="33"/>
        <v>NONE</v>
      </c>
      <c r="BF395" s="594">
        <f t="shared" si="34"/>
        <v>9</v>
      </c>
    </row>
    <row r="396" spans="1:58" ht="42" customHeight="1" x14ac:dyDescent="0.45">
      <c r="A396" s="84">
        <v>347</v>
      </c>
      <c r="B396" s="411" t="s">
        <v>2234</v>
      </c>
      <c r="C396" s="70" t="s">
        <v>2235</v>
      </c>
      <c r="D396" s="70" t="s">
        <v>2191</v>
      </c>
      <c r="E396" s="411" t="s">
        <v>930</v>
      </c>
      <c r="F396" s="72" t="s">
        <v>2199</v>
      </c>
      <c r="G396" s="70" t="s">
        <v>932</v>
      </c>
      <c r="H396" s="70" t="s">
        <v>2200</v>
      </c>
      <c r="I396" s="71" t="s">
        <v>924</v>
      </c>
      <c r="J396" s="71" t="s">
        <v>934</v>
      </c>
      <c r="K396" s="70" t="s">
        <v>558</v>
      </c>
      <c r="L396" s="92" t="s">
        <v>935</v>
      </c>
      <c r="M396" s="70" t="s">
        <v>2240</v>
      </c>
      <c r="N396" s="86" t="s">
        <v>66</v>
      </c>
      <c r="O396" s="87" t="s">
        <v>937</v>
      </c>
      <c r="P396" s="70" t="s">
        <v>979</v>
      </c>
      <c r="Q396" s="70" t="s">
        <v>939</v>
      </c>
      <c r="R396" s="70" t="s">
        <v>940</v>
      </c>
      <c r="S396" s="71" t="s">
        <v>941</v>
      </c>
      <c r="T396" s="70" t="s">
        <v>942</v>
      </c>
      <c r="U396" s="25" t="s">
        <v>943</v>
      </c>
      <c r="V396" s="70" t="s">
        <v>944</v>
      </c>
      <c r="W396" s="72" t="s">
        <v>945</v>
      </c>
      <c r="X396" s="70" t="s">
        <v>946</v>
      </c>
      <c r="Y396" s="49" t="s">
        <v>947</v>
      </c>
      <c r="Z396" s="70" t="s">
        <v>948</v>
      </c>
      <c r="AA396" s="71" t="s">
        <v>949</v>
      </c>
      <c r="AB396" s="70" t="s">
        <v>950</v>
      </c>
      <c r="AC396" s="70" t="s">
        <v>951</v>
      </c>
      <c r="AD396" s="22" t="s">
        <v>82</v>
      </c>
      <c r="AE396" s="26" t="s">
        <v>952</v>
      </c>
      <c r="AF396" s="27" t="s">
        <v>953</v>
      </c>
      <c r="AG396" s="70" t="s">
        <v>954</v>
      </c>
      <c r="AH396" s="70" t="s">
        <v>955</v>
      </c>
      <c r="AI396" s="73" t="s">
        <v>956</v>
      </c>
      <c r="AJ396" s="70" t="s">
        <v>957</v>
      </c>
      <c r="AK396" s="74" t="s">
        <v>958</v>
      </c>
      <c r="AL396" s="75" t="s">
        <v>959</v>
      </c>
      <c r="AM396" s="76" t="s">
        <v>960</v>
      </c>
      <c r="AN396" s="50" t="s">
        <v>961</v>
      </c>
      <c r="AO396" s="77" t="s">
        <v>962</v>
      </c>
      <c r="AP396" s="51" t="s">
        <v>963</v>
      </c>
      <c r="AQ396" s="78" t="s">
        <v>964</v>
      </c>
      <c r="AR396" s="74" t="s">
        <v>965</v>
      </c>
      <c r="AS396" s="92" t="s">
        <v>966</v>
      </c>
      <c r="AT396" s="75" t="s">
        <v>967</v>
      </c>
      <c r="AU396" s="79" t="s">
        <v>968</v>
      </c>
      <c r="AV396" s="80" t="s">
        <v>969</v>
      </c>
      <c r="AW396" s="81" t="s">
        <v>970</v>
      </c>
      <c r="AX396" s="82" t="s">
        <v>971</v>
      </c>
      <c r="AY396" s="83" t="s">
        <v>972</v>
      </c>
      <c r="AZ396" s="80" t="s">
        <v>585</v>
      </c>
      <c r="BA396" s="41" t="s">
        <v>105</v>
      </c>
      <c r="BB396" s="591" t="str">
        <f t="shared" si="30"/>
        <v>DEEP</v>
      </c>
      <c r="BC396" s="591" t="str">
        <f t="shared" si="31"/>
        <v>17. Regional Health Clusters-MKHC-CBAHI-HAS-H</v>
      </c>
      <c r="BD396" s="591" t="str">
        <f t="shared" si="32"/>
        <v>MKHC-CBAHI-HAS-H</v>
      </c>
      <c r="BE396" s="591" t="str">
        <f t="shared" si="33"/>
        <v>NONE</v>
      </c>
      <c r="BF396" s="594">
        <f t="shared" si="34"/>
        <v>15</v>
      </c>
    </row>
    <row r="397" spans="1:58" ht="42" customHeight="1" x14ac:dyDescent="0.45">
      <c r="A397" s="42">
        <v>348</v>
      </c>
      <c r="B397" s="412" t="s">
        <v>2234</v>
      </c>
      <c r="C397" s="44" t="s">
        <v>2235</v>
      </c>
      <c r="D397" s="44" t="s">
        <v>2191</v>
      </c>
      <c r="E397" s="412" t="s">
        <v>557</v>
      </c>
      <c r="F397" s="45" t="s">
        <v>58</v>
      </c>
      <c r="G397" s="44" t="s">
        <v>59</v>
      </c>
      <c r="H397" s="44" t="s">
        <v>57</v>
      </c>
      <c r="I397" s="46" t="s">
        <v>61</v>
      </c>
      <c r="J397" s="46" t="s">
        <v>62</v>
      </c>
      <c r="K397" s="44" t="s">
        <v>558</v>
      </c>
      <c r="L397" s="66" t="s">
        <v>559</v>
      </c>
      <c r="M397" s="44" t="s">
        <v>2241</v>
      </c>
      <c r="N397" s="47" t="s">
        <v>66</v>
      </c>
      <c r="O397" s="48" t="s">
        <v>196</v>
      </c>
      <c r="P397" s="44" t="s">
        <v>561</v>
      </c>
      <c r="Q397" s="70" t="s">
        <v>562</v>
      </c>
      <c r="R397" s="70" t="s">
        <v>563</v>
      </c>
      <c r="S397" s="71" t="s">
        <v>564</v>
      </c>
      <c r="T397" s="70" t="s">
        <v>565</v>
      </c>
      <c r="U397" s="25" t="s">
        <v>566</v>
      </c>
      <c r="V397" s="70" t="s">
        <v>282</v>
      </c>
      <c r="W397" s="72" t="s">
        <v>283</v>
      </c>
      <c r="X397" s="70" t="s">
        <v>284</v>
      </c>
      <c r="Y397" s="49" t="s">
        <v>285</v>
      </c>
      <c r="Z397" s="70" t="s">
        <v>286</v>
      </c>
      <c r="AA397" s="71" t="s">
        <v>286</v>
      </c>
      <c r="AB397" s="70" t="s">
        <v>287</v>
      </c>
      <c r="AC397" s="70" t="s">
        <v>288</v>
      </c>
      <c r="AD397" s="49" t="s">
        <v>289</v>
      </c>
      <c r="AE397" s="58" t="s">
        <v>290</v>
      </c>
      <c r="AF397" s="56" t="s">
        <v>291</v>
      </c>
      <c r="AG397" s="70" t="s">
        <v>292</v>
      </c>
      <c r="AH397" s="70" t="s">
        <v>293</v>
      </c>
      <c r="AI397" s="73" t="s">
        <v>215</v>
      </c>
      <c r="AJ397" s="70" t="s">
        <v>216</v>
      </c>
      <c r="AK397" s="74" t="s">
        <v>217</v>
      </c>
      <c r="AL397" s="75" t="s">
        <v>218</v>
      </c>
      <c r="AM397" s="76" t="s">
        <v>219</v>
      </c>
      <c r="AN397" s="50" t="s">
        <v>220</v>
      </c>
      <c r="AO397" s="77" t="s">
        <v>221</v>
      </c>
      <c r="AP397" s="51" t="s">
        <v>138</v>
      </c>
      <c r="AQ397" s="78" t="s">
        <v>139</v>
      </c>
      <c r="AR397" s="74" t="s">
        <v>140</v>
      </c>
      <c r="AS397" s="22" t="s">
        <v>141</v>
      </c>
      <c r="AT397" s="75" t="s">
        <v>142</v>
      </c>
      <c r="AU397" s="79" t="s">
        <v>143</v>
      </c>
      <c r="AV397" s="80" t="s">
        <v>144</v>
      </c>
      <c r="AW397" s="81" t="s">
        <v>145</v>
      </c>
      <c r="AX397" s="82" t="s">
        <v>146</v>
      </c>
      <c r="AY397" s="83" t="s">
        <v>147</v>
      </c>
      <c r="AZ397" s="80" t="s">
        <v>567</v>
      </c>
      <c r="BA397" s="34" t="s">
        <v>320</v>
      </c>
      <c r="BB397" s="591" t="str">
        <f t="shared" si="30"/>
        <v>TEMPLATE</v>
      </c>
      <c r="BC397" s="591" t="str">
        <f t="shared" si="31"/>
        <v>17. Regional Health Clusters-MKHC-NCA-ECC-2:2024</v>
      </c>
      <c r="BD397" s="591" t="str">
        <f t="shared" si="32"/>
        <v>MKHC-NCA-ECC-2-2024</v>
      </c>
      <c r="BE397" s="591" t="str">
        <f t="shared" si="33"/>
        <v>NCA-ECC-2-2024</v>
      </c>
      <c r="BF397" s="594">
        <f t="shared" si="34"/>
        <v>11</v>
      </c>
    </row>
    <row r="398" spans="1:58" ht="42" customHeight="1" x14ac:dyDescent="0.45">
      <c r="A398" s="84">
        <v>349</v>
      </c>
      <c r="B398" s="411" t="s">
        <v>2234</v>
      </c>
      <c r="C398" s="70" t="s">
        <v>2235</v>
      </c>
      <c r="D398" s="70" t="s">
        <v>2191</v>
      </c>
      <c r="E398" s="411" t="s">
        <v>382</v>
      </c>
      <c r="F398" s="72" t="s">
        <v>383</v>
      </c>
      <c r="G398" s="70" t="s">
        <v>384</v>
      </c>
      <c r="H398" s="70" t="s">
        <v>765</v>
      </c>
      <c r="I398" s="71" t="s">
        <v>250</v>
      </c>
      <c r="J398" s="71" t="s">
        <v>386</v>
      </c>
      <c r="K398" s="70" t="s">
        <v>558</v>
      </c>
      <c r="L398" s="66" t="s">
        <v>559</v>
      </c>
      <c r="M398" s="70" t="s">
        <v>2242</v>
      </c>
      <c r="N398" s="86" t="s">
        <v>66</v>
      </c>
      <c r="O398" s="87" t="s">
        <v>540</v>
      </c>
      <c r="P398" s="70" t="s">
        <v>380</v>
      </c>
      <c r="Q398" s="70" t="s">
        <v>390</v>
      </c>
      <c r="R398" s="70" t="s">
        <v>391</v>
      </c>
      <c r="S398" s="71" t="s">
        <v>392</v>
      </c>
      <c r="T398" s="70" t="s">
        <v>393</v>
      </c>
      <c r="U398" s="25" t="s">
        <v>394</v>
      </c>
      <c r="V398" s="70" t="s">
        <v>395</v>
      </c>
      <c r="W398" s="72" t="s">
        <v>396</v>
      </c>
      <c r="X398" s="70" t="s">
        <v>397</v>
      </c>
      <c r="Y398" s="49" t="s">
        <v>398</v>
      </c>
      <c r="Z398" s="70" t="s">
        <v>399</v>
      </c>
      <c r="AA398" s="71" t="s">
        <v>400</v>
      </c>
      <c r="AB398" s="70" t="s">
        <v>401</v>
      </c>
      <c r="AC398" s="70" t="s">
        <v>402</v>
      </c>
      <c r="AD398" s="49" t="s">
        <v>403</v>
      </c>
      <c r="AE398" s="50" t="s">
        <v>404</v>
      </c>
      <c r="AF398" s="60" t="s">
        <v>405</v>
      </c>
      <c r="AG398" s="70" t="s">
        <v>406</v>
      </c>
      <c r="AH398" s="70" t="s">
        <v>407</v>
      </c>
      <c r="AI398" s="73" t="s">
        <v>408</v>
      </c>
      <c r="AJ398" s="70" t="s">
        <v>409</v>
      </c>
      <c r="AK398" s="74" t="s">
        <v>410</v>
      </c>
      <c r="AL398" s="75" t="s">
        <v>411</v>
      </c>
      <c r="AM398" s="76" t="s">
        <v>412</v>
      </c>
      <c r="AN398" s="50" t="s">
        <v>413</v>
      </c>
      <c r="AO398" s="77" t="s">
        <v>414</v>
      </c>
      <c r="AP398" s="51" t="s">
        <v>415</v>
      </c>
      <c r="AQ398" s="78" t="s">
        <v>416</v>
      </c>
      <c r="AR398" s="74" t="s">
        <v>417</v>
      </c>
      <c r="AS398" s="22" t="s">
        <v>418</v>
      </c>
      <c r="AT398" s="75" t="s">
        <v>419</v>
      </c>
      <c r="AU398" s="79" t="s">
        <v>420</v>
      </c>
      <c r="AV398" s="80" t="s">
        <v>421</v>
      </c>
      <c r="AW398" s="81" t="s">
        <v>422</v>
      </c>
      <c r="AX398" s="82" t="s">
        <v>423</v>
      </c>
      <c r="AY398" s="83" t="s">
        <v>424</v>
      </c>
      <c r="AZ398" s="80" t="s">
        <v>425</v>
      </c>
      <c r="BA398" s="34" t="s">
        <v>320</v>
      </c>
      <c r="BB398" s="591" t="str">
        <f t="shared" si="30"/>
        <v>DEEP</v>
      </c>
      <c r="BC398" s="591" t="str">
        <f t="shared" si="31"/>
        <v>17. Regional Health Clusters-MKHC-PDPL-2021</v>
      </c>
      <c r="BD398" s="591" t="str">
        <f t="shared" si="32"/>
        <v>MKHC-PDPL-2021</v>
      </c>
      <c r="BE398" s="591" t="str">
        <f t="shared" si="33"/>
        <v>NONE</v>
      </c>
      <c r="BF398" s="594">
        <f t="shared" si="34"/>
        <v>18</v>
      </c>
    </row>
    <row r="399" spans="1:58" ht="42" customHeight="1" x14ac:dyDescent="0.45">
      <c r="A399" s="42">
        <v>350</v>
      </c>
      <c r="B399" s="412" t="s">
        <v>2234</v>
      </c>
      <c r="C399" s="44" t="s">
        <v>2235</v>
      </c>
      <c r="D399" s="44" t="s">
        <v>2191</v>
      </c>
      <c r="E399" s="412" t="s">
        <v>688</v>
      </c>
      <c r="F399" s="45" t="s">
        <v>689</v>
      </c>
      <c r="G399" s="44" t="s">
        <v>690</v>
      </c>
      <c r="H399" s="44" t="s">
        <v>691</v>
      </c>
      <c r="I399" s="46" t="s">
        <v>151</v>
      </c>
      <c r="J399" s="46" t="s">
        <v>692</v>
      </c>
      <c r="K399" s="44" t="s">
        <v>558</v>
      </c>
      <c r="L399" s="66" t="s">
        <v>559</v>
      </c>
      <c r="M399" s="44" t="s">
        <v>2243</v>
      </c>
      <c r="N399" s="54" t="s">
        <v>154</v>
      </c>
      <c r="O399" s="48" t="s">
        <v>593</v>
      </c>
      <c r="P399" s="44" t="s">
        <v>636</v>
      </c>
      <c r="Q399" s="70" t="s">
        <v>695</v>
      </c>
      <c r="R399" s="70" t="s">
        <v>696</v>
      </c>
      <c r="S399" s="71" t="s">
        <v>697</v>
      </c>
      <c r="T399" s="70" t="s">
        <v>698</v>
      </c>
      <c r="U399" s="25" t="s">
        <v>699</v>
      </c>
      <c r="V399" s="70" t="s">
        <v>700</v>
      </c>
      <c r="W399" s="72" t="s">
        <v>701</v>
      </c>
      <c r="X399" s="70" t="s">
        <v>702</v>
      </c>
      <c r="Y399" s="22" t="s">
        <v>205</v>
      </c>
      <c r="Z399" s="70" t="s">
        <v>703</v>
      </c>
      <c r="AA399" s="71" t="s">
        <v>704</v>
      </c>
      <c r="AB399" s="70" t="s">
        <v>705</v>
      </c>
      <c r="AC399" s="70" t="s">
        <v>706</v>
      </c>
      <c r="AD399" s="49" t="s">
        <v>707</v>
      </c>
      <c r="AE399" s="26" t="s">
        <v>675</v>
      </c>
      <c r="AF399" s="60" t="s">
        <v>708</v>
      </c>
      <c r="AG399" s="70" t="s">
        <v>709</v>
      </c>
      <c r="AH399" s="70" t="s">
        <v>710</v>
      </c>
      <c r="AI399" s="73" t="s">
        <v>711</v>
      </c>
      <c r="AJ399" s="70" t="s">
        <v>712</v>
      </c>
      <c r="AK399" s="74" t="s">
        <v>713</v>
      </c>
      <c r="AL399" s="75" t="s">
        <v>714</v>
      </c>
      <c r="AM399" s="76" t="s">
        <v>715</v>
      </c>
      <c r="AN399" s="50" t="s">
        <v>716</v>
      </c>
      <c r="AO399" s="77" t="s">
        <v>717</v>
      </c>
      <c r="AP399" s="51" t="s">
        <v>718</v>
      </c>
      <c r="AQ399" s="78" t="s">
        <v>719</v>
      </c>
      <c r="AR399" s="74" t="s">
        <v>720</v>
      </c>
      <c r="AS399" s="61" t="s">
        <v>721</v>
      </c>
      <c r="AT399" s="75" t="s">
        <v>722</v>
      </c>
      <c r="AU399" s="79" t="s">
        <v>723</v>
      </c>
      <c r="AV399" s="80" t="s">
        <v>724</v>
      </c>
      <c r="AW399" s="81" t="s">
        <v>725</v>
      </c>
      <c r="AX399" s="82" t="s">
        <v>726</v>
      </c>
      <c r="AY399" s="83" t="s">
        <v>727</v>
      </c>
      <c r="AZ399" s="80" t="s">
        <v>728</v>
      </c>
      <c r="BA399" s="41" t="s">
        <v>105</v>
      </c>
      <c r="BB399" s="591" t="str">
        <f t="shared" si="30"/>
        <v>DEEP</v>
      </c>
      <c r="BC399" s="591" t="str">
        <f t="shared" si="31"/>
        <v>17. Regional Health Clusters-MKHC-MOH-TELE</v>
      </c>
      <c r="BD399" s="591" t="str">
        <f t="shared" si="32"/>
        <v>MKHC-MOH-TELE</v>
      </c>
      <c r="BE399" s="591" t="str">
        <f t="shared" si="33"/>
        <v>NONE</v>
      </c>
      <c r="BF399" s="594">
        <f t="shared" si="34"/>
        <v>16</v>
      </c>
    </row>
    <row r="400" spans="1:58" ht="42" customHeight="1" x14ac:dyDescent="0.45">
      <c r="A400" s="84">
        <v>351</v>
      </c>
      <c r="B400" s="411" t="s">
        <v>2234</v>
      </c>
      <c r="C400" s="70" t="s">
        <v>2235</v>
      </c>
      <c r="D400" s="70" t="s">
        <v>2191</v>
      </c>
      <c r="E400" s="411" t="s">
        <v>1246</v>
      </c>
      <c r="F400" s="72" t="s">
        <v>2205</v>
      </c>
      <c r="G400" s="70" t="s">
        <v>2206</v>
      </c>
      <c r="H400" s="70" t="s">
        <v>633</v>
      </c>
      <c r="I400" s="71" t="s">
        <v>61</v>
      </c>
      <c r="J400" s="71" t="s">
        <v>194</v>
      </c>
      <c r="K400" s="70" t="s">
        <v>558</v>
      </c>
      <c r="L400" s="66" t="s">
        <v>559</v>
      </c>
      <c r="M400" s="70" t="s">
        <v>2244</v>
      </c>
      <c r="N400" s="86" t="s">
        <v>66</v>
      </c>
      <c r="O400" s="87" t="s">
        <v>1250</v>
      </c>
      <c r="P400" s="70" t="s">
        <v>1244</v>
      </c>
      <c r="Q400" s="70" t="s">
        <v>1252</v>
      </c>
      <c r="R400" s="70" t="s">
        <v>1253</v>
      </c>
      <c r="S400" s="71" t="s">
        <v>1254</v>
      </c>
      <c r="T400" s="70" t="s">
        <v>1255</v>
      </c>
      <c r="U400" s="25" t="s">
        <v>1256</v>
      </c>
      <c r="V400" s="70" t="s">
        <v>1257</v>
      </c>
      <c r="W400" s="72" t="s">
        <v>1258</v>
      </c>
      <c r="X400" s="70" t="s">
        <v>1259</v>
      </c>
      <c r="Y400" s="22" t="s">
        <v>205</v>
      </c>
      <c r="Z400" s="70" t="s">
        <v>1260</v>
      </c>
      <c r="AA400" s="71" t="s">
        <v>1261</v>
      </c>
      <c r="AB400" s="70" t="s">
        <v>1262</v>
      </c>
      <c r="AC400" s="70" t="s">
        <v>1263</v>
      </c>
      <c r="AD400" s="49" t="s">
        <v>650</v>
      </c>
      <c r="AE400" s="37" t="s">
        <v>1264</v>
      </c>
      <c r="AF400" s="27" t="s">
        <v>1265</v>
      </c>
      <c r="AG400" s="70" t="s">
        <v>1266</v>
      </c>
      <c r="AH400" s="70" t="s">
        <v>1267</v>
      </c>
      <c r="AI400" s="73" t="s">
        <v>215</v>
      </c>
      <c r="AJ400" s="70" t="s">
        <v>216</v>
      </c>
      <c r="AK400" s="74" t="s">
        <v>217</v>
      </c>
      <c r="AL400" s="75" t="s">
        <v>218</v>
      </c>
      <c r="AM400" s="76" t="s">
        <v>219</v>
      </c>
      <c r="AN400" s="50" t="s">
        <v>220</v>
      </c>
      <c r="AO400" s="77" t="s">
        <v>221</v>
      </c>
      <c r="AP400" s="51" t="s">
        <v>138</v>
      </c>
      <c r="AQ400" s="78" t="s">
        <v>139</v>
      </c>
      <c r="AR400" s="74" t="s">
        <v>140</v>
      </c>
      <c r="AS400" s="22" t="s">
        <v>141</v>
      </c>
      <c r="AT400" s="75" t="s">
        <v>142</v>
      </c>
      <c r="AU400" s="79" t="s">
        <v>143</v>
      </c>
      <c r="AV400" s="80" t="s">
        <v>144</v>
      </c>
      <c r="AW400" s="81" t="s">
        <v>145</v>
      </c>
      <c r="AX400" s="82" t="s">
        <v>146</v>
      </c>
      <c r="AY400" s="83" t="s">
        <v>147</v>
      </c>
      <c r="AZ400" s="80" t="s">
        <v>585</v>
      </c>
      <c r="BA400" s="41" t="s">
        <v>105</v>
      </c>
      <c r="BB400" s="591" t="str">
        <f t="shared" si="30"/>
        <v>TEMPLATE</v>
      </c>
      <c r="BC400" s="591" t="str">
        <f t="shared" si="31"/>
        <v>17. Regional Health Clusters-MKHC-NHIC-NABIDH</v>
      </c>
      <c r="BD400" s="591" t="str">
        <f t="shared" si="32"/>
        <v>MKHC-NHIC-NABIDH</v>
      </c>
      <c r="BE400" s="591" t="str">
        <f t="shared" si="33"/>
        <v>NONE</v>
      </c>
      <c r="BF400" s="594">
        <f t="shared" si="34"/>
        <v>11</v>
      </c>
    </row>
    <row r="401" spans="1:58" ht="42" customHeight="1" x14ac:dyDescent="0.45">
      <c r="A401" s="42">
        <v>352</v>
      </c>
      <c r="B401" s="412" t="s">
        <v>2234</v>
      </c>
      <c r="C401" s="44" t="s">
        <v>2235</v>
      </c>
      <c r="D401" s="44" t="s">
        <v>2191</v>
      </c>
      <c r="E401" s="412" t="s">
        <v>770</v>
      </c>
      <c r="F401" s="45" t="s">
        <v>107</v>
      </c>
      <c r="G401" s="44" t="s">
        <v>108</v>
      </c>
      <c r="H401" s="44" t="s">
        <v>106</v>
      </c>
      <c r="I401" s="46" t="s">
        <v>109</v>
      </c>
      <c r="J401" s="46" t="s">
        <v>110</v>
      </c>
      <c r="K401" s="44" t="s">
        <v>558</v>
      </c>
      <c r="L401" s="66" t="s">
        <v>559</v>
      </c>
      <c r="M401" s="44" t="s">
        <v>2245</v>
      </c>
      <c r="N401" s="47" t="s">
        <v>66</v>
      </c>
      <c r="O401" s="48" t="s">
        <v>196</v>
      </c>
      <c r="P401" s="44" t="s">
        <v>2209</v>
      </c>
      <c r="Q401" s="70" t="s">
        <v>562</v>
      </c>
      <c r="R401" s="70" t="s">
        <v>563</v>
      </c>
      <c r="S401" s="71" t="s">
        <v>564</v>
      </c>
      <c r="T401" s="70" t="s">
        <v>565</v>
      </c>
      <c r="U401" s="25" t="s">
        <v>566</v>
      </c>
      <c r="V401" s="70" t="s">
        <v>282</v>
      </c>
      <c r="W401" s="72" t="s">
        <v>283</v>
      </c>
      <c r="X401" s="70" t="s">
        <v>284</v>
      </c>
      <c r="Y401" s="49" t="s">
        <v>285</v>
      </c>
      <c r="Z401" s="70" t="s">
        <v>286</v>
      </c>
      <c r="AA401" s="71" t="s">
        <v>286</v>
      </c>
      <c r="AB401" s="70" t="s">
        <v>287</v>
      </c>
      <c r="AC401" s="70" t="s">
        <v>288</v>
      </c>
      <c r="AD401" s="49" t="s">
        <v>289</v>
      </c>
      <c r="AE401" s="58" t="s">
        <v>290</v>
      </c>
      <c r="AF401" s="56" t="s">
        <v>291</v>
      </c>
      <c r="AG401" s="70" t="s">
        <v>292</v>
      </c>
      <c r="AH401" s="70" t="s">
        <v>293</v>
      </c>
      <c r="AI401" s="73" t="s">
        <v>215</v>
      </c>
      <c r="AJ401" s="70" t="s">
        <v>216</v>
      </c>
      <c r="AK401" s="74" t="s">
        <v>217</v>
      </c>
      <c r="AL401" s="75" t="s">
        <v>218</v>
      </c>
      <c r="AM401" s="76" t="s">
        <v>219</v>
      </c>
      <c r="AN401" s="50" t="s">
        <v>220</v>
      </c>
      <c r="AO401" s="77" t="s">
        <v>221</v>
      </c>
      <c r="AP401" s="53" t="s">
        <v>773</v>
      </c>
      <c r="AQ401" s="78" t="s">
        <v>774</v>
      </c>
      <c r="AR401" s="74" t="s">
        <v>775</v>
      </c>
      <c r="AS401" s="22" t="s">
        <v>776</v>
      </c>
      <c r="AT401" s="75" t="s">
        <v>777</v>
      </c>
      <c r="AU401" s="79" t="s">
        <v>778</v>
      </c>
      <c r="AV401" s="80" t="s">
        <v>779</v>
      </c>
      <c r="AW401" s="81" t="s">
        <v>780</v>
      </c>
      <c r="AX401" s="82" t="s">
        <v>781</v>
      </c>
      <c r="AY401" s="83" t="s">
        <v>782</v>
      </c>
      <c r="AZ401" s="80" t="s">
        <v>104</v>
      </c>
      <c r="BA401" s="41" t="s">
        <v>105</v>
      </c>
      <c r="BB401" s="591" t="str">
        <f t="shared" si="30"/>
        <v>TEMPLATE</v>
      </c>
      <c r="BC401" s="591" t="str">
        <f t="shared" si="31"/>
        <v>17. Regional Health Clusters-MKHC-NCA-OTCC</v>
      </c>
      <c r="BD401" s="591" t="str">
        <f t="shared" si="32"/>
        <v>MKHC-NCA-OTCC</v>
      </c>
      <c r="BE401" s="591" t="str">
        <f t="shared" si="33"/>
        <v>NCA-ECC-2-2024</v>
      </c>
      <c r="BF401" s="594">
        <f t="shared" si="34"/>
        <v>11</v>
      </c>
    </row>
    <row r="402" spans="1:58" ht="42" customHeight="1" x14ac:dyDescent="0.45">
      <c r="A402" s="84">
        <v>353</v>
      </c>
      <c r="B402" s="411" t="s">
        <v>2246</v>
      </c>
      <c r="C402" s="70" t="s">
        <v>2247</v>
      </c>
      <c r="D402" s="70" t="s">
        <v>2191</v>
      </c>
      <c r="E402" s="411" t="s">
        <v>586</v>
      </c>
      <c r="F402" s="72" t="s">
        <v>587</v>
      </c>
      <c r="G402" s="70" t="s">
        <v>588</v>
      </c>
      <c r="H402" s="70" t="s">
        <v>589</v>
      </c>
      <c r="I402" s="71" t="s">
        <v>590</v>
      </c>
      <c r="J402" s="71" t="s">
        <v>591</v>
      </c>
      <c r="K402" s="70" t="s">
        <v>558</v>
      </c>
      <c r="L402" s="66" t="s">
        <v>559</v>
      </c>
      <c r="M402" s="70" t="s">
        <v>2248</v>
      </c>
      <c r="N402" s="86" t="s">
        <v>66</v>
      </c>
      <c r="O402" s="87" t="s">
        <v>593</v>
      </c>
      <c r="P402" s="70" t="s">
        <v>661</v>
      </c>
      <c r="Q402" s="70" t="s">
        <v>595</v>
      </c>
      <c r="R402" s="70" t="s">
        <v>596</v>
      </c>
      <c r="S402" s="71" t="s">
        <v>597</v>
      </c>
      <c r="T402" s="70" t="s">
        <v>598</v>
      </c>
      <c r="U402" s="25" t="s">
        <v>599</v>
      </c>
      <c r="V402" s="70" t="s">
        <v>600</v>
      </c>
      <c r="W402" s="72" t="s">
        <v>601</v>
      </c>
      <c r="X402" s="70" t="s">
        <v>602</v>
      </c>
      <c r="Y402" s="49" t="s">
        <v>603</v>
      </c>
      <c r="Z402" s="70" t="s">
        <v>604</v>
      </c>
      <c r="AA402" s="71" t="s">
        <v>605</v>
      </c>
      <c r="AB402" s="70" t="s">
        <v>606</v>
      </c>
      <c r="AC402" s="70" t="s">
        <v>607</v>
      </c>
      <c r="AD402" s="49" t="s">
        <v>608</v>
      </c>
      <c r="AE402" s="26" t="s">
        <v>609</v>
      </c>
      <c r="AF402" s="27" t="s">
        <v>610</v>
      </c>
      <c r="AG402" s="70" t="s">
        <v>611</v>
      </c>
      <c r="AH402" s="70" t="s">
        <v>612</v>
      </c>
      <c r="AI402" s="73" t="s">
        <v>613</v>
      </c>
      <c r="AJ402" s="70" t="s">
        <v>614</v>
      </c>
      <c r="AK402" s="74" t="s">
        <v>615</v>
      </c>
      <c r="AL402" s="75" t="s">
        <v>616</v>
      </c>
      <c r="AM402" s="76" t="s">
        <v>617</v>
      </c>
      <c r="AN402" s="50" t="s">
        <v>618</v>
      </c>
      <c r="AO402" s="77" t="s">
        <v>619</v>
      </c>
      <c r="AP402" s="34" t="s">
        <v>620</v>
      </c>
      <c r="AQ402" s="78" t="s">
        <v>621</v>
      </c>
      <c r="AR402" s="74" t="s">
        <v>622</v>
      </c>
      <c r="AS402" s="61" t="s">
        <v>623</v>
      </c>
      <c r="AT402" s="75" t="s">
        <v>624</v>
      </c>
      <c r="AU402" s="79" t="s">
        <v>625</v>
      </c>
      <c r="AV402" s="80" t="s">
        <v>626</v>
      </c>
      <c r="AW402" s="81" t="s">
        <v>627</v>
      </c>
      <c r="AX402" s="82" t="s">
        <v>628</v>
      </c>
      <c r="AY402" s="83" t="s">
        <v>629</v>
      </c>
      <c r="AZ402" s="80" t="s">
        <v>585</v>
      </c>
      <c r="BA402" s="41" t="s">
        <v>105</v>
      </c>
      <c r="BB402" s="591" t="str">
        <f t="shared" si="30"/>
        <v>DEEP</v>
      </c>
      <c r="BC402" s="591" t="str">
        <f t="shared" si="31"/>
        <v>17. Regional Health Clusters-MDHC-MOH-HIS</v>
      </c>
      <c r="BD402" s="591" t="str">
        <f t="shared" si="32"/>
        <v>MDHC-MOH-HIS</v>
      </c>
      <c r="BE402" s="591" t="str">
        <f t="shared" si="33"/>
        <v>NONE</v>
      </c>
      <c r="BF402" s="594">
        <f t="shared" si="34"/>
        <v>18</v>
      </c>
    </row>
    <row r="403" spans="1:58" ht="42" customHeight="1" x14ac:dyDescent="0.45">
      <c r="A403" s="42">
        <v>354</v>
      </c>
      <c r="B403" s="412" t="s">
        <v>2246</v>
      </c>
      <c r="C403" s="44" t="s">
        <v>2247</v>
      </c>
      <c r="D403" s="44" t="s">
        <v>2191</v>
      </c>
      <c r="E403" s="412" t="s">
        <v>630</v>
      </c>
      <c r="F403" s="45" t="s">
        <v>2193</v>
      </c>
      <c r="G403" s="44" t="s">
        <v>2194</v>
      </c>
      <c r="H403" s="44" t="s">
        <v>633</v>
      </c>
      <c r="I403" s="46" t="s">
        <v>590</v>
      </c>
      <c r="J403" s="46" t="s">
        <v>634</v>
      </c>
      <c r="K403" s="44" t="s">
        <v>558</v>
      </c>
      <c r="L403" s="66" t="s">
        <v>559</v>
      </c>
      <c r="M403" s="44" t="s">
        <v>2249</v>
      </c>
      <c r="N403" s="47" t="s">
        <v>66</v>
      </c>
      <c r="O403" s="48" t="s">
        <v>593</v>
      </c>
      <c r="P403" s="44" t="s">
        <v>2196</v>
      </c>
      <c r="Q403" s="70" t="s">
        <v>637</v>
      </c>
      <c r="R403" s="70" t="s">
        <v>638</v>
      </c>
      <c r="S403" s="71" t="s">
        <v>639</v>
      </c>
      <c r="T403" s="70" t="s">
        <v>640</v>
      </c>
      <c r="U403" s="25" t="s">
        <v>641</v>
      </c>
      <c r="V403" s="70" t="s">
        <v>642</v>
      </c>
      <c r="W403" s="72" t="s">
        <v>643</v>
      </c>
      <c r="X403" s="70" t="s">
        <v>644</v>
      </c>
      <c r="Y403" s="49" t="s">
        <v>645</v>
      </c>
      <c r="Z403" s="70" t="s">
        <v>646</v>
      </c>
      <c r="AA403" s="71" t="s">
        <v>647</v>
      </c>
      <c r="AB403" s="70" t="s">
        <v>648</v>
      </c>
      <c r="AC403" s="70" t="s">
        <v>649</v>
      </c>
      <c r="AD403" s="49" t="s">
        <v>650</v>
      </c>
      <c r="AE403" s="26" t="s">
        <v>651</v>
      </c>
      <c r="AF403" s="27" t="s">
        <v>652</v>
      </c>
      <c r="AG403" s="70" t="s">
        <v>653</v>
      </c>
      <c r="AH403" s="70" t="s">
        <v>654</v>
      </c>
      <c r="AI403" s="73" t="s">
        <v>215</v>
      </c>
      <c r="AJ403" s="70" t="s">
        <v>216</v>
      </c>
      <c r="AK403" s="74" t="s">
        <v>217</v>
      </c>
      <c r="AL403" s="75" t="s">
        <v>218</v>
      </c>
      <c r="AM403" s="76" t="s">
        <v>219</v>
      </c>
      <c r="AN403" s="50" t="s">
        <v>220</v>
      </c>
      <c r="AO403" s="77" t="s">
        <v>221</v>
      </c>
      <c r="AP403" s="51" t="s">
        <v>138</v>
      </c>
      <c r="AQ403" s="78" t="s">
        <v>139</v>
      </c>
      <c r="AR403" s="74" t="s">
        <v>140</v>
      </c>
      <c r="AS403" s="22" t="s">
        <v>141</v>
      </c>
      <c r="AT403" s="75" t="s">
        <v>142</v>
      </c>
      <c r="AU403" s="79" t="s">
        <v>143</v>
      </c>
      <c r="AV403" s="80" t="s">
        <v>144</v>
      </c>
      <c r="AW403" s="81" t="s">
        <v>145</v>
      </c>
      <c r="AX403" s="82" t="s">
        <v>146</v>
      </c>
      <c r="AY403" s="83" t="s">
        <v>147</v>
      </c>
      <c r="AZ403" s="80" t="s">
        <v>585</v>
      </c>
      <c r="BA403" s="41" t="s">
        <v>105</v>
      </c>
      <c r="BB403" s="591" t="str">
        <f t="shared" si="30"/>
        <v>TEMPLATE</v>
      </c>
      <c r="BC403" s="591" t="str">
        <f t="shared" si="31"/>
        <v>17. Regional Health Clusters-MDHC-MOH-EMR-NABIDH</v>
      </c>
      <c r="BD403" s="591" t="str">
        <f t="shared" si="32"/>
        <v>MDHC-MOH-EMR-NABIDH</v>
      </c>
      <c r="BE403" s="591" t="str">
        <f t="shared" si="33"/>
        <v>NONE</v>
      </c>
      <c r="BF403" s="594">
        <f t="shared" si="34"/>
        <v>11</v>
      </c>
    </row>
    <row r="404" spans="1:58" ht="42" customHeight="1" x14ac:dyDescent="0.45">
      <c r="A404" s="84">
        <v>355</v>
      </c>
      <c r="B404" s="411" t="s">
        <v>2246</v>
      </c>
      <c r="C404" s="70" t="s">
        <v>2247</v>
      </c>
      <c r="D404" s="70" t="s">
        <v>2191</v>
      </c>
      <c r="E404" s="411" t="s">
        <v>655</v>
      </c>
      <c r="F404" s="72" t="s">
        <v>656</v>
      </c>
      <c r="G404" s="70" t="s">
        <v>657</v>
      </c>
      <c r="H404" s="70" t="s">
        <v>589</v>
      </c>
      <c r="I404" s="71" t="s">
        <v>658</v>
      </c>
      <c r="J404" s="71" t="s">
        <v>659</v>
      </c>
      <c r="K404" s="70" t="s">
        <v>558</v>
      </c>
      <c r="L404" s="66" t="s">
        <v>559</v>
      </c>
      <c r="M404" s="70" t="s">
        <v>2250</v>
      </c>
      <c r="N404" s="86" t="s">
        <v>66</v>
      </c>
      <c r="O404" s="87" t="s">
        <v>593</v>
      </c>
      <c r="P404" s="70" t="s">
        <v>661</v>
      </c>
      <c r="Q404" s="70" t="s">
        <v>662</v>
      </c>
      <c r="R404" s="70" t="s">
        <v>663</v>
      </c>
      <c r="S404" s="71" t="s">
        <v>664</v>
      </c>
      <c r="T404" s="70" t="s">
        <v>665</v>
      </c>
      <c r="U404" s="25" t="s">
        <v>666</v>
      </c>
      <c r="V404" s="70" t="s">
        <v>667</v>
      </c>
      <c r="W404" s="72" t="s">
        <v>668</v>
      </c>
      <c r="X404" s="70" t="s">
        <v>669</v>
      </c>
      <c r="Y404" s="22" t="s">
        <v>205</v>
      </c>
      <c r="Z404" s="70" t="s">
        <v>670</v>
      </c>
      <c r="AA404" s="71" t="s">
        <v>671</v>
      </c>
      <c r="AB404" s="70" t="s">
        <v>672</v>
      </c>
      <c r="AC404" s="70" t="s">
        <v>673</v>
      </c>
      <c r="AD404" s="49" t="s">
        <v>674</v>
      </c>
      <c r="AE404" s="26" t="s">
        <v>675</v>
      </c>
      <c r="AF404" s="27" t="s">
        <v>676</v>
      </c>
      <c r="AG404" s="70" t="s">
        <v>677</v>
      </c>
      <c r="AH404" s="70" t="s">
        <v>678</v>
      </c>
      <c r="AI404" s="73" t="s">
        <v>215</v>
      </c>
      <c r="AJ404" s="70" t="s">
        <v>216</v>
      </c>
      <c r="AK404" s="74" t="s">
        <v>217</v>
      </c>
      <c r="AL404" s="75" t="s">
        <v>218</v>
      </c>
      <c r="AM404" s="76" t="s">
        <v>219</v>
      </c>
      <c r="AN404" s="50" t="s">
        <v>220</v>
      </c>
      <c r="AO404" s="77" t="s">
        <v>221</v>
      </c>
      <c r="AP404" s="51" t="s">
        <v>138</v>
      </c>
      <c r="AQ404" s="78" t="s">
        <v>139</v>
      </c>
      <c r="AR404" s="74" t="s">
        <v>140</v>
      </c>
      <c r="AS404" s="22" t="s">
        <v>141</v>
      </c>
      <c r="AT404" s="75" t="s">
        <v>142</v>
      </c>
      <c r="AU404" s="79" t="s">
        <v>143</v>
      </c>
      <c r="AV404" s="80" t="s">
        <v>144</v>
      </c>
      <c r="AW404" s="81" t="s">
        <v>145</v>
      </c>
      <c r="AX404" s="82" t="s">
        <v>146</v>
      </c>
      <c r="AY404" s="83" t="s">
        <v>147</v>
      </c>
      <c r="AZ404" s="80" t="s">
        <v>585</v>
      </c>
      <c r="BA404" s="41" t="s">
        <v>105</v>
      </c>
      <c r="BB404" s="591" t="str">
        <f t="shared" si="30"/>
        <v>TEMPLATE</v>
      </c>
      <c r="BC404" s="591" t="str">
        <f t="shared" si="31"/>
        <v>17. Regional Health Clusters-MDHC-MOH-PS</v>
      </c>
      <c r="BD404" s="591" t="str">
        <f t="shared" si="32"/>
        <v>MDHC-MOH-PS</v>
      </c>
      <c r="BE404" s="591" t="str">
        <f t="shared" si="33"/>
        <v>NONE</v>
      </c>
      <c r="BF404" s="594">
        <f t="shared" si="34"/>
        <v>11</v>
      </c>
    </row>
    <row r="405" spans="1:58" ht="42" customHeight="1" x14ac:dyDescent="0.45">
      <c r="A405" s="42">
        <v>356</v>
      </c>
      <c r="B405" s="412" t="s">
        <v>2246</v>
      </c>
      <c r="C405" s="44" t="s">
        <v>2247</v>
      </c>
      <c r="D405" s="44" t="s">
        <v>2191</v>
      </c>
      <c r="E405" s="412" t="s">
        <v>679</v>
      </c>
      <c r="F405" s="45" t="s">
        <v>680</v>
      </c>
      <c r="G405" s="44" t="s">
        <v>681</v>
      </c>
      <c r="H405" s="44" t="s">
        <v>225</v>
      </c>
      <c r="I405" s="46" t="s">
        <v>682</v>
      </c>
      <c r="J405" s="46" t="s">
        <v>386</v>
      </c>
      <c r="K405" s="44" t="s">
        <v>558</v>
      </c>
      <c r="L405" s="66" t="s">
        <v>559</v>
      </c>
      <c r="M405" s="44" t="s">
        <v>2251</v>
      </c>
      <c r="N405" s="54" t="s">
        <v>154</v>
      </c>
      <c r="O405" s="48" t="s">
        <v>593</v>
      </c>
      <c r="P405" s="44" t="s">
        <v>661</v>
      </c>
      <c r="Q405" s="70" t="s">
        <v>683</v>
      </c>
      <c r="R405" s="70" t="s">
        <v>684</v>
      </c>
      <c r="S405" s="71" t="s">
        <v>685</v>
      </c>
      <c r="T405" s="70" t="s">
        <v>686</v>
      </c>
      <c r="U405" s="25" t="s">
        <v>687</v>
      </c>
      <c r="V405" s="70" t="s">
        <v>282</v>
      </c>
      <c r="W405" s="72" t="s">
        <v>283</v>
      </c>
      <c r="X405" s="70" t="s">
        <v>284</v>
      </c>
      <c r="Y405" s="49" t="s">
        <v>285</v>
      </c>
      <c r="Z405" s="70" t="s">
        <v>286</v>
      </c>
      <c r="AA405" s="71" t="s">
        <v>286</v>
      </c>
      <c r="AB405" s="70" t="s">
        <v>287</v>
      </c>
      <c r="AC405" s="70" t="s">
        <v>288</v>
      </c>
      <c r="AD405" s="49" t="s">
        <v>289</v>
      </c>
      <c r="AE405" s="58" t="s">
        <v>290</v>
      </c>
      <c r="AF405" s="56" t="s">
        <v>291</v>
      </c>
      <c r="AG405" s="70" t="s">
        <v>292</v>
      </c>
      <c r="AH405" s="70" t="s">
        <v>293</v>
      </c>
      <c r="AI405" s="73" t="s">
        <v>215</v>
      </c>
      <c r="AJ405" s="70" t="s">
        <v>216</v>
      </c>
      <c r="AK405" s="74" t="s">
        <v>217</v>
      </c>
      <c r="AL405" s="75" t="s">
        <v>218</v>
      </c>
      <c r="AM405" s="76" t="s">
        <v>219</v>
      </c>
      <c r="AN405" s="50" t="s">
        <v>220</v>
      </c>
      <c r="AO405" s="77" t="s">
        <v>221</v>
      </c>
      <c r="AP405" s="51" t="s">
        <v>138</v>
      </c>
      <c r="AQ405" s="78" t="s">
        <v>139</v>
      </c>
      <c r="AR405" s="74" t="s">
        <v>140</v>
      </c>
      <c r="AS405" s="22" t="s">
        <v>141</v>
      </c>
      <c r="AT405" s="75" t="s">
        <v>142</v>
      </c>
      <c r="AU405" s="79" t="s">
        <v>143</v>
      </c>
      <c r="AV405" s="80" t="s">
        <v>144</v>
      </c>
      <c r="AW405" s="81" t="s">
        <v>145</v>
      </c>
      <c r="AX405" s="82" t="s">
        <v>146</v>
      </c>
      <c r="AY405" s="83" t="s">
        <v>147</v>
      </c>
      <c r="AZ405" s="80" t="s">
        <v>585</v>
      </c>
      <c r="BA405" s="41" t="s">
        <v>105</v>
      </c>
      <c r="BB405" s="591" t="str">
        <f t="shared" si="30"/>
        <v>TEMPLATE</v>
      </c>
      <c r="BC405" s="591" t="str">
        <f t="shared" si="31"/>
        <v>17. Regional Health Clusters-MDHC-MOH-PR</v>
      </c>
      <c r="BD405" s="591" t="str">
        <f t="shared" si="32"/>
        <v>MDHC-MOH-PR</v>
      </c>
      <c r="BE405" s="591" t="str">
        <f t="shared" si="33"/>
        <v>NONE</v>
      </c>
      <c r="BF405" s="594">
        <f t="shared" si="34"/>
        <v>9</v>
      </c>
    </row>
    <row r="406" spans="1:58" ht="42" customHeight="1" x14ac:dyDescent="0.45">
      <c r="A406" s="84">
        <v>357</v>
      </c>
      <c r="B406" s="411" t="s">
        <v>2246</v>
      </c>
      <c r="C406" s="70" t="s">
        <v>2247</v>
      </c>
      <c r="D406" s="70" t="s">
        <v>2191</v>
      </c>
      <c r="E406" s="411" t="s">
        <v>930</v>
      </c>
      <c r="F406" s="72" t="s">
        <v>2199</v>
      </c>
      <c r="G406" s="70" t="s">
        <v>932</v>
      </c>
      <c r="H406" s="70" t="s">
        <v>2200</v>
      </c>
      <c r="I406" s="71" t="s">
        <v>924</v>
      </c>
      <c r="J406" s="71" t="s">
        <v>934</v>
      </c>
      <c r="K406" s="70" t="s">
        <v>558</v>
      </c>
      <c r="L406" s="92" t="s">
        <v>935</v>
      </c>
      <c r="M406" s="70" t="s">
        <v>2252</v>
      </c>
      <c r="N406" s="86" t="s">
        <v>66</v>
      </c>
      <c r="O406" s="87" t="s">
        <v>937</v>
      </c>
      <c r="P406" s="70" t="s">
        <v>979</v>
      </c>
      <c r="Q406" s="70" t="s">
        <v>939</v>
      </c>
      <c r="R406" s="70" t="s">
        <v>940</v>
      </c>
      <c r="S406" s="71" t="s">
        <v>941</v>
      </c>
      <c r="T406" s="70" t="s">
        <v>942</v>
      </c>
      <c r="U406" s="25" t="s">
        <v>943</v>
      </c>
      <c r="V406" s="70" t="s">
        <v>944</v>
      </c>
      <c r="W406" s="72" t="s">
        <v>945</v>
      </c>
      <c r="X406" s="70" t="s">
        <v>946</v>
      </c>
      <c r="Y406" s="49" t="s">
        <v>947</v>
      </c>
      <c r="Z406" s="70" t="s">
        <v>948</v>
      </c>
      <c r="AA406" s="71" t="s">
        <v>949</v>
      </c>
      <c r="AB406" s="70" t="s">
        <v>950</v>
      </c>
      <c r="AC406" s="70" t="s">
        <v>951</v>
      </c>
      <c r="AD406" s="22" t="s">
        <v>82</v>
      </c>
      <c r="AE406" s="26" t="s">
        <v>952</v>
      </c>
      <c r="AF406" s="27" t="s">
        <v>953</v>
      </c>
      <c r="AG406" s="70" t="s">
        <v>954</v>
      </c>
      <c r="AH406" s="70" t="s">
        <v>955</v>
      </c>
      <c r="AI406" s="73" t="s">
        <v>956</v>
      </c>
      <c r="AJ406" s="70" t="s">
        <v>957</v>
      </c>
      <c r="AK406" s="74" t="s">
        <v>958</v>
      </c>
      <c r="AL406" s="75" t="s">
        <v>959</v>
      </c>
      <c r="AM406" s="76" t="s">
        <v>960</v>
      </c>
      <c r="AN406" s="50" t="s">
        <v>961</v>
      </c>
      <c r="AO406" s="77" t="s">
        <v>962</v>
      </c>
      <c r="AP406" s="51" t="s">
        <v>963</v>
      </c>
      <c r="AQ406" s="78" t="s">
        <v>964</v>
      </c>
      <c r="AR406" s="74" t="s">
        <v>965</v>
      </c>
      <c r="AS406" s="92" t="s">
        <v>966</v>
      </c>
      <c r="AT406" s="75" t="s">
        <v>967</v>
      </c>
      <c r="AU406" s="79" t="s">
        <v>968</v>
      </c>
      <c r="AV406" s="80" t="s">
        <v>969</v>
      </c>
      <c r="AW406" s="81" t="s">
        <v>970</v>
      </c>
      <c r="AX406" s="82" t="s">
        <v>971</v>
      </c>
      <c r="AY406" s="83" t="s">
        <v>972</v>
      </c>
      <c r="AZ406" s="80" t="s">
        <v>585</v>
      </c>
      <c r="BA406" s="41" t="s">
        <v>105</v>
      </c>
      <c r="BB406" s="591" t="str">
        <f t="shared" si="30"/>
        <v>DEEP</v>
      </c>
      <c r="BC406" s="591" t="str">
        <f t="shared" si="31"/>
        <v>17. Regional Health Clusters-MDHC-CBAHI-HAS-H</v>
      </c>
      <c r="BD406" s="591" t="str">
        <f t="shared" si="32"/>
        <v>MDHC-CBAHI-HAS-H</v>
      </c>
      <c r="BE406" s="591" t="str">
        <f t="shared" si="33"/>
        <v>NONE</v>
      </c>
      <c r="BF406" s="594">
        <f t="shared" si="34"/>
        <v>15</v>
      </c>
    </row>
    <row r="407" spans="1:58" ht="42" customHeight="1" x14ac:dyDescent="0.45">
      <c r="A407" s="42">
        <v>358</v>
      </c>
      <c r="B407" s="412" t="s">
        <v>2246</v>
      </c>
      <c r="C407" s="44" t="s">
        <v>2247</v>
      </c>
      <c r="D407" s="44" t="s">
        <v>2191</v>
      </c>
      <c r="E407" s="412" t="s">
        <v>557</v>
      </c>
      <c r="F407" s="45" t="s">
        <v>58</v>
      </c>
      <c r="G407" s="44" t="s">
        <v>59</v>
      </c>
      <c r="H407" s="44" t="s">
        <v>57</v>
      </c>
      <c r="I407" s="46" t="s">
        <v>61</v>
      </c>
      <c r="J407" s="46" t="s">
        <v>62</v>
      </c>
      <c r="K407" s="44" t="s">
        <v>558</v>
      </c>
      <c r="L407" s="66" t="s">
        <v>559</v>
      </c>
      <c r="M407" s="44" t="s">
        <v>2253</v>
      </c>
      <c r="N407" s="47" t="s">
        <v>66</v>
      </c>
      <c r="O407" s="48" t="s">
        <v>196</v>
      </c>
      <c r="P407" s="44" t="s">
        <v>561</v>
      </c>
      <c r="Q407" s="70" t="s">
        <v>562</v>
      </c>
      <c r="R407" s="70" t="s">
        <v>563</v>
      </c>
      <c r="S407" s="71" t="s">
        <v>564</v>
      </c>
      <c r="T407" s="70" t="s">
        <v>565</v>
      </c>
      <c r="U407" s="25" t="s">
        <v>566</v>
      </c>
      <c r="V407" s="70" t="s">
        <v>282</v>
      </c>
      <c r="W407" s="72" t="s">
        <v>283</v>
      </c>
      <c r="X407" s="70" t="s">
        <v>284</v>
      </c>
      <c r="Y407" s="49" t="s">
        <v>285</v>
      </c>
      <c r="Z407" s="70" t="s">
        <v>286</v>
      </c>
      <c r="AA407" s="71" t="s">
        <v>286</v>
      </c>
      <c r="AB407" s="70" t="s">
        <v>287</v>
      </c>
      <c r="AC407" s="70" t="s">
        <v>288</v>
      </c>
      <c r="AD407" s="49" t="s">
        <v>289</v>
      </c>
      <c r="AE407" s="58" t="s">
        <v>290</v>
      </c>
      <c r="AF407" s="56" t="s">
        <v>291</v>
      </c>
      <c r="AG407" s="70" t="s">
        <v>292</v>
      </c>
      <c r="AH407" s="70" t="s">
        <v>293</v>
      </c>
      <c r="AI407" s="73" t="s">
        <v>215</v>
      </c>
      <c r="AJ407" s="70" t="s">
        <v>216</v>
      </c>
      <c r="AK407" s="74" t="s">
        <v>217</v>
      </c>
      <c r="AL407" s="75" t="s">
        <v>218</v>
      </c>
      <c r="AM407" s="76" t="s">
        <v>219</v>
      </c>
      <c r="AN407" s="50" t="s">
        <v>220</v>
      </c>
      <c r="AO407" s="77" t="s">
        <v>221</v>
      </c>
      <c r="AP407" s="51" t="s">
        <v>138</v>
      </c>
      <c r="AQ407" s="78" t="s">
        <v>139</v>
      </c>
      <c r="AR407" s="74" t="s">
        <v>140</v>
      </c>
      <c r="AS407" s="22" t="s">
        <v>141</v>
      </c>
      <c r="AT407" s="75" t="s">
        <v>142</v>
      </c>
      <c r="AU407" s="79" t="s">
        <v>143</v>
      </c>
      <c r="AV407" s="80" t="s">
        <v>144</v>
      </c>
      <c r="AW407" s="81" t="s">
        <v>145</v>
      </c>
      <c r="AX407" s="82" t="s">
        <v>146</v>
      </c>
      <c r="AY407" s="83" t="s">
        <v>147</v>
      </c>
      <c r="AZ407" s="80" t="s">
        <v>567</v>
      </c>
      <c r="BA407" s="34" t="s">
        <v>320</v>
      </c>
      <c r="BB407" s="591" t="str">
        <f t="shared" si="30"/>
        <v>TEMPLATE</v>
      </c>
      <c r="BC407" s="591" t="str">
        <f t="shared" si="31"/>
        <v>17. Regional Health Clusters-MDHC-NCA-ECC-2:2024</v>
      </c>
      <c r="BD407" s="591" t="str">
        <f t="shared" si="32"/>
        <v>MDHC-NCA-ECC-2-2024</v>
      </c>
      <c r="BE407" s="591" t="str">
        <f t="shared" si="33"/>
        <v>NCA-ECC-2-2024</v>
      </c>
      <c r="BF407" s="594">
        <f t="shared" si="34"/>
        <v>11</v>
      </c>
    </row>
    <row r="408" spans="1:58" ht="42" customHeight="1" x14ac:dyDescent="0.45">
      <c r="A408" s="84">
        <v>359</v>
      </c>
      <c r="B408" s="411" t="s">
        <v>2246</v>
      </c>
      <c r="C408" s="70" t="s">
        <v>2247</v>
      </c>
      <c r="D408" s="70" t="s">
        <v>2191</v>
      </c>
      <c r="E408" s="411" t="s">
        <v>382</v>
      </c>
      <c r="F408" s="72" t="s">
        <v>383</v>
      </c>
      <c r="G408" s="70" t="s">
        <v>384</v>
      </c>
      <c r="H408" s="70" t="s">
        <v>765</v>
      </c>
      <c r="I408" s="71" t="s">
        <v>250</v>
      </c>
      <c r="J408" s="71" t="s">
        <v>386</v>
      </c>
      <c r="K408" s="70" t="s">
        <v>558</v>
      </c>
      <c r="L408" s="66" t="s">
        <v>559</v>
      </c>
      <c r="M408" s="70" t="s">
        <v>2254</v>
      </c>
      <c r="N408" s="86" t="s">
        <v>66</v>
      </c>
      <c r="O408" s="87" t="s">
        <v>540</v>
      </c>
      <c r="P408" s="70" t="s">
        <v>380</v>
      </c>
      <c r="Q408" s="70" t="s">
        <v>390</v>
      </c>
      <c r="R408" s="70" t="s">
        <v>391</v>
      </c>
      <c r="S408" s="71" t="s">
        <v>392</v>
      </c>
      <c r="T408" s="70" t="s">
        <v>393</v>
      </c>
      <c r="U408" s="25" t="s">
        <v>394</v>
      </c>
      <c r="V408" s="70" t="s">
        <v>395</v>
      </c>
      <c r="W408" s="72" t="s">
        <v>396</v>
      </c>
      <c r="X408" s="70" t="s">
        <v>397</v>
      </c>
      <c r="Y408" s="49" t="s">
        <v>398</v>
      </c>
      <c r="Z408" s="70" t="s">
        <v>399</v>
      </c>
      <c r="AA408" s="71" t="s">
        <v>400</v>
      </c>
      <c r="AB408" s="70" t="s">
        <v>401</v>
      </c>
      <c r="AC408" s="70" t="s">
        <v>402</v>
      </c>
      <c r="AD408" s="49" t="s">
        <v>403</v>
      </c>
      <c r="AE408" s="50" t="s">
        <v>404</v>
      </c>
      <c r="AF408" s="60" t="s">
        <v>405</v>
      </c>
      <c r="AG408" s="70" t="s">
        <v>406</v>
      </c>
      <c r="AH408" s="70" t="s">
        <v>407</v>
      </c>
      <c r="AI408" s="73" t="s">
        <v>408</v>
      </c>
      <c r="AJ408" s="70" t="s">
        <v>409</v>
      </c>
      <c r="AK408" s="74" t="s">
        <v>410</v>
      </c>
      <c r="AL408" s="75" t="s">
        <v>411</v>
      </c>
      <c r="AM408" s="76" t="s">
        <v>412</v>
      </c>
      <c r="AN408" s="50" t="s">
        <v>413</v>
      </c>
      <c r="AO408" s="77" t="s">
        <v>414</v>
      </c>
      <c r="AP408" s="51" t="s">
        <v>415</v>
      </c>
      <c r="AQ408" s="78" t="s">
        <v>416</v>
      </c>
      <c r="AR408" s="74" t="s">
        <v>417</v>
      </c>
      <c r="AS408" s="22" t="s">
        <v>418</v>
      </c>
      <c r="AT408" s="75" t="s">
        <v>419</v>
      </c>
      <c r="AU408" s="79" t="s">
        <v>420</v>
      </c>
      <c r="AV408" s="80" t="s">
        <v>421</v>
      </c>
      <c r="AW408" s="81" t="s">
        <v>422</v>
      </c>
      <c r="AX408" s="82" t="s">
        <v>423</v>
      </c>
      <c r="AY408" s="83" t="s">
        <v>424</v>
      </c>
      <c r="AZ408" s="80" t="s">
        <v>425</v>
      </c>
      <c r="BA408" s="34" t="s">
        <v>320</v>
      </c>
      <c r="BB408" s="591" t="str">
        <f t="shared" si="30"/>
        <v>DEEP</v>
      </c>
      <c r="BC408" s="591" t="str">
        <f t="shared" si="31"/>
        <v>17. Regional Health Clusters-MDHC-PDPL-2021</v>
      </c>
      <c r="BD408" s="591" t="str">
        <f t="shared" si="32"/>
        <v>MDHC-PDPL-2021</v>
      </c>
      <c r="BE408" s="591" t="str">
        <f t="shared" si="33"/>
        <v>NONE</v>
      </c>
      <c r="BF408" s="594">
        <f t="shared" si="34"/>
        <v>18</v>
      </c>
    </row>
    <row r="409" spans="1:58" ht="42" customHeight="1" x14ac:dyDescent="0.45">
      <c r="A409" s="42">
        <v>360</v>
      </c>
      <c r="B409" s="412" t="s">
        <v>2246</v>
      </c>
      <c r="C409" s="44" t="s">
        <v>2247</v>
      </c>
      <c r="D409" s="44" t="s">
        <v>2191</v>
      </c>
      <c r="E409" s="412" t="s">
        <v>688</v>
      </c>
      <c r="F409" s="45" t="s">
        <v>689</v>
      </c>
      <c r="G409" s="44" t="s">
        <v>690</v>
      </c>
      <c r="H409" s="44" t="s">
        <v>691</v>
      </c>
      <c r="I409" s="46" t="s">
        <v>151</v>
      </c>
      <c r="J409" s="46" t="s">
        <v>692</v>
      </c>
      <c r="K409" s="44" t="s">
        <v>558</v>
      </c>
      <c r="L409" s="66" t="s">
        <v>559</v>
      </c>
      <c r="M409" s="44" t="s">
        <v>2255</v>
      </c>
      <c r="N409" s="54" t="s">
        <v>154</v>
      </c>
      <c r="O409" s="48" t="s">
        <v>593</v>
      </c>
      <c r="P409" s="44" t="s">
        <v>636</v>
      </c>
      <c r="Q409" s="70" t="s">
        <v>695</v>
      </c>
      <c r="R409" s="70" t="s">
        <v>696</v>
      </c>
      <c r="S409" s="71" t="s">
        <v>697</v>
      </c>
      <c r="T409" s="70" t="s">
        <v>698</v>
      </c>
      <c r="U409" s="25" t="s">
        <v>699</v>
      </c>
      <c r="V409" s="70" t="s">
        <v>700</v>
      </c>
      <c r="W409" s="72" t="s">
        <v>701</v>
      </c>
      <c r="X409" s="70" t="s">
        <v>702</v>
      </c>
      <c r="Y409" s="22" t="s">
        <v>205</v>
      </c>
      <c r="Z409" s="70" t="s">
        <v>703</v>
      </c>
      <c r="AA409" s="71" t="s">
        <v>704</v>
      </c>
      <c r="AB409" s="70" t="s">
        <v>705</v>
      </c>
      <c r="AC409" s="70" t="s">
        <v>706</v>
      </c>
      <c r="AD409" s="49" t="s">
        <v>707</v>
      </c>
      <c r="AE409" s="26" t="s">
        <v>675</v>
      </c>
      <c r="AF409" s="60" t="s">
        <v>708</v>
      </c>
      <c r="AG409" s="70" t="s">
        <v>709</v>
      </c>
      <c r="AH409" s="70" t="s">
        <v>710</v>
      </c>
      <c r="AI409" s="73" t="s">
        <v>711</v>
      </c>
      <c r="AJ409" s="70" t="s">
        <v>712</v>
      </c>
      <c r="AK409" s="74" t="s">
        <v>713</v>
      </c>
      <c r="AL409" s="75" t="s">
        <v>714</v>
      </c>
      <c r="AM409" s="76" t="s">
        <v>715</v>
      </c>
      <c r="AN409" s="50" t="s">
        <v>716</v>
      </c>
      <c r="AO409" s="77" t="s">
        <v>717</v>
      </c>
      <c r="AP409" s="51" t="s">
        <v>718</v>
      </c>
      <c r="AQ409" s="78" t="s">
        <v>719</v>
      </c>
      <c r="AR409" s="74" t="s">
        <v>720</v>
      </c>
      <c r="AS409" s="61" t="s">
        <v>721</v>
      </c>
      <c r="AT409" s="75" t="s">
        <v>722</v>
      </c>
      <c r="AU409" s="79" t="s">
        <v>723</v>
      </c>
      <c r="AV409" s="80" t="s">
        <v>724</v>
      </c>
      <c r="AW409" s="81" t="s">
        <v>725</v>
      </c>
      <c r="AX409" s="82" t="s">
        <v>726</v>
      </c>
      <c r="AY409" s="83" t="s">
        <v>727</v>
      </c>
      <c r="AZ409" s="80" t="s">
        <v>728</v>
      </c>
      <c r="BA409" s="41" t="s">
        <v>105</v>
      </c>
      <c r="BB409" s="591" t="str">
        <f t="shared" si="30"/>
        <v>DEEP</v>
      </c>
      <c r="BC409" s="591" t="str">
        <f t="shared" si="31"/>
        <v>17. Regional Health Clusters-MDHC-MOH-TELE</v>
      </c>
      <c r="BD409" s="591" t="str">
        <f t="shared" si="32"/>
        <v>MDHC-MOH-TELE</v>
      </c>
      <c r="BE409" s="591" t="str">
        <f t="shared" si="33"/>
        <v>NONE</v>
      </c>
      <c r="BF409" s="594">
        <f t="shared" si="34"/>
        <v>16</v>
      </c>
    </row>
    <row r="410" spans="1:58" ht="42" customHeight="1" x14ac:dyDescent="0.45">
      <c r="A410" s="84">
        <v>361</v>
      </c>
      <c r="B410" s="411" t="s">
        <v>2246</v>
      </c>
      <c r="C410" s="70" t="s">
        <v>2247</v>
      </c>
      <c r="D410" s="70" t="s">
        <v>2191</v>
      </c>
      <c r="E410" s="411" t="s">
        <v>1246</v>
      </c>
      <c r="F410" s="72" t="s">
        <v>2205</v>
      </c>
      <c r="G410" s="70" t="s">
        <v>2206</v>
      </c>
      <c r="H410" s="70" t="s">
        <v>633</v>
      </c>
      <c r="I410" s="71" t="s">
        <v>61</v>
      </c>
      <c r="J410" s="71" t="s">
        <v>194</v>
      </c>
      <c r="K410" s="70" t="s">
        <v>558</v>
      </c>
      <c r="L410" s="66" t="s">
        <v>559</v>
      </c>
      <c r="M410" s="70" t="s">
        <v>2256</v>
      </c>
      <c r="N410" s="86" t="s">
        <v>66</v>
      </c>
      <c r="O410" s="87" t="s">
        <v>1250</v>
      </c>
      <c r="P410" s="70" t="s">
        <v>1244</v>
      </c>
      <c r="Q410" s="70" t="s">
        <v>1252</v>
      </c>
      <c r="R410" s="70" t="s">
        <v>1253</v>
      </c>
      <c r="S410" s="71" t="s">
        <v>1254</v>
      </c>
      <c r="T410" s="70" t="s">
        <v>1255</v>
      </c>
      <c r="U410" s="25" t="s">
        <v>1256</v>
      </c>
      <c r="V410" s="70" t="s">
        <v>1257</v>
      </c>
      <c r="W410" s="72" t="s">
        <v>1258</v>
      </c>
      <c r="X410" s="70" t="s">
        <v>1259</v>
      </c>
      <c r="Y410" s="22" t="s">
        <v>205</v>
      </c>
      <c r="Z410" s="70" t="s">
        <v>1260</v>
      </c>
      <c r="AA410" s="71" t="s">
        <v>1261</v>
      </c>
      <c r="AB410" s="70" t="s">
        <v>1262</v>
      </c>
      <c r="AC410" s="70" t="s">
        <v>1263</v>
      </c>
      <c r="AD410" s="49" t="s">
        <v>650</v>
      </c>
      <c r="AE410" s="37" t="s">
        <v>1264</v>
      </c>
      <c r="AF410" s="27" t="s">
        <v>1265</v>
      </c>
      <c r="AG410" s="70" t="s">
        <v>1266</v>
      </c>
      <c r="AH410" s="70" t="s">
        <v>1267</v>
      </c>
      <c r="AI410" s="73" t="s">
        <v>215</v>
      </c>
      <c r="AJ410" s="70" t="s">
        <v>216</v>
      </c>
      <c r="AK410" s="74" t="s">
        <v>217</v>
      </c>
      <c r="AL410" s="75" t="s">
        <v>218</v>
      </c>
      <c r="AM410" s="76" t="s">
        <v>219</v>
      </c>
      <c r="AN410" s="50" t="s">
        <v>220</v>
      </c>
      <c r="AO410" s="77" t="s">
        <v>221</v>
      </c>
      <c r="AP410" s="51" t="s">
        <v>138</v>
      </c>
      <c r="AQ410" s="78" t="s">
        <v>139</v>
      </c>
      <c r="AR410" s="74" t="s">
        <v>140</v>
      </c>
      <c r="AS410" s="22" t="s">
        <v>141</v>
      </c>
      <c r="AT410" s="75" t="s">
        <v>142</v>
      </c>
      <c r="AU410" s="79" t="s">
        <v>143</v>
      </c>
      <c r="AV410" s="80" t="s">
        <v>144</v>
      </c>
      <c r="AW410" s="81" t="s">
        <v>145</v>
      </c>
      <c r="AX410" s="82" t="s">
        <v>146</v>
      </c>
      <c r="AY410" s="83" t="s">
        <v>147</v>
      </c>
      <c r="AZ410" s="80" t="s">
        <v>585</v>
      </c>
      <c r="BA410" s="41" t="s">
        <v>105</v>
      </c>
      <c r="BB410" s="591" t="str">
        <f t="shared" si="30"/>
        <v>TEMPLATE</v>
      </c>
      <c r="BC410" s="591" t="str">
        <f t="shared" si="31"/>
        <v>17. Regional Health Clusters-MDHC-NHIC-NABIDH</v>
      </c>
      <c r="BD410" s="591" t="str">
        <f t="shared" si="32"/>
        <v>MDHC-NHIC-NABIDH</v>
      </c>
      <c r="BE410" s="591" t="str">
        <f t="shared" si="33"/>
        <v>NONE</v>
      </c>
      <c r="BF410" s="594">
        <f t="shared" si="34"/>
        <v>11</v>
      </c>
    </row>
    <row r="411" spans="1:58" ht="42" customHeight="1" x14ac:dyDescent="0.45">
      <c r="A411" s="42">
        <v>362</v>
      </c>
      <c r="B411" s="412" t="s">
        <v>2246</v>
      </c>
      <c r="C411" s="44" t="s">
        <v>2247</v>
      </c>
      <c r="D411" s="44" t="s">
        <v>2191</v>
      </c>
      <c r="E411" s="412" t="s">
        <v>770</v>
      </c>
      <c r="F411" s="45" t="s">
        <v>107</v>
      </c>
      <c r="G411" s="44" t="s">
        <v>108</v>
      </c>
      <c r="H411" s="44" t="s">
        <v>106</v>
      </c>
      <c r="I411" s="46" t="s">
        <v>109</v>
      </c>
      <c r="J411" s="46" t="s">
        <v>110</v>
      </c>
      <c r="K411" s="44" t="s">
        <v>558</v>
      </c>
      <c r="L411" s="66" t="s">
        <v>559</v>
      </c>
      <c r="M411" s="44" t="s">
        <v>2257</v>
      </c>
      <c r="N411" s="47" t="s">
        <v>66</v>
      </c>
      <c r="O411" s="48" t="s">
        <v>196</v>
      </c>
      <c r="P411" s="44" t="s">
        <v>2209</v>
      </c>
      <c r="Q411" s="70" t="s">
        <v>562</v>
      </c>
      <c r="R411" s="70" t="s">
        <v>563</v>
      </c>
      <c r="S411" s="71" t="s">
        <v>564</v>
      </c>
      <c r="T411" s="70" t="s">
        <v>565</v>
      </c>
      <c r="U411" s="25" t="s">
        <v>566</v>
      </c>
      <c r="V411" s="70" t="s">
        <v>282</v>
      </c>
      <c r="W411" s="72" t="s">
        <v>283</v>
      </c>
      <c r="X411" s="70" t="s">
        <v>284</v>
      </c>
      <c r="Y411" s="49" t="s">
        <v>285</v>
      </c>
      <c r="Z411" s="70" t="s">
        <v>286</v>
      </c>
      <c r="AA411" s="71" t="s">
        <v>286</v>
      </c>
      <c r="AB411" s="70" t="s">
        <v>287</v>
      </c>
      <c r="AC411" s="70" t="s">
        <v>288</v>
      </c>
      <c r="AD411" s="49" t="s">
        <v>289</v>
      </c>
      <c r="AE411" s="58" t="s">
        <v>290</v>
      </c>
      <c r="AF411" s="56" t="s">
        <v>291</v>
      </c>
      <c r="AG411" s="70" t="s">
        <v>292</v>
      </c>
      <c r="AH411" s="70" t="s">
        <v>293</v>
      </c>
      <c r="AI411" s="73" t="s">
        <v>215</v>
      </c>
      <c r="AJ411" s="70" t="s">
        <v>216</v>
      </c>
      <c r="AK411" s="74" t="s">
        <v>217</v>
      </c>
      <c r="AL411" s="75" t="s">
        <v>218</v>
      </c>
      <c r="AM411" s="76" t="s">
        <v>219</v>
      </c>
      <c r="AN411" s="50" t="s">
        <v>220</v>
      </c>
      <c r="AO411" s="77" t="s">
        <v>221</v>
      </c>
      <c r="AP411" s="53" t="s">
        <v>773</v>
      </c>
      <c r="AQ411" s="78" t="s">
        <v>774</v>
      </c>
      <c r="AR411" s="74" t="s">
        <v>775</v>
      </c>
      <c r="AS411" s="22" t="s">
        <v>776</v>
      </c>
      <c r="AT411" s="75" t="s">
        <v>777</v>
      </c>
      <c r="AU411" s="79" t="s">
        <v>778</v>
      </c>
      <c r="AV411" s="80" t="s">
        <v>779</v>
      </c>
      <c r="AW411" s="81" t="s">
        <v>780</v>
      </c>
      <c r="AX411" s="82" t="s">
        <v>781</v>
      </c>
      <c r="AY411" s="83" t="s">
        <v>782</v>
      </c>
      <c r="AZ411" s="80" t="s">
        <v>104</v>
      </c>
      <c r="BA411" s="41" t="s">
        <v>105</v>
      </c>
      <c r="BB411" s="591" t="str">
        <f t="shared" si="30"/>
        <v>TEMPLATE</v>
      </c>
      <c r="BC411" s="591" t="str">
        <f t="shared" si="31"/>
        <v>17. Regional Health Clusters-MDHC-NCA-OTCC</v>
      </c>
      <c r="BD411" s="591" t="str">
        <f t="shared" si="32"/>
        <v>MDHC-NCA-OTCC</v>
      </c>
      <c r="BE411" s="591" t="str">
        <f t="shared" si="33"/>
        <v>NCA-ECC-2-2024</v>
      </c>
      <c r="BF411" s="594">
        <f t="shared" si="34"/>
        <v>11</v>
      </c>
    </row>
    <row r="412" spans="1:58" ht="42" customHeight="1" x14ac:dyDescent="0.45">
      <c r="A412" s="84">
        <v>363</v>
      </c>
      <c r="B412" s="411" t="s">
        <v>2258</v>
      </c>
      <c r="C412" s="70" t="s">
        <v>2259</v>
      </c>
      <c r="D412" s="70" t="s">
        <v>2191</v>
      </c>
      <c r="E412" s="411" t="s">
        <v>586</v>
      </c>
      <c r="F412" s="72" t="s">
        <v>587</v>
      </c>
      <c r="G412" s="70" t="s">
        <v>588</v>
      </c>
      <c r="H412" s="70" t="s">
        <v>589</v>
      </c>
      <c r="I412" s="71" t="s">
        <v>590</v>
      </c>
      <c r="J412" s="71" t="s">
        <v>591</v>
      </c>
      <c r="K412" s="70" t="s">
        <v>558</v>
      </c>
      <c r="L412" s="66" t="s">
        <v>559</v>
      </c>
      <c r="M412" s="70" t="s">
        <v>2260</v>
      </c>
      <c r="N412" s="86" t="s">
        <v>66</v>
      </c>
      <c r="O412" s="87" t="s">
        <v>593</v>
      </c>
      <c r="P412" s="70" t="s">
        <v>661</v>
      </c>
      <c r="Q412" s="70" t="s">
        <v>595</v>
      </c>
      <c r="R412" s="70" t="s">
        <v>596</v>
      </c>
      <c r="S412" s="71" t="s">
        <v>597</v>
      </c>
      <c r="T412" s="70" t="s">
        <v>598</v>
      </c>
      <c r="U412" s="25" t="s">
        <v>599</v>
      </c>
      <c r="V412" s="70" t="s">
        <v>600</v>
      </c>
      <c r="W412" s="72" t="s">
        <v>601</v>
      </c>
      <c r="X412" s="70" t="s">
        <v>602</v>
      </c>
      <c r="Y412" s="49" t="s">
        <v>603</v>
      </c>
      <c r="Z412" s="70" t="s">
        <v>604</v>
      </c>
      <c r="AA412" s="71" t="s">
        <v>605</v>
      </c>
      <c r="AB412" s="70" t="s">
        <v>606</v>
      </c>
      <c r="AC412" s="70" t="s">
        <v>607</v>
      </c>
      <c r="AD412" s="49" t="s">
        <v>608</v>
      </c>
      <c r="AE412" s="26" t="s">
        <v>609</v>
      </c>
      <c r="AF412" s="27" t="s">
        <v>610</v>
      </c>
      <c r="AG412" s="70" t="s">
        <v>611</v>
      </c>
      <c r="AH412" s="70" t="s">
        <v>612</v>
      </c>
      <c r="AI412" s="73" t="s">
        <v>613</v>
      </c>
      <c r="AJ412" s="70" t="s">
        <v>614</v>
      </c>
      <c r="AK412" s="74" t="s">
        <v>615</v>
      </c>
      <c r="AL412" s="75" t="s">
        <v>616</v>
      </c>
      <c r="AM412" s="76" t="s">
        <v>617</v>
      </c>
      <c r="AN412" s="50" t="s">
        <v>618</v>
      </c>
      <c r="AO412" s="77" t="s">
        <v>619</v>
      </c>
      <c r="AP412" s="34" t="s">
        <v>620</v>
      </c>
      <c r="AQ412" s="78" t="s">
        <v>621</v>
      </c>
      <c r="AR412" s="74" t="s">
        <v>622</v>
      </c>
      <c r="AS412" s="61" t="s">
        <v>623</v>
      </c>
      <c r="AT412" s="75" t="s">
        <v>624</v>
      </c>
      <c r="AU412" s="79" t="s">
        <v>625</v>
      </c>
      <c r="AV412" s="80" t="s">
        <v>626</v>
      </c>
      <c r="AW412" s="81" t="s">
        <v>627</v>
      </c>
      <c r="AX412" s="82" t="s">
        <v>628</v>
      </c>
      <c r="AY412" s="83" t="s">
        <v>629</v>
      </c>
      <c r="AZ412" s="80" t="s">
        <v>585</v>
      </c>
      <c r="BA412" s="41" t="s">
        <v>105</v>
      </c>
      <c r="BB412" s="591" t="str">
        <f t="shared" si="30"/>
        <v>DEEP</v>
      </c>
      <c r="BC412" s="591" t="str">
        <f t="shared" si="31"/>
        <v>17. Regional Health Clusters-EKHC-MOH-HIS</v>
      </c>
      <c r="BD412" s="591" t="str">
        <f t="shared" si="32"/>
        <v>EKHC-MOH-HIS</v>
      </c>
      <c r="BE412" s="591" t="str">
        <f t="shared" si="33"/>
        <v>NONE</v>
      </c>
      <c r="BF412" s="594">
        <f t="shared" si="34"/>
        <v>18</v>
      </c>
    </row>
    <row r="413" spans="1:58" ht="42" customHeight="1" x14ac:dyDescent="0.45">
      <c r="A413" s="42">
        <v>364</v>
      </c>
      <c r="B413" s="412" t="s">
        <v>2258</v>
      </c>
      <c r="C413" s="44" t="s">
        <v>2259</v>
      </c>
      <c r="D413" s="44" t="s">
        <v>2191</v>
      </c>
      <c r="E413" s="412" t="s">
        <v>630</v>
      </c>
      <c r="F413" s="45" t="s">
        <v>2193</v>
      </c>
      <c r="G413" s="44" t="s">
        <v>2194</v>
      </c>
      <c r="H413" s="44" t="s">
        <v>633</v>
      </c>
      <c r="I413" s="46" t="s">
        <v>590</v>
      </c>
      <c r="J413" s="46" t="s">
        <v>634</v>
      </c>
      <c r="K413" s="44" t="s">
        <v>558</v>
      </c>
      <c r="L413" s="66" t="s">
        <v>559</v>
      </c>
      <c r="M413" s="44" t="s">
        <v>2261</v>
      </c>
      <c r="N413" s="47" t="s">
        <v>66</v>
      </c>
      <c r="O413" s="48" t="s">
        <v>593</v>
      </c>
      <c r="P413" s="44" t="s">
        <v>2196</v>
      </c>
      <c r="Q413" s="70" t="s">
        <v>637</v>
      </c>
      <c r="R413" s="70" t="s">
        <v>638</v>
      </c>
      <c r="S413" s="71" t="s">
        <v>639</v>
      </c>
      <c r="T413" s="70" t="s">
        <v>640</v>
      </c>
      <c r="U413" s="25" t="s">
        <v>641</v>
      </c>
      <c r="V413" s="70" t="s">
        <v>642</v>
      </c>
      <c r="W413" s="72" t="s">
        <v>643</v>
      </c>
      <c r="X413" s="70" t="s">
        <v>644</v>
      </c>
      <c r="Y413" s="49" t="s">
        <v>645</v>
      </c>
      <c r="Z413" s="70" t="s">
        <v>646</v>
      </c>
      <c r="AA413" s="71" t="s">
        <v>647</v>
      </c>
      <c r="AB413" s="70" t="s">
        <v>648</v>
      </c>
      <c r="AC413" s="70" t="s">
        <v>649</v>
      </c>
      <c r="AD413" s="49" t="s">
        <v>650</v>
      </c>
      <c r="AE413" s="26" t="s">
        <v>651</v>
      </c>
      <c r="AF413" s="27" t="s">
        <v>652</v>
      </c>
      <c r="AG413" s="70" t="s">
        <v>653</v>
      </c>
      <c r="AH413" s="70" t="s">
        <v>654</v>
      </c>
      <c r="AI413" s="73" t="s">
        <v>215</v>
      </c>
      <c r="AJ413" s="70" t="s">
        <v>216</v>
      </c>
      <c r="AK413" s="74" t="s">
        <v>217</v>
      </c>
      <c r="AL413" s="75" t="s">
        <v>218</v>
      </c>
      <c r="AM413" s="76" t="s">
        <v>219</v>
      </c>
      <c r="AN413" s="50" t="s">
        <v>220</v>
      </c>
      <c r="AO413" s="77" t="s">
        <v>221</v>
      </c>
      <c r="AP413" s="51" t="s">
        <v>138</v>
      </c>
      <c r="AQ413" s="78" t="s">
        <v>139</v>
      </c>
      <c r="AR413" s="74" t="s">
        <v>140</v>
      </c>
      <c r="AS413" s="22" t="s">
        <v>141</v>
      </c>
      <c r="AT413" s="75" t="s">
        <v>142</v>
      </c>
      <c r="AU413" s="79" t="s">
        <v>143</v>
      </c>
      <c r="AV413" s="80" t="s">
        <v>144</v>
      </c>
      <c r="AW413" s="81" t="s">
        <v>145</v>
      </c>
      <c r="AX413" s="82" t="s">
        <v>146</v>
      </c>
      <c r="AY413" s="83" t="s">
        <v>147</v>
      </c>
      <c r="AZ413" s="80" t="s">
        <v>585</v>
      </c>
      <c r="BA413" s="41" t="s">
        <v>105</v>
      </c>
      <c r="BB413" s="591" t="str">
        <f t="shared" si="30"/>
        <v>TEMPLATE</v>
      </c>
      <c r="BC413" s="591" t="str">
        <f t="shared" si="31"/>
        <v>17. Regional Health Clusters-EKHC-MOH-EMR-NABIDH</v>
      </c>
      <c r="BD413" s="591" t="str">
        <f t="shared" si="32"/>
        <v>EKHC-MOH-EMR-NABIDH</v>
      </c>
      <c r="BE413" s="591" t="str">
        <f t="shared" si="33"/>
        <v>NONE</v>
      </c>
      <c r="BF413" s="594">
        <f t="shared" si="34"/>
        <v>11</v>
      </c>
    </row>
    <row r="414" spans="1:58" ht="42" customHeight="1" x14ac:dyDescent="0.45">
      <c r="A414" s="84">
        <v>365</v>
      </c>
      <c r="B414" s="411" t="s">
        <v>2258</v>
      </c>
      <c r="C414" s="70" t="s">
        <v>2259</v>
      </c>
      <c r="D414" s="70" t="s">
        <v>2191</v>
      </c>
      <c r="E414" s="411" t="s">
        <v>655</v>
      </c>
      <c r="F414" s="72" t="s">
        <v>656</v>
      </c>
      <c r="G414" s="70" t="s">
        <v>657</v>
      </c>
      <c r="H414" s="70" t="s">
        <v>589</v>
      </c>
      <c r="I414" s="71" t="s">
        <v>658</v>
      </c>
      <c r="J414" s="71" t="s">
        <v>659</v>
      </c>
      <c r="K414" s="70" t="s">
        <v>558</v>
      </c>
      <c r="L414" s="66" t="s">
        <v>559</v>
      </c>
      <c r="M414" s="70" t="s">
        <v>2262</v>
      </c>
      <c r="N414" s="86" t="s">
        <v>66</v>
      </c>
      <c r="O414" s="87" t="s">
        <v>593</v>
      </c>
      <c r="P414" s="70" t="s">
        <v>661</v>
      </c>
      <c r="Q414" s="70" t="s">
        <v>662</v>
      </c>
      <c r="R414" s="70" t="s">
        <v>663</v>
      </c>
      <c r="S414" s="71" t="s">
        <v>664</v>
      </c>
      <c r="T414" s="70" t="s">
        <v>665</v>
      </c>
      <c r="U414" s="25" t="s">
        <v>666</v>
      </c>
      <c r="V414" s="70" t="s">
        <v>667</v>
      </c>
      <c r="W414" s="72" t="s">
        <v>668</v>
      </c>
      <c r="X414" s="70" t="s">
        <v>669</v>
      </c>
      <c r="Y414" s="22" t="s">
        <v>205</v>
      </c>
      <c r="Z414" s="70" t="s">
        <v>670</v>
      </c>
      <c r="AA414" s="71" t="s">
        <v>671</v>
      </c>
      <c r="AB414" s="70" t="s">
        <v>672</v>
      </c>
      <c r="AC414" s="70" t="s">
        <v>673</v>
      </c>
      <c r="AD414" s="49" t="s">
        <v>674</v>
      </c>
      <c r="AE414" s="26" t="s">
        <v>675</v>
      </c>
      <c r="AF414" s="27" t="s">
        <v>676</v>
      </c>
      <c r="AG414" s="70" t="s">
        <v>677</v>
      </c>
      <c r="AH414" s="70" t="s">
        <v>678</v>
      </c>
      <c r="AI414" s="73" t="s">
        <v>215</v>
      </c>
      <c r="AJ414" s="70" t="s">
        <v>216</v>
      </c>
      <c r="AK414" s="74" t="s">
        <v>217</v>
      </c>
      <c r="AL414" s="75" t="s">
        <v>218</v>
      </c>
      <c r="AM414" s="76" t="s">
        <v>219</v>
      </c>
      <c r="AN414" s="50" t="s">
        <v>220</v>
      </c>
      <c r="AO414" s="77" t="s">
        <v>221</v>
      </c>
      <c r="AP414" s="51" t="s">
        <v>138</v>
      </c>
      <c r="AQ414" s="78" t="s">
        <v>139</v>
      </c>
      <c r="AR414" s="74" t="s">
        <v>140</v>
      </c>
      <c r="AS414" s="22" t="s">
        <v>141</v>
      </c>
      <c r="AT414" s="75" t="s">
        <v>142</v>
      </c>
      <c r="AU414" s="79" t="s">
        <v>143</v>
      </c>
      <c r="AV414" s="80" t="s">
        <v>144</v>
      </c>
      <c r="AW414" s="81" t="s">
        <v>145</v>
      </c>
      <c r="AX414" s="82" t="s">
        <v>146</v>
      </c>
      <c r="AY414" s="83" t="s">
        <v>147</v>
      </c>
      <c r="AZ414" s="80" t="s">
        <v>585</v>
      </c>
      <c r="BA414" s="41" t="s">
        <v>105</v>
      </c>
      <c r="BB414" s="591" t="str">
        <f t="shared" si="30"/>
        <v>TEMPLATE</v>
      </c>
      <c r="BC414" s="591" t="str">
        <f t="shared" si="31"/>
        <v>17. Regional Health Clusters-EKHC-MOH-PS</v>
      </c>
      <c r="BD414" s="591" t="str">
        <f t="shared" si="32"/>
        <v>EKHC-MOH-PS</v>
      </c>
      <c r="BE414" s="591" t="str">
        <f t="shared" si="33"/>
        <v>NONE</v>
      </c>
      <c r="BF414" s="594">
        <f t="shared" si="34"/>
        <v>11</v>
      </c>
    </row>
    <row r="415" spans="1:58" ht="42" customHeight="1" x14ac:dyDescent="0.45">
      <c r="A415" s="42">
        <v>366</v>
      </c>
      <c r="B415" s="412" t="s">
        <v>2258</v>
      </c>
      <c r="C415" s="44" t="s">
        <v>2259</v>
      </c>
      <c r="D415" s="44" t="s">
        <v>2191</v>
      </c>
      <c r="E415" s="412" t="s">
        <v>679</v>
      </c>
      <c r="F415" s="45" t="s">
        <v>680</v>
      </c>
      <c r="G415" s="44" t="s">
        <v>681</v>
      </c>
      <c r="H415" s="44" t="s">
        <v>225</v>
      </c>
      <c r="I415" s="46" t="s">
        <v>682</v>
      </c>
      <c r="J415" s="46" t="s">
        <v>386</v>
      </c>
      <c r="K415" s="44" t="s">
        <v>558</v>
      </c>
      <c r="L415" s="66" t="s">
        <v>559</v>
      </c>
      <c r="M415" s="44" t="s">
        <v>2263</v>
      </c>
      <c r="N415" s="54" t="s">
        <v>154</v>
      </c>
      <c r="O415" s="48" t="s">
        <v>593</v>
      </c>
      <c r="P415" s="44" t="s">
        <v>661</v>
      </c>
      <c r="Q415" s="70" t="s">
        <v>683</v>
      </c>
      <c r="R415" s="70" t="s">
        <v>684</v>
      </c>
      <c r="S415" s="71" t="s">
        <v>685</v>
      </c>
      <c r="T415" s="70" t="s">
        <v>686</v>
      </c>
      <c r="U415" s="25" t="s">
        <v>687</v>
      </c>
      <c r="V415" s="70" t="s">
        <v>282</v>
      </c>
      <c r="W415" s="72" t="s">
        <v>283</v>
      </c>
      <c r="X415" s="70" t="s">
        <v>284</v>
      </c>
      <c r="Y415" s="49" t="s">
        <v>285</v>
      </c>
      <c r="Z415" s="70" t="s">
        <v>286</v>
      </c>
      <c r="AA415" s="71" t="s">
        <v>286</v>
      </c>
      <c r="AB415" s="70" t="s">
        <v>287</v>
      </c>
      <c r="AC415" s="70" t="s">
        <v>288</v>
      </c>
      <c r="AD415" s="49" t="s">
        <v>289</v>
      </c>
      <c r="AE415" s="58" t="s">
        <v>290</v>
      </c>
      <c r="AF415" s="56" t="s">
        <v>291</v>
      </c>
      <c r="AG415" s="70" t="s">
        <v>292</v>
      </c>
      <c r="AH415" s="70" t="s">
        <v>293</v>
      </c>
      <c r="AI415" s="73" t="s">
        <v>215</v>
      </c>
      <c r="AJ415" s="70" t="s">
        <v>216</v>
      </c>
      <c r="AK415" s="74" t="s">
        <v>217</v>
      </c>
      <c r="AL415" s="75" t="s">
        <v>218</v>
      </c>
      <c r="AM415" s="76" t="s">
        <v>219</v>
      </c>
      <c r="AN415" s="50" t="s">
        <v>220</v>
      </c>
      <c r="AO415" s="77" t="s">
        <v>221</v>
      </c>
      <c r="AP415" s="51" t="s">
        <v>138</v>
      </c>
      <c r="AQ415" s="78" t="s">
        <v>139</v>
      </c>
      <c r="AR415" s="74" t="s">
        <v>140</v>
      </c>
      <c r="AS415" s="22" t="s">
        <v>141</v>
      </c>
      <c r="AT415" s="75" t="s">
        <v>142</v>
      </c>
      <c r="AU415" s="79" t="s">
        <v>143</v>
      </c>
      <c r="AV415" s="80" t="s">
        <v>144</v>
      </c>
      <c r="AW415" s="81" t="s">
        <v>145</v>
      </c>
      <c r="AX415" s="82" t="s">
        <v>146</v>
      </c>
      <c r="AY415" s="83" t="s">
        <v>147</v>
      </c>
      <c r="AZ415" s="80" t="s">
        <v>585</v>
      </c>
      <c r="BA415" s="41" t="s">
        <v>105</v>
      </c>
      <c r="BB415" s="591" t="str">
        <f t="shared" si="30"/>
        <v>TEMPLATE</v>
      </c>
      <c r="BC415" s="591" t="str">
        <f t="shared" si="31"/>
        <v>17. Regional Health Clusters-EKHC-MOH-PR</v>
      </c>
      <c r="BD415" s="591" t="str">
        <f t="shared" si="32"/>
        <v>EKHC-MOH-PR</v>
      </c>
      <c r="BE415" s="591" t="str">
        <f t="shared" si="33"/>
        <v>NONE</v>
      </c>
      <c r="BF415" s="594">
        <f t="shared" si="34"/>
        <v>9</v>
      </c>
    </row>
    <row r="416" spans="1:58" ht="42" customHeight="1" x14ac:dyDescent="0.45">
      <c r="A416" s="84">
        <v>367</v>
      </c>
      <c r="B416" s="411" t="s">
        <v>2258</v>
      </c>
      <c r="C416" s="70" t="s">
        <v>2259</v>
      </c>
      <c r="D416" s="70" t="s">
        <v>2191</v>
      </c>
      <c r="E416" s="411" t="s">
        <v>930</v>
      </c>
      <c r="F416" s="72" t="s">
        <v>2199</v>
      </c>
      <c r="G416" s="70" t="s">
        <v>932</v>
      </c>
      <c r="H416" s="70" t="s">
        <v>2200</v>
      </c>
      <c r="I416" s="71" t="s">
        <v>924</v>
      </c>
      <c r="J416" s="71" t="s">
        <v>934</v>
      </c>
      <c r="K416" s="70" t="s">
        <v>558</v>
      </c>
      <c r="L416" s="92" t="s">
        <v>935</v>
      </c>
      <c r="M416" s="70" t="s">
        <v>2264</v>
      </c>
      <c r="N416" s="86" t="s">
        <v>66</v>
      </c>
      <c r="O416" s="87" t="s">
        <v>937</v>
      </c>
      <c r="P416" s="70" t="s">
        <v>979</v>
      </c>
      <c r="Q416" s="70" t="s">
        <v>939</v>
      </c>
      <c r="R416" s="70" t="s">
        <v>940</v>
      </c>
      <c r="S416" s="71" t="s">
        <v>941</v>
      </c>
      <c r="T416" s="70" t="s">
        <v>942</v>
      </c>
      <c r="U416" s="25" t="s">
        <v>943</v>
      </c>
      <c r="V416" s="70" t="s">
        <v>944</v>
      </c>
      <c r="W416" s="72" t="s">
        <v>945</v>
      </c>
      <c r="X416" s="70" t="s">
        <v>946</v>
      </c>
      <c r="Y416" s="49" t="s">
        <v>947</v>
      </c>
      <c r="Z416" s="70" t="s">
        <v>948</v>
      </c>
      <c r="AA416" s="71" t="s">
        <v>949</v>
      </c>
      <c r="AB416" s="70" t="s">
        <v>950</v>
      </c>
      <c r="AC416" s="70" t="s">
        <v>951</v>
      </c>
      <c r="AD416" s="22" t="s">
        <v>82</v>
      </c>
      <c r="AE416" s="26" t="s">
        <v>952</v>
      </c>
      <c r="AF416" s="27" t="s">
        <v>953</v>
      </c>
      <c r="AG416" s="70" t="s">
        <v>954</v>
      </c>
      <c r="AH416" s="70" t="s">
        <v>955</v>
      </c>
      <c r="AI416" s="73" t="s">
        <v>956</v>
      </c>
      <c r="AJ416" s="70" t="s">
        <v>957</v>
      </c>
      <c r="AK416" s="74" t="s">
        <v>958</v>
      </c>
      <c r="AL416" s="75" t="s">
        <v>959</v>
      </c>
      <c r="AM416" s="76" t="s">
        <v>960</v>
      </c>
      <c r="AN416" s="50" t="s">
        <v>961</v>
      </c>
      <c r="AO416" s="77" t="s">
        <v>962</v>
      </c>
      <c r="AP416" s="51" t="s">
        <v>963</v>
      </c>
      <c r="AQ416" s="78" t="s">
        <v>964</v>
      </c>
      <c r="AR416" s="74" t="s">
        <v>965</v>
      </c>
      <c r="AS416" s="92" t="s">
        <v>966</v>
      </c>
      <c r="AT416" s="75" t="s">
        <v>967</v>
      </c>
      <c r="AU416" s="79" t="s">
        <v>968</v>
      </c>
      <c r="AV416" s="80" t="s">
        <v>969</v>
      </c>
      <c r="AW416" s="81" t="s">
        <v>970</v>
      </c>
      <c r="AX416" s="82" t="s">
        <v>971</v>
      </c>
      <c r="AY416" s="83" t="s">
        <v>972</v>
      </c>
      <c r="AZ416" s="80" t="s">
        <v>585</v>
      </c>
      <c r="BA416" s="41" t="s">
        <v>105</v>
      </c>
      <c r="BB416" s="591" t="str">
        <f t="shared" si="30"/>
        <v>DEEP</v>
      </c>
      <c r="BC416" s="591" t="str">
        <f t="shared" si="31"/>
        <v>17. Regional Health Clusters-EKHC-CBAHI-HAS-H</v>
      </c>
      <c r="BD416" s="591" t="str">
        <f t="shared" si="32"/>
        <v>EKHC-CBAHI-HAS-H</v>
      </c>
      <c r="BE416" s="591" t="str">
        <f t="shared" si="33"/>
        <v>NONE</v>
      </c>
      <c r="BF416" s="594">
        <f t="shared" si="34"/>
        <v>15</v>
      </c>
    </row>
    <row r="417" spans="1:58" ht="42" customHeight="1" x14ac:dyDescent="0.45">
      <c r="A417" s="42">
        <v>368</v>
      </c>
      <c r="B417" s="412" t="s">
        <v>2258</v>
      </c>
      <c r="C417" s="44" t="s">
        <v>2259</v>
      </c>
      <c r="D417" s="44" t="s">
        <v>2191</v>
      </c>
      <c r="E417" s="412" t="s">
        <v>557</v>
      </c>
      <c r="F417" s="45" t="s">
        <v>58</v>
      </c>
      <c r="G417" s="44" t="s">
        <v>59</v>
      </c>
      <c r="H417" s="44" t="s">
        <v>57</v>
      </c>
      <c r="I417" s="46" t="s">
        <v>61</v>
      </c>
      <c r="J417" s="46" t="s">
        <v>62</v>
      </c>
      <c r="K417" s="44" t="s">
        <v>558</v>
      </c>
      <c r="L417" s="66" t="s">
        <v>559</v>
      </c>
      <c r="M417" s="44" t="s">
        <v>2265</v>
      </c>
      <c r="N417" s="47" t="s">
        <v>66</v>
      </c>
      <c r="O417" s="48" t="s">
        <v>196</v>
      </c>
      <c r="P417" s="44" t="s">
        <v>561</v>
      </c>
      <c r="Q417" s="70" t="s">
        <v>562</v>
      </c>
      <c r="R417" s="70" t="s">
        <v>563</v>
      </c>
      <c r="S417" s="71" t="s">
        <v>564</v>
      </c>
      <c r="T417" s="70" t="s">
        <v>565</v>
      </c>
      <c r="U417" s="25" t="s">
        <v>566</v>
      </c>
      <c r="V417" s="70" t="s">
        <v>282</v>
      </c>
      <c r="W417" s="72" t="s">
        <v>283</v>
      </c>
      <c r="X417" s="70" t="s">
        <v>284</v>
      </c>
      <c r="Y417" s="49" t="s">
        <v>285</v>
      </c>
      <c r="Z417" s="70" t="s">
        <v>286</v>
      </c>
      <c r="AA417" s="71" t="s">
        <v>286</v>
      </c>
      <c r="AB417" s="70" t="s">
        <v>287</v>
      </c>
      <c r="AC417" s="70" t="s">
        <v>288</v>
      </c>
      <c r="AD417" s="49" t="s">
        <v>289</v>
      </c>
      <c r="AE417" s="58" t="s">
        <v>290</v>
      </c>
      <c r="AF417" s="56" t="s">
        <v>291</v>
      </c>
      <c r="AG417" s="70" t="s">
        <v>292</v>
      </c>
      <c r="AH417" s="70" t="s">
        <v>293</v>
      </c>
      <c r="AI417" s="73" t="s">
        <v>215</v>
      </c>
      <c r="AJ417" s="70" t="s">
        <v>216</v>
      </c>
      <c r="AK417" s="74" t="s">
        <v>217</v>
      </c>
      <c r="AL417" s="75" t="s">
        <v>218</v>
      </c>
      <c r="AM417" s="76" t="s">
        <v>219</v>
      </c>
      <c r="AN417" s="50" t="s">
        <v>220</v>
      </c>
      <c r="AO417" s="77" t="s">
        <v>221</v>
      </c>
      <c r="AP417" s="51" t="s">
        <v>138</v>
      </c>
      <c r="AQ417" s="78" t="s">
        <v>139</v>
      </c>
      <c r="AR417" s="74" t="s">
        <v>140</v>
      </c>
      <c r="AS417" s="22" t="s">
        <v>141</v>
      </c>
      <c r="AT417" s="75" t="s">
        <v>142</v>
      </c>
      <c r="AU417" s="79" t="s">
        <v>143</v>
      </c>
      <c r="AV417" s="80" t="s">
        <v>144</v>
      </c>
      <c r="AW417" s="81" t="s">
        <v>145</v>
      </c>
      <c r="AX417" s="82" t="s">
        <v>146</v>
      </c>
      <c r="AY417" s="83" t="s">
        <v>147</v>
      </c>
      <c r="AZ417" s="80" t="s">
        <v>567</v>
      </c>
      <c r="BA417" s="34" t="s">
        <v>320</v>
      </c>
      <c r="BB417" s="591" t="str">
        <f t="shared" si="30"/>
        <v>TEMPLATE</v>
      </c>
      <c r="BC417" s="591" t="str">
        <f t="shared" si="31"/>
        <v>17. Regional Health Clusters-EKHC-NCA-ECC-2:2024</v>
      </c>
      <c r="BD417" s="591" t="str">
        <f t="shared" si="32"/>
        <v>EKHC-NCA-ECC-2-2024</v>
      </c>
      <c r="BE417" s="591" t="str">
        <f t="shared" si="33"/>
        <v>NCA-ECC-2-2024</v>
      </c>
      <c r="BF417" s="594">
        <f t="shared" si="34"/>
        <v>11</v>
      </c>
    </row>
    <row r="418" spans="1:58" ht="42" customHeight="1" x14ac:dyDescent="0.45">
      <c r="A418" s="84">
        <v>369</v>
      </c>
      <c r="B418" s="411" t="s">
        <v>2258</v>
      </c>
      <c r="C418" s="70" t="s">
        <v>2259</v>
      </c>
      <c r="D418" s="70" t="s">
        <v>2191</v>
      </c>
      <c r="E418" s="411" t="s">
        <v>382</v>
      </c>
      <c r="F418" s="72" t="s">
        <v>383</v>
      </c>
      <c r="G418" s="70" t="s">
        <v>384</v>
      </c>
      <c r="H418" s="70" t="s">
        <v>765</v>
      </c>
      <c r="I418" s="71" t="s">
        <v>250</v>
      </c>
      <c r="J418" s="71" t="s">
        <v>386</v>
      </c>
      <c r="K418" s="70" t="s">
        <v>558</v>
      </c>
      <c r="L418" s="66" t="s">
        <v>559</v>
      </c>
      <c r="M418" s="70" t="s">
        <v>2266</v>
      </c>
      <c r="N418" s="86" t="s">
        <v>66</v>
      </c>
      <c r="O418" s="87" t="s">
        <v>540</v>
      </c>
      <c r="P418" s="70" t="s">
        <v>380</v>
      </c>
      <c r="Q418" s="70" t="s">
        <v>390</v>
      </c>
      <c r="R418" s="70" t="s">
        <v>391</v>
      </c>
      <c r="S418" s="71" t="s">
        <v>392</v>
      </c>
      <c r="T418" s="70" t="s">
        <v>393</v>
      </c>
      <c r="U418" s="25" t="s">
        <v>394</v>
      </c>
      <c r="V418" s="70" t="s">
        <v>395</v>
      </c>
      <c r="W418" s="72" t="s">
        <v>396</v>
      </c>
      <c r="X418" s="70" t="s">
        <v>397</v>
      </c>
      <c r="Y418" s="49" t="s">
        <v>398</v>
      </c>
      <c r="Z418" s="70" t="s">
        <v>399</v>
      </c>
      <c r="AA418" s="71" t="s">
        <v>400</v>
      </c>
      <c r="AB418" s="70" t="s">
        <v>401</v>
      </c>
      <c r="AC418" s="70" t="s">
        <v>402</v>
      </c>
      <c r="AD418" s="49" t="s">
        <v>403</v>
      </c>
      <c r="AE418" s="50" t="s">
        <v>404</v>
      </c>
      <c r="AF418" s="60" t="s">
        <v>405</v>
      </c>
      <c r="AG418" s="70" t="s">
        <v>406</v>
      </c>
      <c r="AH418" s="70" t="s">
        <v>407</v>
      </c>
      <c r="AI418" s="73" t="s">
        <v>408</v>
      </c>
      <c r="AJ418" s="70" t="s">
        <v>409</v>
      </c>
      <c r="AK418" s="74" t="s">
        <v>410</v>
      </c>
      <c r="AL418" s="75" t="s">
        <v>411</v>
      </c>
      <c r="AM418" s="76" t="s">
        <v>412</v>
      </c>
      <c r="AN418" s="50" t="s">
        <v>413</v>
      </c>
      <c r="AO418" s="77" t="s">
        <v>414</v>
      </c>
      <c r="AP418" s="51" t="s">
        <v>415</v>
      </c>
      <c r="AQ418" s="78" t="s">
        <v>416</v>
      </c>
      <c r="AR418" s="74" t="s">
        <v>417</v>
      </c>
      <c r="AS418" s="22" t="s">
        <v>418</v>
      </c>
      <c r="AT418" s="75" t="s">
        <v>419</v>
      </c>
      <c r="AU418" s="79" t="s">
        <v>420</v>
      </c>
      <c r="AV418" s="80" t="s">
        <v>421</v>
      </c>
      <c r="AW418" s="81" t="s">
        <v>422</v>
      </c>
      <c r="AX418" s="82" t="s">
        <v>423</v>
      </c>
      <c r="AY418" s="83" t="s">
        <v>424</v>
      </c>
      <c r="AZ418" s="80" t="s">
        <v>425</v>
      </c>
      <c r="BA418" s="34" t="s">
        <v>320</v>
      </c>
      <c r="BB418" s="591" t="str">
        <f t="shared" si="30"/>
        <v>DEEP</v>
      </c>
      <c r="BC418" s="591" t="str">
        <f t="shared" si="31"/>
        <v>17. Regional Health Clusters-EKHC-PDPL-2021</v>
      </c>
      <c r="BD418" s="591" t="str">
        <f t="shared" si="32"/>
        <v>EKHC-PDPL-2021</v>
      </c>
      <c r="BE418" s="591" t="str">
        <f t="shared" si="33"/>
        <v>NONE</v>
      </c>
      <c r="BF418" s="594">
        <f t="shared" si="34"/>
        <v>18</v>
      </c>
    </row>
    <row r="419" spans="1:58" ht="42" customHeight="1" x14ac:dyDescent="0.45">
      <c r="A419" s="42">
        <v>370</v>
      </c>
      <c r="B419" s="412" t="s">
        <v>2258</v>
      </c>
      <c r="C419" s="44" t="s">
        <v>2259</v>
      </c>
      <c r="D419" s="44" t="s">
        <v>2191</v>
      </c>
      <c r="E419" s="412" t="s">
        <v>688</v>
      </c>
      <c r="F419" s="45" t="s">
        <v>689</v>
      </c>
      <c r="G419" s="44" t="s">
        <v>690</v>
      </c>
      <c r="H419" s="44" t="s">
        <v>691</v>
      </c>
      <c r="I419" s="46" t="s">
        <v>151</v>
      </c>
      <c r="J419" s="46" t="s">
        <v>692</v>
      </c>
      <c r="K419" s="44" t="s">
        <v>558</v>
      </c>
      <c r="L419" s="66" t="s">
        <v>559</v>
      </c>
      <c r="M419" s="44" t="s">
        <v>2267</v>
      </c>
      <c r="N419" s="54" t="s">
        <v>154</v>
      </c>
      <c r="O419" s="48" t="s">
        <v>593</v>
      </c>
      <c r="P419" s="44" t="s">
        <v>636</v>
      </c>
      <c r="Q419" s="70" t="s">
        <v>695</v>
      </c>
      <c r="R419" s="70" t="s">
        <v>696</v>
      </c>
      <c r="S419" s="71" t="s">
        <v>697</v>
      </c>
      <c r="T419" s="70" t="s">
        <v>698</v>
      </c>
      <c r="U419" s="25" t="s">
        <v>699</v>
      </c>
      <c r="V419" s="70" t="s">
        <v>700</v>
      </c>
      <c r="W419" s="72" t="s">
        <v>701</v>
      </c>
      <c r="X419" s="70" t="s">
        <v>702</v>
      </c>
      <c r="Y419" s="22" t="s">
        <v>205</v>
      </c>
      <c r="Z419" s="70" t="s">
        <v>703</v>
      </c>
      <c r="AA419" s="71" t="s">
        <v>704</v>
      </c>
      <c r="AB419" s="70" t="s">
        <v>705</v>
      </c>
      <c r="AC419" s="70" t="s">
        <v>706</v>
      </c>
      <c r="AD419" s="49" t="s">
        <v>707</v>
      </c>
      <c r="AE419" s="26" t="s">
        <v>675</v>
      </c>
      <c r="AF419" s="60" t="s">
        <v>708</v>
      </c>
      <c r="AG419" s="70" t="s">
        <v>709</v>
      </c>
      <c r="AH419" s="70" t="s">
        <v>710</v>
      </c>
      <c r="AI419" s="73" t="s">
        <v>711</v>
      </c>
      <c r="AJ419" s="70" t="s">
        <v>712</v>
      </c>
      <c r="AK419" s="74" t="s">
        <v>713</v>
      </c>
      <c r="AL419" s="75" t="s">
        <v>714</v>
      </c>
      <c r="AM419" s="76" t="s">
        <v>715</v>
      </c>
      <c r="AN419" s="50" t="s">
        <v>716</v>
      </c>
      <c r="AO419" s="77" t="s">
        <v>717</v>
      </c>
      <c r="AP419" s="51" t="s">
        <v>718</v>
      </c>
      <c r="AQ419" s="78" t="s">
        <v>719</v>
      </c>
      <c r="AR419" s="74" t="s">
        <v>720</v>
      </c>
      <c r="AS419" s="61" t="s">
        <v>721</v>
      </c>
      <c r="AT419" s="75" t="s">
        <v>722</v>
      </c>
      <c r="AU419" s="79" t="s">
        <v>723</v>
      </c>
      <c r="AV419" s="80" t="s">
        <v>724</v>
      </c>
      <c r="AW419" s="81" t="s">
        <v>725</v>
      </c>
      <c r="AX419" s="82" t="s">
        <v>726</v>
      </c>
      <c r="AY419" s="83" t="s">
        <v>727</v>
      </c>
      <c r="AZ419" s="80" t="s">
        <v>728</v>
      </c>
      <c r="BA419" s="41" t="s">
        <v>105</v>
      </c>
      <c r="BB419" s="591" t="str">
        <f t="shared" si="30"/>
        <v>DEEP</v>
      </c>
      <c r="BC419" s="591" t="str">
        <f t="shared" si="31"/>
        <v>17. Regional Health Clusters-EKHC-MOH-TELE</v>
      </c>
      <c r="BD419" s="591" t="str">
        <f t="shared" si="32"/>
        <v>EKHC-MOH-TELE</v>
      </c>
      <c r="BE419" s="591" t="str">
        <f t="shared" si="33"/>
        <v>NONE</v>
      </c>
      <c r="BF419" s="594">
        <f t="shared" si="34"/>
        <v>16</v>
      </c>
    </row>
    <row r="420" spans="1:58" ht="42" customHeight="1" x14ac:dyDescent="0.45">
      <c r="A420" s="84">
        <v>371</v>
      </c>
      <c r="B420" s="411" t="s">
        <v>2258</v>
      </c>
      <c r="C420" s="70" t="s">
        <v>2259</v>
      </c>
      <c r="D420" s="70" t="s">
        <v>2191</v>
      </c>
      <c r="E420" s="411" t="s">
        <v>1246</v>
      </c>
      <c r="F420" s="72" t="s">
        <v>2205</v>
      </c>
      <c r="G420" s="70" t="s">
        <v>2206</v>
      </c>
      <c r="H420" s="70" t="s">
        <v>633</v>
      </c>
      <c r="I420" s="71" t="s">
        <v>61</v>
      </c>
      <c r="J420" s="71" t="s">
        <v>194</v>
      </c>
      <c r="K420" s="70" t="s">
        <v>558</v>
      </c>
      <c r="L420" s="66" t="s">
        <v>559</v>
      </c>
      <c r="M420" s="70" t="s">
        <v>2268</v>
      </c>
      <c r="N420" s="86" t="s">
        <v>66</v>
      </c>
      <c r="O420" s="87" t="s">
        <v>1250</v>
      </c>
      <c r="P420" s="70" t="s">
        <v>1244</v>
      </c>
      <c r="Q420" s="70" t="s">
        <v>1252</v>
      </c>
      <c r="R420" s="70" t="s">
        <v>1253</v>
      </c>
      <c r="S420" s="71" t="s">
        <v>1254</v>
      </c>
      <c r="T420" s="70" t="s">
        <v>1255</v>
      </c>
      <c r="U420" s="25" t="s">
        <v>1256</v>
      </c>
      <c r="V420" s="70" t="s">
        <v>1257</v>
      </c>
      <c r="W420" s="72" t="s">
        <v>1258</v>
      </c>
      <c r="X420" s="70" t="s">
        <v>1259</v>
      </c>
      <c r="Y420" s="22" t="s">
        <v>205</v>
      </c>
      <c r="Z420" s="70" t="s">
        <v>1260</v>
      </c>
      <c r="AA420" s="71" t="s">
        <v>1261</v>
      </c>
      <c r="AB420" s="70" t="s">
        <v>1262</v>
      </c>
      <c r="AC420" s="70" t="s">
        <v>1263</v>
      </c>
      <c r="AD420" s="49" t="s">
        <v>650</v>
      </c>
      <c r="AE420" s="37" t="s">
        <v>1264</v>
      </c>
      <c r="AF420" s="27" t="s">
        <v>1265</v>
      </c>
      <c r="AG420" s="70" t="s">
        <v>1266</v>
      </c>
      <c r="AH420" s="70" t="s">
        <v>1267</v>
      </c>
      <c r="AI420" s="73" t="s">
        <v>215</v>
      </c>
      <c r="AJ420" s="70" t="s">
        <v>216</v>
      </c>
      <c r="AK420" s="74" t="s">
        <v>217</v>
      </c>
      <c r="AL420" s="75" t="s">
        <v>218</v>
      </c>
      <c r="AM420" s="76" t="s">
        <v>219</v>
      </c>
      <c r="AN420" s="50" t="s">
        <v>220</v>
      </c>
      <c r="AO420" s="77" t="s">
        <v>221</v>
      </c>
      <c r="AP420" s="51" t="s">
        <v>138</v>
      </c>
      <c r="AQ420" s="78" t="s">
        <v>139</v>
      </c>
      <c r="AR420" s="74" t="s">
        <v>140</v>
      </c>
      <c r="AS420" s="22" t="s">
        <v>141</v>
      </c>
      <c r="AT420" s="75" t="s">
        <v>142</v>
      </c>
      <c r="AU420" s="79" t="s">
        <v>143</v>
      </c>
      <c r="AV420" s="80" t="s">
        <v>144</v>
      </c>
      <c r="AW420" s="81" t="s">
        <v>145</v>
      </c>
      <c r="AX420" s="82" t="s">
        <v>146</v>
      </c>
      <c r="AY420" s="83" t="s">
        <v>147</v>
      </c>
      <c r="AZ420" s="80" t="s">
        <v>585</v>
      </c>
      <c r="BA420" s="41" t="s">
        <v>105</v>
      </c>
      <c r="BB420" s="591" t="str">
        <f t="shared" si="30"/>
        <v>TEMPLATE</v>
      </c>
      <c r="BC420" s="591" t="str">
        <f t="shared" si="31"/>
        <v>17. Regional Health Clusters-EKHC-NHIC-NABIDH</v>
      </c>
      <c r="BD420" s="591" t="str">
        <f t="shared" si="32"/>
        <v>EKHC-NHIC-NABIDH</v>
      </c>
      <c r="BE420" s="591" t="str">
        <f t="shared" si="33"/>
        <v>NONE</v>
      </c>
      <c r="BF420" s="594">
        <f t="shared" si="34"/>
        <v>11</v>
      </c>
    </row>
    <row r="421" spans="1:58" ht="42" customHeight="1" x14ac:dyDescent="0.45">
      <c r="A421" s="42">
        <v>372</v>
      </c>
      <c r="B421" s="412" t="s">
        <v>2258</v>
      </c>
      <c r="C421" s="44" t="s">
        <v>2259</v>
      </c>
      <c r="D421" s="44" t="s">
        <v>2191</v>
      </c>
      <c r="E421" s="412" t="s">
        <v>770</v>
      </c>
      <c r="F421" s="45" t="s">
        <v>107</v>
      </c>
      <c r="G421" s="44" t="s">
        <v>108</v>
      </c>
      <c r="H421" s="44" t="s">
        <v>106</v>
      </c>
      <c r="I421" s="46" t="s">
        <v>109</v>
      </c>
      <c r="J421" s="46" t="s">
        <v>110</v>
      </c>
      <c r="K421" s="44" t="s">
        <v>558</v>
      </c>
      <c r="L421" s="66" t="s">
        <v>559</v>
      </c>
      <c r="M421" s="44" t="s">
        <v>2269</v>
      </c>
      <c r="N421" s="47" t="s">
        <v>66</v>
      </c>
      <c r="O421" s="48" t="s">
        <v>196</v>
      </c>
      <c r="P421" s="44" t="s">
        <v>2209</v>
      </c>
      <c r="Q421" s="70" t="s">
        <v>562</v>
      </c>
      <c r="R421" s="70" t="s">
        <v>563</v>
      </c>
      <c r="S421" s="71" t="s">
        <v>564</v>
      </c>
      <c r="T421" s="70" t="s">
        <v>565</v>
      </c>
      <c r="U421" s="25" t="s">
        <v>566</v>
      </c>
      <c r="V421" s="70" t="s">
        <v>282</v>
      </c>
      <c r="W421" s="72" t="s">
        <v>283</v>
      </c>
      <c r="X421" s="70" t="s">
        <v>284</v>
      </c>
      <c r="Y421" s="49" t="s">
        <v>285</v>
      </c>
      <c r="Z421" s="70" t="s">
        <v>286</v>
      </c>
      <c r="AA421" s="71" t="s">
        <v>286</v>
      </c>
      <c r="AB421" s="70" t="s">
        <v>287</v>
      </c>
      <c r="AC421" s="70" t="s">
        <v>288</v>
      </c>
      <c r="AD421" s="49" t="s">
        <v>289</v>
      </c>
      <c r="AE421" s="58" t="s">
        <v>290</v>
      </c>
      <c r="AF421" s="56" t="s">
        <v>291</v>
      </c>
      <c r="AG421" s="70" t="s">
        <v>292</v>
      </c>
      <c r="AH421" s="70" t="s">
        <v>293</v>
      </c>
      <c r="AI421" s="73" t="s">
        <v>215</v>
      </c>
      <c r="AJ421" s="70" t="s">
        <v>216</v>
      </c>
      <c r="AK421" s="74" t="s">
        <v>217</v>
      </c>
      <c r="AL421" s="75" t="s">
        <v>218</v>
      </c>
      <c r="AM421" s="76" t="s">
        <v>219</v>
      </c>
      <c r="AN421" s="50" t="s">
        <v>220</v>
      </c>
      <c r="AO421" s="77" t="s">
        <v>221</v>
      </c>
      <c r="AP421" s="53" t="s">
        <v>773</v>
      </c>
      <c r="AQ421" s="78" t="s">
        <v>774</v>
      </c>
      <c r="AR421" s="74" t="s">
        <v>775</v>
      </c>
      <c r="AS421" s="22" t="s">
        <v>776</v>
      </c>
      <c r="AT421" s="75" t="s">
        <v>777</v>
      </c>
      <c r="AU421" s="79" t="s">
        <v>778</v>
      </c>
      <c r="AV421" s="80" t="s">
        <v>779</v>
      </c>
      <c r="AW421" s="81" t="s">
        <v>780</v>
      </c>
      <c r="AX421" s="82" t="s">
        <v>781</v>
      </c>
      <c r="AY421" s="83" t="s">
        <v>782</v>
      </c>
      <c r="AZ421" s="80" t="s">
        <v>104</v>
      </c>
      <c r="BA421" s="41" t="s">
        <v>105</v>
      </c>
      <c r="BB421" s="591" t="str">
        <f t="shared" si="30"/>
        <v>TEMPLATE</v>
      </c>
      <c r="BC421" s="591" t="str">
        <f t="shared" si="31"/>
        <v>17. Regional Health Clusters-EKHC-NCA-OTCC</v>
      </c>
      <c r="BD421" s="591" t="str">
        <f t="shared" si="32"/>
        <v>EKHC-NCA-OTCC</v>
      </c>
      <c r="BE421" s="591" t="str">
        <f t="shared" si="33"/>
        <v>NCA-ECC-2-2024</v>
      </c>
      <c r="BF421" s="594">
        <f t="shared" si="34"/>
        <v>11</v>
      </c>
    </row>
    <row r="422" spans="1:58" ht="42" customHeight="1" x14ac:dyDescent="0.45">
      <c r="A422" s="84">
        <v>373</v>
      </c>
      <c r="B422" s="411" t="s">
        <v>2270</v>
      </c>
      <c r="C422" s="70" t="s">
        <v>2271</v>
      </c>
      <c r="D422" s="70" t="s">
        <v>2191</v>
      </c>
      <c r="E422" s="411" t="s">
        <v>586</v>
      </c>
      <c r="F422" s="72" t="s">
        <v>587</v>
      </c>
      <c r="G422" s="70" t="s">
        <v>588</v>
      </c>
      <c r="H422" s="70" t="s">
        <v>589</v>
      </c>
      <c r="I422" s="71" t="s">
        <v>590</v>
      </c>
      <c r="J422" s="71" t="s">
        <v>591</v>
      </c>
      <c r="K422" s="70" t="s">
        <v>558</v>
      </c>
      <c r="L422" s="66" t="s">
        <v>559</v>
      </c>
      <c r="M422" s="70" t="s">
        <v>2272</v>
      </c>
      <c r="N422" s="86" t="s">
        <v>66</v>
      </c>
      <c r="O422" s="87" t="s">
        <v>593</v>
      </c>
      <c r="P422" s="70" t="s">
        <v>661</v>
      </c>
      <c r="Q422" s="70" t="s">
        <v>595</v>
      </c>
      <c r="R422" s="70" t="s">
        <v>596</v>
      </c>
      <c r="S422" s="71" t="s">
        <v>597</v>
      </c>
      <c r="T422" s="70" t="s">
        <v>598</v>
      </c>
      <c r="U422" s="25" t="s">
        <v>599</v>
      </c>
      <c r="V422" s="70" t="s">
        <v>600</v>
      </c>
      <c r="W422" s="72" t="s">
        <v>601</v>
      </c>
      <c r="X422" s="70" t="s">
        <v>602</v>
      </c>
      <c r="Y422" s="49" t="s">
        <v>603</v>
      </c>
      <c r="Z422" s="70" t="s">
        <v>604</v>
      </c>
      <c r="AA422" s="71" t="s">
        <v>605</v>
      </c>
      <c r="AB422" s="70" t="s">
        <v>606</v>
      </c>
      <c r="AC422" s="70" t="s">
        <v>607</v>
      </c>
      <c r="AD422" s="49" t="s">
        <v>608</v>
      </c>
      <c r="AE422" s="26" t="s">
        <v>609</v>
      </c>
      <c r="AF422" s="27" t="s">
        <v>610</v>
      </c>
      <c r="AG422" s="70" t="s">
        <v>611</v>
      </c>
      <c r="AH422" s="70" t="s">
        <v>612</v>
      </c>
      <c r="AI422" s="73" t="s">
        <v>613</v>
      </c>
      <c r="AJ422" s="70" t="s">
        <v>614</v>
      </c>
      <c r="AK422" s="74" t="s">
        <v>615</v>
      </c>
      <c r="AL422" s="75" t="s">
        <v>616</v>
      </c>
      <c r="AM422" s="76" t="s">
        <v>617</v>
      </c>
      <c r="AN422" s="50" t="s">
        <v>618</v>
      </c>
      <c r="AO422" s="77" t="s">
        <v>619</v>
      </c>
      <c r="AP422" s="34" t="s">
        <v>620</v>
      </c>
      <c r="AQ422" s="78" t="s">
        <v>621</v>
      </c>
      <c r="AR422" s="74" t="s">
        <v>622</v>
      </c>
      <c r="AS422" s="61" t="s">
        <v>623</v>
      </c>
      <c r="AT422" s="75" t="s">
        <v>624</v>
      </c>
      <c r="AU422" s="79" t="s">
        <v>625</v>
      </c>
      <c r="AV422" s="80" t="s">
        <v>626</v>
      </c>
      <c r="AW422" s="81" t="s">
        <v>627</v>
      </c>
      <c r="AX422" s="82" t="s">
        <v>628</v>
      </c>
      <c r="AY422" s="83" t="s">
        <v>629</v>
      </c>
      <c r="AZ422" s="80" t="s">
        <v>585</v>
      </c>
      <c r="BA422" s="41" t="s">
        <v>105</v>
      </c>
      <c r="BB422" s="591" t="str">
        <f t="shared" si="30"/>
        <v>DEEP</v>
      </c>
      <c r="BC422" s="591" t="str">
        <f t="shared" si="31"/>
        <v>17. Regional Health Clusters-AZHC-MOH-HIS</v>
      </c>
      <c r="BD422" s="591" t="str">
        <f t="shared" si="32"/>
        <v>AZHC-MOH-HIS</v>
      </c>
      <c r="BE422" s="591" t="str">
        <f t="shared" si="33"/>
        <v>NONE</v>
      </c>
      <c r="BF422" s="594">
        <f t="shared" si="34"/>
        <v>18</v>
      </c>
    </row>
    <row r="423" spans="1:58" ht="42" customHeight="1" x14ac:dyDescent="0.45">
      <c r="A423" s="42">
        <v>374</v>
      </c>
      <c r="B423" s="412" t="s">
        <v>2270</v>
      </c>
      <c r="C423" s="44" t="s">
        <v>2271</v>
      </c>
      <c r="D423" s="44" t="s">
        <v>2191</v>
      </c>
      <c r="E423" s="412" t="s">
        <v>630</v>
      </c>
      <c r="F423" s="45" t="s">
        <v>2193</v>
      </c>
      <c r="G423" s="44" t="s">
        <v>2194</v>
      </c>
      <c r="H423" s="44" t="s">
        <v>633</v>
      </c>
      <c r="I423" s="46" t="s">
        <v>590</v>
      </c>
      <c r="J423" s="46" t="s">
        <v>634</v>
      </c>
      <c r="K423" s="44" t="s">
        <v>558</v>
      </c>
      <c r="L423" s="66" t="s">
        <v>559</v>
      </c>
      <c r="M423" s="44" t="s">
        <v>2273</v>
      </c>
      <c r="N423" s="47" t="s">
        <v>66</v>
      </c>
      <c r="O423" s="48" t="s">
        <v>593</v>
      </c>
      <c r="P423" s="44" t="s">
        <v>2196</v>
      </c>
      <c r="Q423" s="70" t="s">
        <v>637</v>
      </c>
      <c r="R423" s="70" t="s">
        <v>638</v>
      </c>
      <c r="S423" s="71" t="s">
        <v>639</v>
      </c>
      <c r="T423" s="70" t="s">
        <v>640</v>
      </c>
      <c r="U423" s="25" t="s">
        <v>641</v>
      </c>
      <c r="V423" s="70" t="s">
        <v>642</v>
      </c>
      <c r="W423" s="72" t="s">
        <v>643</v>
      </c>
      <c r="X423" s="70" t="s">
        <v>644</v>
      </c>
      <c r="Y423" s="49" t="s">
        <v>645</v>
      </c>
      <c r="Z423" s="70" t="s">
        <v>646</v>
      </c>
      <c r="AA423" s="71" t="s">
        <v>647</v>
      </c>
      <c r="AB423" s="70" t="s">
        <v>648</v>
      </c>
      <c r="AC423" s="70" t="s">
        <v>649</v>
      </c>
      <c r="AD423" s="49" t="s">
        <v>650</v>
      </c>
      <c r="AE423" s="26" t="s">
        <v>651</v>
      </c>
      <c r="AF423" s="27" t="s">
        <v>652</v>
      </c>
      <c r="AG423" s="70" t="s">
        <v>653</v>
      </c>
      <c r="AH423" s="70" t="s">
        <v>654</v>
      </c>
      <c r="AI423" s="73" t="s">
        <v>215</v>
      </c>
      <c r="AJ423" s="70" t="s">
        <v>216</v>
      </c>
      <c r="AK423" s="74" t="s">
        <v>217</v>
      </c>
      <c r="AL423" s="75" t="s">
        <v>218</v>
      </c>
      <c r="AM423" s="76" t="s">
        <v>219</v>
      </c>
      <c r="AN423" s="50" t="s">
        <v>220</v>
      </c>
      <c r="AO423" s="77" t="s">
        <v>221</v>
      </c>
      <c r="AP423" s="51" t="s">
        <v>138</v>
      </c>
      <c r="AQ423" s="78" t="s">
        <v>139</v>
      </c>
      <c r="AR423" s="74" t="s">
        <v>140</v>
      </c>
      <c r="AS423" s="22" t="s">
        <v>141</v>
      </c>
      <c r="AT423" s="75" t="s">
        <v>142</v>
      </c>
      <c r="AU423" s="79" t="s">
        <v>143</v>
      </c>
      <c r="AV423" s="80" t="s">
        <v>144</v>
      </c>
      <c r="AW423" s="81" t="s">
        <v>145</v>
      </c>
      <c r="AX423" s="82" t="s">
        <v>146</v>
      </c>
      <c r="AY423" s="83" t="s">
        <v>147</v>
      </c>
      <c r="AZ423" s="80" t="s">
        <v>585</v>
      </c>
      <c r="BA423" s="41" t="s">
        <v>105</v>
      </c>
      <c r="BB423" s="591" t="str">
        <f t="shared" si="30"/>
        <v>TEMPLATE</v>
      </c>
      <c r="BC423" s="591" t="str">
        <f t="shared" si="31"/>
        <v>17. Regional Health Clusters-AZHC-MOH-EMR-NABIDH</v>
      </c>
      <c r="BD423" s="591" t="str">
        <f t="shared" si="32"/>
        <v>AZHC-MOH-EMR-NABIDH</v>
      </c>
      <c r="BE423" s="591" t="str">
        <f t="shared" si="33"/>
        <v>NONE</v>
      </c>
      <c r="BF423" s="594">
        <f t="shared" si="34"/>
        <v>11</v>
      </c>
    </row>
    <row r="424" spans="1:58" ht="42" customHeight="1" x14ac:dyDescent="0.45">
      <c r="A424" s="84">
        <v>375</v>
      </c>
      <c r="B424" s="411" t="s">
        <v>2270</v>
      </c>
      <c r="C424" s="70" t="s">
        <v>2271</v>
      </c>
      <c r="D424" s="70" t="s">
        <v>2191</v>
      </c>
      <c r="E424" s="411" t="s">
        <v>655</v>
      </c>
      <c r="F424" s="72" t="s">
        <v>656</v>
      </c>
      <c r="G424" s="70" t="s">
        <v>657</v>
      </c>
      <c r="H424" s="70" t="s">
        <v>589</v>
      </c>
      <c r="I424" s="71" t="s">
        <v>658</v>
      </c>
      <c r="J424" s="71" t="s">
        <v>659</v>
      </c>
      <c r="K424" s="70" t="s">
        <v>558</v>
      </c>
      <c r="L424" s="66" t="s">
        <v>559</v>
      </c>
      <c r="M424" s="70" t="s">
        <v>2274</v>
      </c>
      <c r="N424" s="86" t="s">
        <v>66</v>
      </c>
      <c r="O424" s="87" t="s">
        <v>593</v>
      </c>
      <c r="P424" s="70" t="s">
        <v>661</v>
      </c>
      <c r="Q424" s="70" t="s">
        <v>662</v>
      </c>
      <c r="R424" s="70" t="s">
        <v>663</v>
      </c>
      <c r="S424" s="71" t="s">
        <v>664</v>
      </c>
      <c r="T424" s="70" t="s">
        <v>665</v>
      </c>
      <c r="U424" s="25" t="s">
        <v>666</v>
      </c>
      <c r="V424" s="70" t="s">
        <v>667</v>
      </c>
      <c r="W424" s="72" t="s">
        <v>668</v>
      </c>
      <c r="X424" s="70" t="s">
        <v>669</v>
      </c>
      <c r="Y424" s="22" t="s">
        <v>205</v>
      </c>
      <c r="Z424" s="70" t="s">
        <v>670</v>
      </c>
      <c r="AA424" s="71" t="s">
        <v>671</v>
      </c>
      <c r="AB424" s="70" t="s">
        <v>672</v>
      </c>
      <c r="AC424" s="70" t="s">
        <v>673</v>
      </c>
      <c r="AD424" s="49" t="s">
        <v>674</v>
      </c>
      <c r="AE424" s="26" t="s">
        <v>675</v>
      </c>
      <c r="AF424" s="27" t="s">
        <v>676</v>
      </c>
      <c r="AG424" s="70" t="s">
        <v>677</v>
      </c>
      <c r="AH424" s="70" t="s">
        <v>678</v>
      </c>
      <c r="AI424" s="73" t="s">
        <v>215</v>
      </c>
      <c r="AJ424" s="70" t="s">
        <v>216</v>
      </c>
      <c r="AK424" s="74" t="s">
        <v>217</v>
      </c>
      <c r="AL424" s="75" t="s">
        <v>218</v>
      </c>
      <c r="AM424" s="76" t="s">
        <v>219</v>
      </c>
      <c r="AN424" s="50" t="s">
        <v>220</v>
      </c>
      <c r="AO424" s="77" t="s">
        <v>221</v>
      </c>
      <c r="AP424" s="51" t="s">
        <v>138</v>
      </c>
      <c r="AQ424" s="78" t="s">
        <v>139</v>
      </c>
      <c r="AR424" s="74" t="s">
        <v>140</v>
      </c>
      <c r="AS424" s="22" t="s">
        <v>141</v>
      </c>
      <c r="AT424" s="75" t="s">
        <v>142</v>
      </c>
      <c r="AU424" s="79" t="s">
        <v>143</v>
      </c>
      <c r="AV424" s="80" t="s">
        <v>144</v>
      </c>
      <c r="AW424" s="81" t="s">
        <v>145</v>
      </c>
      <c r="AX424" s="82" t="s">
        <v>146</v>
      </c>
      <c r="AY424" s="83" t="s">
        <v>147</v>
      </c>
      <c r="AZ424" s="80" t="s">
        <v>585</v>
      </c>
      <c r="BA424" s="41" t="s">
        <v>105</v>
      </c>
      <c r="BB424" s="591" t="str">
        <f t="shared" si="30"/>
        <v>TEMPLATE</v>
      </c>
      <c r="BC424" s="591" t="str">
        <f t="shared" si="31"/>
        <v>17. Regional Health Clusters-AZHC-MOH-PS</v>
      </c>
      <c r="BD424" s="591" t="str">
        <f t="shared" si="32"/>
        <v>AZHC-MOH-PS</v>
      </c>
      <c r="BE424" s="591" t="str">
        <f t="shared" si="33"/>
        <v>NONE</v>
      </c>
      <c r="BF424" s="594">
        <f t="shared" si="34"/>
        <v>11</v>
      </c>
    </row>
    <row r="425" spans="1:58" ht="42" customHeight="1" x14ac:dyDescent="0.45">
      <c r="A425" s="42">
        <v>376</v>
      </c>
      <c r="B425" s="412" t="s">
        <v>2270</v>
      </c>
      <c r="C425" s="44" t="s">
        <v>2271</v>
      </c>
      <c r="D425" s="44" t="s">
        <v>2191</v>
      </c>
      <c r="E425" s="412" t="s">
        <v>679</v>
      </c>
      <c r="F425" s="45" t="s">
        <v>680</v>
      </c>
      <c r="G425" s="44" t="s">
        <v>681</v>
      </c>
      <c r="H425" s="44" t="s">
        <v>225</v>
      </c>
      <c r="I425" s="46" t="s">
        <v>682</v>
      </c>
      <c r="J425" s="46" t="s">
        <v>386</v>
      </c>
      <c r="K425" s="44" t="s">
        <v>558</v>
      </c>
      <c r="L425" s="66" t="s">
        <v>559</v>
      </c>
      <c r="M425" s="44" t="s">
        <v>2275</v>
      </c>
      <c r="N425" s="54" t="s">
        <v>154</v>
      </c>
      <c r="O425" s="48" t="s">
        <v>593</v>
      </c>
      <c r="P425" s="44" t="s">
        <v>661</v>
      </c>
      <c r="Q425" s="70" t="s">
        <v>683</v>
      </c>
      <c r="R425" s="70" t="s">
        <v>684</v>
      </c>
      <c r="S425" s="71" t="s">
        <v>685</v>
      </c>
      <c r="T425" s="70" t="s">
        <v>686</v>
      </c>
      <c r="U425" s="25" t="s">
        <v>687</v>
      </c>
      <c r="V425" s="70" t="s">
        <v>282</v>
      </c>
      <c r="W425" s="72" t="s">
        <v>283</v>
      </c>
      <c r="X425" s="70" t="s">
        <v>284</v>
      </c>
      <c r="Y425" s="49" t="s">
        <v>285</v>
      </c>
      <c r="Z425" s="70" t="s">
        <v>286</v>
      </c>
      <c r="AA425" s="71" t="s">
        <v>286</v>
      </c>
      <c r="AB425" s="70" t="s">
        <v>287</v>
      </c>
      <c r="AC425" s="70" t="s">
        <v>288</v>
      </c>
      <c r="AD425" s="49" t="s">
        <v>289</v>
      </c>
      <c r="AE425" s="58" t="s">
        <v>290</v>
      </c>
      <c r="AF425" s="56" t="s">
        <v>291</v>
      </c>
      <c r="AG425" s="70" t="s">
        <v>292</v>
      </c>
      <c r="AH425" s="70" t="s">
        <v>293</v>
      </c>
      <c r="AI425" s="73" t="s">
        <v>215</v>
      </c>
      <c r="AJ425" s="70" t="s">
        <v>216</v>
      </c>
      <c r="AK425" s="74" t="s">
        <v>217</v>
      </c>
      <c r="AL425" s="75" t="s">
        <v>218</v>
      </c>
      <c r="AM425" s="76" t="s">
        <v>219</v>
      </c>
      <c r="AN425" s="50" t="s">
        <v>220</v>
      </c>
      <c r="AO425" s="77" t="s">
        <v>221</v>
      </c>
      <c r="AP425" s="51" t="s">
        <v>138</v>
      </c>
      <c r="AQ425" s="78" t="s">
        <v>139</v>
      </c>
      <c r="AR425" s="74" t="s">
        <v>140</v>
      </c>
      <c r="AS425" s="22" t="s">
        <v>141</v>
      </c>
      <c r="AT425" s="75" t="s">
        <v>142</v>
      </c>
      <c r="AU425" s="79" t="s">
        <v>143</v>
      </c>
      <c r="AV425" s="80" t="s">
        <v>144</v>
      </c>
      <c r="AW425" s="81" t="s">
        <v>145</v>
      </c>
      <c r="AX425" s="82" t="s">
        <v>146</v>
      </c>
      <c r="AY425" s="83" t="s">
        <v>147</v>
      </c>
      <c r="AZ425" s="80" t="s">
        <v>585</v>
      </c>
      <c r="BA425" s="41" t="s">
        <v>105</v>
      </c>
      <c r="BB425" s="591" t="str">
        <f t="shared" si="30"/>
        <v>TEMPLATE</v>
      </c>
      <c r="BC425" s="591" t="str">
        <f t="shared" si="31"/>
        <v>17. Regional Health Clusters-AZHC-MOH-PR</v>
      </c>
      <c r="BD425" s="591" t="str">
        <f t="shared" si="32"/>
        <v>AZHC-MOH-PR</v>
      </c>
      <c r="BE425" s="591" t="str">
        <f t="shared" si="33"/>
        <v>NONE</v>
      </c>
      <c r="BF425" s="594">
        <f t="shared" si="34"/>
        <v>9</v>
      </c>
    </row>
    <row r="426" spans="1:58" ht="42" customHeight="1" x14ac:dyDescent="0.45">
      <c r="A426" s="84">
        <v>377</v>
      </c>
      <c r="B426" s="411" t="s">
        <v>2270</v>
      </c>
      <c r="C426" s="70" t="s">
        <v>2271</v>
      </c>
      <c r="D426" s="70" t="s">
        <v>2191</v>
      </c>
      <c r="E426" s="411" t="s">
        <v>930</v>
      </c>
      <c r="F426" s="72" t="s">
        <v>2199</v>
      </c>
      <c r="G426" s="70" t="s">
        <v>932</v>
      </c>
      <c r="H426" s="70" t="s">
        <v>2200</v>
      </c>
      <c r="I426" s="71" t="s">
        <v>924</v>
      </c>
      <c r="J426" s="71" t="s">
        <v>934</v>
      </c>
      <c r="K426" s="70" t="s">
        <v>558</v>
      </c>
      <c r="L426" s="92" t="s">
        <v>935</v>
      </c>
      <c r="M426" s="70" t="s">
        <v>2276</v>
      </c>
      <c r="N426" s="86" t="s">
        <v>66</v>
      </c>
      <c r="O426" s="87" t="s">
        <v>937</v>
      </c>
      <c r="P426" s="70" t="s">
        <v>979</v>
      </c>
      <c r="Q426" s="70" t="s">
        <v>939</v>
      </c>
      <c r="R426" s="70" t="s">
        <v>940</v>
      </c>
      <c r="S426" s="71" t="s">
        <v>941</v>
      </c>
      <c r="T426" s="70" t="s">
        <v>942</v>
      </c>
      <c r="U426" s="25" t="s">
        <v>943</v>
      </c>
      <c r="V426" s="70" t="s">
        <v>944</v>
      </c>
      <c r="W426" s="72" t="s">
        <v>945</v>
      </c>
      <c r="X426" s="70" t="s">
        <v>946</v>
      </c>
      <c r="Y426" s="49" t="s">
        <v>947</v>
      </c>
      <c r="Z426" s="70" t="s">
        <v>948</v>
      </c>
      <c r="AA426" s="71" t="s">
        <v>949</v>
      </c>
      <c r="AB426" s="70" t="s">
        <v>950</v>
      </c>
      <c r="AC426" s="70" t="s">
        <v>951</v>
      </c>
      <c r="AD426" s="22" t="s">
        <v>82</v>
      </c>
      <c r="AE426" s="26" t="s">
        <v>952</v>
      </c>
      <c r="AF426" s="27" t="s">
        <v>953</v>
      </c>
      <c r="AG426" s="70" t="s">
        <v>954</v>
      </c>
      <c r="AH426" s="70" t="s">
        <v>955</v>
      </c>
      <c r="AI426" s="73" t="s">
        <v>956</v>
      </c>
      <c r="AJ426" s="70" t="s">
        <v>957</v>
      </c>
      <c r="AK426" s="74" t="s">
        <v>958</v>
      </c>
      <c r="AL426" s="75" t="s">
        <v>959</v>
      </c>
      <c r="AM426" s="76" t="s">
        <v>960</v>
      </c>
      <c r="AN426" s="50" t="s">
        <v>961</v>
      </c>
      <c r="AO426" s="77" t="s">
        <v>962</v>
      </c>
      <c r="AP426" s="51" t="s">
        <v>963</v>
      </c>
      <c r="AQ426" s="78" t="s">
        <v>964</v>
      </c>
      <c r="AR426" s="74" t="s">
        <v>965</v>
      </c>
      <c r="AS426" s="92" t="s">
        <v>966</v>
      </c>
      <c r="AT426" s="75" t="s">
        <v>967</v>
      </c>
      <c r="AU426" s="79" t="s">
        <v>968</v>
      </c>
      <c r="AV426" s="80" t="s">
        <v>969</v>
      </c>
      <c r="AW426" s="81" t="s">
        <v>970</v>
      </c>
      <c r="AX426" s="82" t="s">
        <v>971</v>
      </c>
      <c r="AY426" s="83" t="s">
        <v>972</v>
      </c>
      <c r="AZ426" s="80" t="s">
        <v>585</v>
      </c>
      <c r="BA426" s="41" t="s">
        <v>105</v>
      </c>
      <c r="BB426" s="591" t="str">
        <f t="shared" si="30"/>
        <v>DEEP</v>
      </c>
      <c r="BC426" s="591" t="str">
        <f t="shared" si="31"/>
        <v>17. Regional Health Clusters-AZHC-CBAHI-HAS-H</v>
      </c>
      <c r="BD426" s="591" t="str">
        <f t="shared" si="32"/>
        <v>AZHC-CBAHI-HAS-H</v>
      </c>
      <c r="BE426" s="591" t="str">
        <f t="shared" si="33"/>
        <v>NONE</v>
      </c>
      <c r="BF426" s="594">
        <f t="shared" si="34"/>
        <v>15</v>
      </c>
    </row>
    <row r="427" spans="1:58" ht="42" customHeight="1" x14ac:dyDescent="0.45">
      <c r="A427" s="42">
        <v>378</v>
      </c>
      <c r="B427" s="412" t="s">
        <v>2270</v>
      </c>
      <c r="C427" s="44" t="s">
        <v>2271</v>
      </c>
      <c r="D427" s="44" t="s">
        <v>2191</v>
      </c>
      <c r="E427" s="412" t="s">
        <v>557</v>
      </c>
      <c r="F427" s="45" t="s">
        <v>58</v>
      </c>
      <c r="G427" s="44" t="s">
        <v>59</v>
      </c>
      <c r="H427" s="44" t="s">
        <v>57</v>
      </c>
      <c r="I427" s="46" t="s">
        <v>61</v>
      </c>
      <c r="J427" s="46" t="s">
        <v>62</v>
      </c>
      <c r="K427" s="44" t="s">
        <v>558</v>
      </c>
      <c r="L427" s="66" t="s">
        <v>559</v>
      </c>
      <c r="M427" s="44" t="s">
        <v>2277</v>
      </c>
      <c r="N427" s="47" t="s">
        <v>66</v>
      </c>
      <c r="O427" s="48" t="s">
        <v>196</v>
      </c>
      <c r="P427" s="44" t="s">
        <v>561</v>
      </c>
      <c r="Q427" s="70" t="s">
        <v>562</v>
      </c>
      <c r="R427" s="70" t="s">
        <v>563</v>
      </c>
      <c r="S427" s="71" t="s">
        <v>564</v>
      </c>
      <c r="T427" s="70" t="s">
        <v>565</v>
      </c>
      <c r="U427" s="25" t="s">
        <v>566</v>
      </c>
      <c r="V427" s="70" t="s">
        <v>282</v>
      </c>
      <c r="W427" s="72" t="s">
        <v>283</v>
      </c>
      <c r="X427" s="70" t="s">
        <v>284</v>
      </c>
      <c r="Y427" s="49" t="s">
        <v>285</v>
      </c>
      <c r="Z427" s="70" t="s">
        <v>286</v>
      </c>
      <c r="AA427" s="71" t="s">
        <v>286</v>
      </c>
      <c r="AB427" s="70" t="s">
        <v>287</v>
      </c>
      <c r="AC427" s="70" t="s">
        <v>288</v>
      </c>
      <c r="AD427" s="49" t="s">
        <v>289</v>
      </c>
      <c r="AE427" s="58" t="s">
        <v>290</v>
      </c>
      <c r="AF427" s="56" t="s">
        <v>291</v>
      </c>
      <c r="AG427" s="70" t="s">
        <v>292</v>
      </c>
      <c r="AH427" s="70" t="s">
        <v>293</v>
      </c>
      <c r="AI427" s="73" t="s">
        <v>215</v>
      </c>
      <c r="AJ427" s="70" t="s">
        <v>216</v>
      </c>
      <c r="AK427" s="74" t="s">
        <v>217</v>
      </c>
      <c r="AL427" s="75" t="s">
        <v>218</v>
      </c>
      <c r="AM427" s="76" t="s">
        <v>219</v>
      </c>
      <c r="AN427" s="50" t="s">
        <v>220</v>
      </c>
      <c r="AO427" s="77" t="s">
        <v>221</v>
      </c>
      <c r="AP427" s="51" t="s">
        <v>138</v>
      </c>
      <c r="AQ427" s="78" t="s">
        <v>139</v>
      </c>
      <c r="AR427" s="74" t="s">
        <v>140</v>
      </c>
      <c r="AS427" s="22" t="s">
        <v>141</v>
      </c>
      <c r="AT427" s="75" t="s">
        <v>142</v>
      </c>
      <c r="AU427" s="79" t="s">
        <v>143</v>
      </c>
      <c r="AV427" s="80" t="s">
        <v>144</v>
      </c>
      <c r="AW427" s="81" t="s">
        <v>145</v>
      </c>
      <c r="AX427" s="82" t="s">
        <v>146</v>
      </c>
      <c r="AY427" s="83" t="s">
        <v>147</v>
      </c>
      <c r="AZ427" s="80" t="s">
        <v>567</v>
      </c>
      <c r="BA427" s="34" t="s">
        <v>320</v>
      </c>
      <c r="BB427" s="591" t="str">
        <f t="shared" si="30"/>
        <v>TEMPLATE</v>
      </c>
      <c r="BC427" s="591" t="str">
        <f t="shared" si="31"/>
        <v>17. Regional Health Clusters-AZHC-NCA-ECC-2:2024</v>
      </c>
      <c r="BD427" s="591" t="str">
        <f t="shared" si="32"/>
        <v>AZHC-NCA-ECC-2-2024</v>
      </c>
      <c r="BE427" s="591" t="str">
        <f t="shared" si="33"/>
        <v>NCA-ECC-2-2024</v>
      </c>
      <c r="BF427" s="594">
        <f t="shared" si="34"/>
        <v>11</v>
      </c>
    </row>
    <row r="428" spans="1:58" ht="42" customHeight="1" x14ac:dyDescent="0.45">
      <c r="A428" s="84">
        <v>379</v>
      </c>
      <c r="B428" s="411" t="s">
        <v>2270</v>
      </c>
      <c r="C428" s="70" t="s">
        <v>2271</v>
      </c>
      <c r="D428" s="70" t="s">
        <v>2191</v>
      </c>
      <c r="E428" s="411" t="s">
        <v>382</v>
      </c>
      <c r="F428" s="72" t="s">
        <v>383</v>
      </c>
      <c r="G428" s="70" t="s">
        <v>384</v>
      </c>
      <c r="H428" s="70" t="s">
        <v>765</v>
      </c>
      <c r="I428" s="71" t="s">
        <v>250</v>
      </c>
      <c r="J428" s="71" t="s">
        <v>386</v>
      </c>
      <c r="K428" s="70" t="s">
        <v>558</v>
      </c>
      <c r="L428" s="66" t="s">
        <v>559</v>
      </c>
      <c r="M428" s="70" t="s">
        <v>2278</v>
      </c>
      <c r="N428" s="86" t="s">
        <v>66</v>
      </c>
      <c r="O428" s="87" t="s">
        <v>540</v>
      </c>
      <c r="P428" s="70" t="s">
        <v>380</v>
      </c>
      <c r="Q428" s="70" t="s">
        <v>390</v>
      </c>
      <c r="R428" s="70" t="s">
        <v>391</v>
      </c>
      <c r="S428" s="71" t="s">
        <v>392</v>
      </c>
      <c r="T428" s="70" t="s">
        <v>393</v>
      </c>
      <c r="U428" s="25" t="s">
        <v>394</v>
      </c>
      <c r="V428" s="70" t="s">
        <v>395</v>
      </c>
      <c r="W428" s="72" t="s">
        <v>396</v>
      </c>
      <c r="X428" s="70" t="s">
        <v>397</v>
      </c>
      <c r="Y428" s="49" t="s">
        <v>398</v>
      </c>
      <c r="Z428" s="70" t="s">
        <v>399</v>
      </c>
      <c r="AA428" s="71" t="s">
        <v>400</v>
      </c>
      <c r="AB428" s="70" t="s">
        <v>401</v>
      </c>
      <c r="AC428" s="70" t="s">
        <v>402</v>
      </c>
      <c r="AD428" s="49" t="s">
        <v>403</v>
      </c>
      <c r="AE428" s="50" t="s">
        <v>404</v>
      </c>
      <c r="AF428" s="60" t="s">
        <v>405</v>
      </c>
      <c r="AG428" s="70" t="s">
        <v>406</v>
      </c>
      <c r="AH428" s="70" t="s">
        <v>407</v>
      </c>
      <c r="AI428" s="73" t="s">
        <v>408</v>
      </c>
      <c r="AJ428" s="70" t="s">
        <v>409</v>
      </c>
      <c r="AK428" s="74" t="s">
        <v>410</v>
      </c>
      <c r="AL428" s="75" t="s">
        <v>411</v>
      </c>
      <c r="AM428" s="76" t="s">
        <v>412</v>
      </c>
      <c r="AN428" s="50" t="s">
        <v>413</v>
      </c>
      <c r="AO428" s="77" t="s">
        <v>414</v>
      </c>
      <c r="AP428" s="51" t="s">
        <v>415</v>
      </c>
      <c r="AQ428" s="78" t="s">
        <v>416</v>
      </c>
      <c r="AR428" s="74" t="s">
        <v>417</v>
      </c>
      <c r="AS428" s="22" t="s">
        <v>418</v>
      </c>
      <c r="AT428" s="75" t="s">
        <v>419</v>
      </c>
      <c r="AU428" s="79" t="s">
        <v>420</v>
      </c>
      <c r="AV428" s="80" t="s">
        <v>421</v>
      </c>
      <c r="AW428" s="81" t="s">
        <v>422</v>
      </c>
      <c r="AX428" s="82" t="s">
        <v>423</v>
      </c>
      <c r="AY428" s="83" t="s">
        <v>424</v>
      </c>
      <c r="AZ428" s="80" t="s">
        <v>425</v>
      </c>
      <c r="BA428" s="34" t="s">
        <v>320</v>
      </c>
      <c r="BB428" s="591" t="str">
        <f t="shared" si="30"/>
        <v>DEEP</v>
      </c>
      <c r="BC428" s="591" t="str">
        <f t="shared" si="31"/>
        <v>17. Regional Health Clusters-AZHC-PDPL-2021</v>
      </c>
      <c r="BD428" s="591" t="str">
        <f t="shared" si="32"/>
        <v>AZHC-PDPL-2021</v>
      </c>
      <c r="BE428" s="591" t="str">
        <f t="shared" si="33"/>
        <v>NONE</v>
      </c>
      <c r="BF428" s="594">
        <f t="shared" si="34"/>
        <v>18</v>
      </c>
    </row>
    <row r="429" spans="1:58" ht="42" customHeight="1" x14ac:dyDescent="0.45">
      <c r="A429" s="42">
        <v>380</v>
      </c>
      <c r="B429" s="412" t="s">
        <v>2270</v>
      </c>
      <c r="C429" s="44" t="s">
        <v>2271</v>
      </c>
      <c r="D429" s="44" t="s">
        <v>2191</v>
      </c>
      <c r="E429" s="412" t="s">
        <v>688</v>
      </c>
      <c r="F429" s="45" t="s">
        <v>689</v>
      </c>
      <c r="G429" s="44" t="s">
        <v>690</v>
      </c>
      <c r="H429" s="44" t="s">
        <v>691</v>
      </c>
      <c r="I429" s="46" t="s">
        <v>151</v>
      </c>
      <c r="J429" s="46" t="s">
        <v>692</v>
      </c>
      <c r="K429" s="44" t="s">
        <v>558</v>
      </c>
      <c r="L429" s="66" t="s">
        <v>559</v>
      </c>
      <c r="M429" s="44" t="s">
        <v>2279</v>
      </c>
      <c r="N429" s="54" t="s">
        <v>154</v>
      </c>
      <c r="O429" s="48" t="s">
        <v>593</v>
      </c>
      <c r="P429" s="44" t="s">
        <v>636</v>
      </c>
      <c r="Q429" s="70" t="s">
        <v>695</v>
      </c>
      <c r="R429" s="70" t="s">
        <v>696</v>
      </c>
      <c r="S429" s="71" t="s">
        <v>697</v>
      </c>
      <c r="T429" s="70" t="s">
        <v>698</v>
      </c>
      <c r="U429" s="25" t="s">
        <v>699</v>
      </c>
      <c r="V429" s="70" t="s">
        <v>700</v>
      </c>
      <c r="W429" s="72" t="s">
        <v>701</v>
      </c>
      <c r="X429" s="70" t="s">
        <v>702</v>
      </c>
      <c r="Y429" s="22" t="s">
        <v>205</v>
      </c>
      <c r="Z429" s="70" t="s">
        <v>703</v>
      </c>
      <c r="AA429" s="71" t="s">
        <v>704</v>
      </c>
      <c r="AB429" s="70" t="s">
        <v>705</v>
      </c>
      <c r="AC429" s="70" t="s">
        <v>706</v>
      </c>
      <c r="AD429" s="49" t="s">
        <v>707</v>
      </c>
      <c r="AE429" s="26" t="s">
        <v>675</v>
      </c>
      <c r="AF429" s="60" t="s">
        <v>708</v>
      </c>
      <c r="AG429" s="70" t="s">
        <v>709</v>
      </c>
      <c r="AH429" s="70" t="s">
        <v>710</v>
      </c>
      <c r="AI429" s="73" t="s">
        <v>711</v>
      </c>
      <c r="AJ429" s="70" t="s">
        <v>712</v>
      </c>
      <c r="AK429" s="74" t="s">
        <v>713</v>
      </c>
      <c r="AL429" s="75" t="s">
        <v>714</v>
      </c>
      <c r="AM429" s="76" t="s">
        <v>715</v>
      </c>
      <c r="AN429" s="50" t="s">
        <v>716</v>
      </c>
      <c r="AO429" s="77" t="s">
        <v>717</v>
      </c>
      <c r="AP429" s="51" t="s">
        <v>718</v>
      </c>
      <c r="AQ429" s="78" t="s">
        <v>719</v>
      </c>
      <c r="AR429" s="74" t="s">
        <v>720</v>
      </c>
      <c r="AS429" s="61" t="s">
        <v>721</v>
      </c>
      <c r="AT429" s="75" t="s">
        <v>722</v>
      </c>
      <c r="AU429" s="79" t="s">
        <v>723</v>
      </c>
      <c r="AV429" s="80" t="s">
        <v>724</v>
      </c>
      <c r="AW429" s="81" t="s">
        <v>725</v>
      </c>
      <c r="AX429" s="82" t="s">
        <v>726</v>
      </c>
      <c r="AY429" s="83" t="s">
        <v>727</v>
      </c>
      <c r="AZ429" s="80" t="s">
        <v>728</v>
      </c>
      <c r="BA429" s="41" t="s">
        <v>105</v>
      </c>
      <c r="BB429" s="591" t="str">
        <f t="shared" si="30"/>
        <v>DEEP</v>
      </c>
      <c r="BC429" s="591" t="str">
        <f t="shared" si="31"/>
        <v>17. Regional Health Clusters-AZHC-MOH-TELE</v>
      </c>
      <c r="BD429" s="591" t="str">
        <f t="shared" si="32"/>
        <v>AZHC-MOH-TELE</v>
      </c>
      <c r="BE429" s="591" t="str">
        <f t="shared" si="33"/>
        <v>NONE</v>
      </c>
      <c r="BF429" s="594">
        <f t="shared" si="34"/>
        <v>16</v>
      </c>
    </row>
    <row r="430" spans="1:58" ht="42" customHeight="1" x14ac:dyDescent="0.45">
      <c r="A430" s="84">
        <v>381</v>
      </c>
      <c r="B430" s="411" t="s">
        <v>2270</v>
      </c>
      <c r="C430" s="70" t="s">
        <v>2271</v>
      </c>
      <c r="D430" s="70" t="s">
        <v>2191</v>
      </c>
      <c r="E430" s="411" t="s">
        <v>1246</v>
      </c>
      <c r="F430" s="72" t="s">
        <v>2205</v>
      </c>
      <c r="G430" s="70" t="s">
        <v>2206</v>
      </c>
      <c r="H430" s="70" t="s">
        <v>633</v>
      </c>
      <c r="I430" s="71" t="s">
        <v>61</v>
      </c>
      <c r="J430" s="71" t="s">
        <v>194</v>
      </c>
      <c r="K430" s="70" t="s">
        <v>558</v>
      </c>
      <c r="L430" s="66" t="s">
        <v>559</v>
      </c>
      <c r="M430" s="70" t="s">
        <v>2280</v>
      </c>
      <c r="N430" s="86" t="s">
        <v>66</v>
      </c>
      <c r="O430" s="87" t="s">
        <v>1250</v>
      </c>
      <c r="P430" s="70" t="s">
        <v>1244</v>
      </c>
      <c r="Q430" s="70" t="s">
        <v>1252</v>
      </c>
      <c r="R430" s="70" t="s">
        <v>1253</v>
      </c>
      <c r="S430" s="71" t="s">
        <v>1254</v>
      </c>
      <c r="T430" s="70" t="s">
        <v>1255</v>
      </c>
      <c r="U430" s="25" t="s">
        <v>1256</v>
      </c>
      <c r="V430" s="70" t="s">
        <v>1257</v>
      </c>
      <c r="W430" s="72" t="s">
        <v>1258</v>
      </c>
      <c r="X430" s="70" t="s">
        <v>1259</v>
      </c>
      <c r="Y430" s="22" t="s">
        <v>205</v>
      </c>
      <c r="Z430" s="70" t="s">
        <v>1260</v>
      </c>
      <c r="AA430" s="71" t="s">
        <v>1261</v>
      </c>
      <c r="AB430" s="70" t="s">
        <v>1262</v>
      </c>
      <c r="AC430" s="70" t="s">
        <v>1263</v>
      </c>
      <c r="AD430" s="49" t="s">
        <v>650</v>
      </c>
      <c r="AE430" s="37" t="s">
        <v>1264</v>
      </c>
      <c r="AF430" s="27" t="s">
        <v>1265</v>
      </c>
      <c r="AG430" s="70" t="s">
        <v>1266</v>
      </c>
      <c r="AH430" s="70" t="s">
        <v>1267</v>
      </c>
      <c r="AI430" s="73" t="s">
        <v>215</v>
      </c>
      <c r="AJ430" s="70" t="s">
        <v>216</v>
      </c>
      <c r="AK430" s="74" t="s">
        <v>217</v>
      </c>
      <c r="AL430" s="75" t="s">
        <v>218</v>
      </c>
      <c r="AM430" s="76" t="s">
        <v>219</v>
      </c>
      <c r="AN430" s="50" t="s">
        <v>220</v>
      </c>
      <c r="AO430" s="77" t="s">
        <v>221</v>
      </c>
      <c r="AP430" s="51" t="s">
        <v>138</v>
      </c>
      <c r="AQ430" s="78" t="s">
        <v>139</v>
      </c>
      <c r="AR430" s="74" t="s">
        <v>140</v>
      </c>
      <c r="AS430" s="22" t="s">
        <v>141</v>
      </c>
      <c r="AT430" s="75" t="s">
        <v>142</v>
      </c>
      <c r="AU430" s="79" t="s">
        <v>143</v>
      </c>
      <c r="AV430" s="80" t="s">
        <v>144</v>
      </c>
      <c r="AW430" s="81" t="s">
        <v>145</v>
      </c>
      <c r="AX430" s="82" t="s">
        <v>146</v>
      </c>
      <c r="AY430" s="83" t="s">
        <v>147</v>
      </c>
      <c r="AZ430" s="80" t="s">
        <v>585</v>
      </c>
      <c r="BA430" s="41" t="s">
        <v>105</v>
      </c>
      <c r="BB430" s="591" t="str">
        <f t="shared" si="30"/>
        <v>TEMPLATE</v>
      </c>
      <c r="BC430" s="591" t="str">
        <f t="shared" si="31"/>
        <v>17. Regional Health Clusters-AZHC-NHIC-NABIDH</v>
      </c>
      <c r="BD430" s="591" t="str">
        <f t="shared" si="32"/>
        <v>AZHC-NHIC-NABIDH</v>
      </c>
      <c r="BE430" s="591" t="str">
        <f t="shared" si="33"/>
        <v>NONE</v>
      </c>
      <c r="BF430" s="594">
        <f t="shared" si="34"/>
        <v>11</v>
      </c>
    </row>
    <row r="431" spans="1:58" ht="42" customHeight="1" x14ac:dyDescent="0.45">
      <c r="A431" s="42">
        <v>382</v>
      </c>
      <c r="B431" s="412" t="s">
        <v>2270</v>
      </c>
      <c r="C431" s="44" t="s">
        <v>2271</v>
      </c>
      <c r="D431" s="44" t="s">
        <v>2191</v>
      </c>
      <c r="E431" s="412" t="s">
        <v>770</v>
      </c>
      <c r="F431" s="45" t="s">
        <v>107</v>
      </c>
      <c r="G431" s="44" t="s">
        <v>108</v>
      </c>
      <c r="H431" s="44" t="s">
        <v>106</v>
      </c>
      <c r="I431" s="46" t="s">
        <v>109</v>
      </c>
      <c r="J431" s="46" t="s">
        <v>110</v>
      </c>
      <c r="K431" s="44" t="s">
        <v>558</v>
      </c>
      <c r="L431" s="66" t="s">
        <v>559</v>
      </c>
      <c r="M431" s="44" t="s">
        <v>2281</v>
      </c>
      <c r="N431" s="47" t="s">
        <v>66</v>
      </c>
      <c r="O431" s="48" t="s">
        <v>196</v>
      </c>
      <c r="P431" s="44" t="s">
        <v>2209</v>
      </c>
      <c r="Q431" s="70" t="s">
        <v>562</v>
      </c>
      <c r="R431" s="70" t="s">
        <v>563</v>
      </c>
      <c r="S431" s="71" t="s">
        <v>564</v>
      </c>
      <c r="T431" s="70" t="s">
        <v>565</v>
      </c>
      <c r="U431" s="25" t="s">
        <v>566</v>
      </c>
      <c r="V431" s="70" t="s">
        <v>282</v>
      </c>
      <c r="W431" s="72" t="s">
        <v>283</v>
      </c>
      <c r="X431" s="70" t="s">
        <v>284</v>
      </c>
      <c r="Y431" s="49" t="s">
        <v>285</v>
      </c>
      <c r="Z431" s="70" t="s">
        <v>286</v>
      </c>
      <c r="AA431" s="71" t="s">
        <v>286</v>
      </c>
      <c r="AB431" s="70" t="s">
        <v>287</v>
      </c>
      <c r="AC431" s="70" t="s">
        <v>288</v>
      </c>
      <c r="AD431" s="49" t="s">
        <v>289</v>
      </c>
      <c r="AE431" s="58" t="s">
        <v>290</v>
      </c>
      <c r="AF431" s="56" t="s">
        <v>291</v>
      </c>
      <c r="AG431" s="70" t="s">
        <v>292</v>
      </c>
      <c r="AH431" s="70" t="s">
        <v>293</v>
      </c>
      <c r="AI431" s="73" t="s">
        <v>215</v>
      </c>
      <c r="AJ431" s="70" t="s">
        <v>216</v>
      </c>
      <c r="AK431" s="74" t="s">
        <v>217</v>
      </c>
      <c r="AL431" s="75" t="s">
        <v>218</v>
      </c>
      <c r="AM431" s="76" t="s">
        <v>219</v>
      </c>
      <c r="AN431" s="50" t="s">
        <v>220</v>
      </c>
      <c r="AO431" s="77" t="s">
        <v>221</v>
      </c>
      <c r="AP431" s="53" t="s">
        <v>773</v>
      </c>
      <c r="AQ431" s="78" t="s">
        <v>774</v>
      </c>
      <c r="AR431" s="74" t="s">
        <v>775</v>
      </c>
      <c r="AS431" s="22" t="s">
        <v>776</v>
      </c>
      <c r="AT431" s="75" t="s">
        <v>777</v>
      </c>
      <c r="AU431" s="79" t="s">
        <v>778</v>
      </c>
      <c r="AV431" s="80" t="s">
        <v>779</v>
      </c>
      <c r="AW431" s="81" t="s">
        <v>780</v>
      </c>
      <c r="AX431" s="82" t="s">
        <v>781</v>
      </c>
      <c r="AY431" s="83" t="s">
        <v>782</v>
      </c>
      <c r="AZ431" s="80" t="s">
        <v>104</v>
      </c>
      <c r="BA431" s="41" t="s">
        <v>105</v>
      </c>
      <c r="BB431" s="591" t="str">
        <f t="shared" si="30"/>
        <v>TEMPLATE</v>
      </c>
      <c r="BC431" s="591" t="str">
        <f t="shared" si="31"/>
        <v>17. Regional Health Clusters-AZHC-NCA-OTCC</v>
      </c>
      <c r="BD431" s="591" t="str">
        <f t="shared" si="32"/>
        <v>AZHC-NCA-OTCC</v>
      </c>
      <c r="BE431" s="591" t="str">
        <f t="shared" si="33"/>
        <v>NCA-ECC-2-2024</v>
      </c>
      <c r="BF431" s="594">
        <f t="shared" si="34"/>
        <v>11</v>
      </c>
    </row>
    <row r="432" spans="1:58" ht="42" customHeight="1" x14ac:dyDescent="0.45">
      <c r="A432" s="84">
        <v>383</v>
      </c>
      <c r="B432" s="411" t="s">
        <v>2282</v>
      </c>
      <c r="C432" s="70" t="s">
        <v>2283</v>
      </c>
      <c r="D432" s="70" t="s">
        <v>2191</v>
      </c>
      <c r="E432" s="411" t="s">
        <v>586</v>
      </c>
      <c r="F432" s="72" t="s">
        <v>587</v>
      </c>
      <c r="G432" s="70" t="s">
        <v>588</v>
      </c>
      <c r="H432" s="70" t="s">
        <v>589</v>
      </c>
      <c r="I432" s="71" t="s">
        <v>590</v>
      </c>
      <c r="J432" s="71" t="s">
        <v>591</v>
      </c>
      <c r="K432" s="70" t="s">
        <v>558</v>
      </c>
      <c r="L432" s="66" t="s">
        <v>559</v>
      </c>
      <c r="M432" s="70" t="s">
        <v>2284</v>
      </c>
      <c r="N432" s="86" t="s">
        <v>66</v>
      </c>
      <c r="O432" s="87" t="s">
        <v>593</v>
      </c>
      <c r="P432" s="70" t="s">
        <v>661</v>
      </c>
      <c r="Q432" s="70" t="s">
        <v>595</v>
      </c>
      <c r="R432" s="70" t="s">
        <v>596</v>
      </c>
      <c r="S432" s="71" t="s">
        <v>597</v>
      </c>
      <c r="T432" s="70" t="s">
        <v>598</v>
      </c>
      <c r="U432" s="25" t="s">
        <v>599</v>
      </c>
      <c r="V432" s="70" t="s">
        <v>600</v>
      </c>
      <c r="W432" s="72" t="s">
        <v>601</v>
      </c>
      <c r="X432" s="70" t="s">
        <v>602</v>
      </c>
      <c r="Y432" s="49" t="s">
        <v>603</v>
      </c>
      <c r="Z432" s="70" t="s">
        <v>604</v>
      </c>
      <c r="AA432" s="71" t="s">
        <v>605</v>
      </c>
      <c r="AB432" s="70" t="s">
        <v>606</v>
      </c>
      <c r="AC432" s="70" t="s">
        <v>607</v>
      </c>
      <c r="AD432" s="49" t="s">
        <v>608</v>
      </c>
      <c r="AE432" s="26" t="s">
        <v>609</v>
      </c>
      <c r="AF432" s="27" t="s">
        <v>610</v>
      </c>
      <c r="AG432" s="70" t="s">
        <v>611</v>
      </c>
      <c r="AH432" s="70" t="s">
        <v>612</v>
      </c>
      <c r="AI432" s="73" t="s">
        <v>613</v>
      </c>
      <c r="AJ432" s="70" t="s">
        <v>614</v>
      </c>
      <c r="AK432" s="74" t="s">
        <v>615</v>
      </c>
      <c r="AL432" s="75" t="s">
        <v>616</v>
      </c>
      <c r="AM432" s="76" t="s">
        <v>617</v>
      </c>
      <c r="AN432" s="50" t="s">
        <v>618</v>
      </c>
      <c r="AO432" s="77" t="s">
        <v>619</v>
      </c>
      <c r="AP432" s="34" t="s">
        <v>620</v>
      </c>
      <c r="AQ432" s="78" t="s">
        <v>621</v>
      </c>
      <c r="AR432" s="74" t="s">
        <v>622</v>
      </c>
      <c r="AS432" s="61" t="s">
        <v>623</v>
      </c>
      <c r="AT432" s="75" t="s">
        <v>624</v>
      </c>
      <c r="AU432" s="79" t="s">
        <v>625</v>
      </c>
      <c r="AV432" s="80" t="s">
        <v>626</v>
      </c>
      <c r="AW432" s="81" t="s">
        <v>627</v>
      </c>
      <c r="AX432" s="82" t="s">
        <v>628</v>
      </c>
      <c r="AY432" s="83" t="s">
        <v>629</v>
      </c>
      <c r="AZ432" s="80" t="s">
        <v>585</v>
      </c>
      <c r="BA432" s="41" t="s">
        <v>105</v>
      </c>
      <c r="BB432" s="591" t="str">
        <f t="shared" si="30"/>
        <v>DEEP</v>
      </c>
      <c r="BC432" s="591" t="str">
        <f t="shared" si="31"/>
        <v>17. Regional Health Clusters-JZHC-MOH-HIS</v>
      </c>
      <c r="BD432" s="591" t="str">
        <f t="shared" si="32"/>
        <v>JZHC-MOH-HIS</v>
      </c>
      <c r="BE432" s="591" t="str">
        <f t="shared" si="33"/>
        <v>NONE</v>
      </c>
      <c r="BF432" s="594">
        <f t="shared" si="34"/>
        <v>18</v>
      </c>
    </row>
    <row r="433" spans="1:58" ht="42" customHeight="1" x14ac:dyDescent="0.45">
      <c r="A433" s="42">
        <v>384</v>
      </c>
      <c r="B433" s="412" t="s">
        <v>2282</v>
      </c>
      <c r="C433" s="44" t="s">
        <v>2283</v>
      </c>
      <c r="D433" s="44" t="s">
        <v>2191</v>
      </c>
      <c r="E433" s="412" t="s">
        <v>630</v>
      </c>
      <c r="F433" s="45" t="s">
        <v>2193</v>
      </c>
      <c r="G433" s="44" t="s">
        <v>2194</v>
      </c>
      <c r="H433" s="44" t="s">
        <v>633</v>
      </c>
      <c r="I433" s="46" t="s">
        <v>590</v>
      </c>
      <c r="J433" s="46" t="s">
        <v>634</v>
      </c>
      <c r="K433" s="44" t="s">
        <v>558</v>
      </c>
      <c r="L433" s="66" t="s">
        <v>559</v>
      </c>
      <c r="M433" s="44" t="s">
        <v>2285</v>
      </c>
      <c r="N433" s="47" t="s">
        <v>66</v>
      </c>
      <c r="O433" s="48" t="s">
        <v>593</v>
      </c>
      <c r="P433" s="44" t="s">
        <v>2196</v>
      </c>
      <c r="Q433" s="70" t="s">
        <v>637</v>
      </c>
      <c r="R433" s="70" t="s">
        <v>638</v>
      </c>
      <c r="S433" s="71" t="s">
        <v>639</v>
      </c>
      <c r="T433" s="70" t="s">
        <v>640</v>
      </c>
      <c r="U433" s="25" t="s">
        <v>641</v>
      </c>
      <c r="V433" s="70" t="s">
        <v>642</v>
      </c>
      <c r="W433" s="72" t="s">
        <v>643</v>
      </c>
      <c r="X433" s="70" t="s">
        <v>644</v>
      </c>
      <c r="Y433" s="49" t="s">
        <v>645</v>
      </c>
      <c r="Z433" s="70" t="s">
        <v>646</v>
      </c>
      <c r="AA433" s="71" t="s">
        <v>647</v>
      </c>
      <c r="AB433" s="70" t="s">
        <v>648</v>
      </c>
      <c r="AC433" s="70" t="s">
        <v>649</v>
      </c>
      <c r="AD433" s="49" t="s">
        <v>650</v>
      </c>
      <c r="AE433" s="26" t="s">
        <v>651</v>
      </c>
      <c r="AF433" s="27" t="s">
        <v>652</v>
      </c>
      <c r="AG433" s="70" t="s">
        <v>653</v>
      </c>
      <c r="AH433" s="70" t="s">
        <v>654</v>
      </c>
      <c r="AI433" s="73" t="s">
        <v>215</v>
      </c>
      <c r="AJ433" s="70" t="s">
        <v>216</v>
      </c>
      <c r="AK433" s="74" t="s">
        <v>217</v>
      </c>
      <c r="AL433" s="75" t="s">
        <v>218</v>
      </c>
      <c r="AM433" s="76" t="s">
        <v>219</v>
      </c>
      <c r="AN433" s="50" t="s">
        <v>220</v>
      </c>
      <c r="AO433" s="77" t="s">
        <v>221</v>
      </c>
      <c r="AP433" s="51" t="s">
        <v>138</v>
      </c>
      <c r="AQ433" s="78" t="s">
        <v>139</v>
      </c>
      <c r="AR433" s="74" t="s">
        <v>140</v>
      </c>
      <c r="AS433" s="22" t="s">
        <v>141</v>
      </c>
      <c r="AT433" s="75" t="s">
        <v>142</v>
      </c>
      <c r="AU433" s="79" t="s">
        <v>143</v>
      </c>
      <c r="AV433" s="80" t="s">
        <v>144</v>
      </c>
      <c r="AW433" s="81" t="s">
        <v>145</v>
      </c>
      <c r="AX433" s="82" t="s">
        <v>146</v>
      </c>
      <c r="AY433" s="83" t="s">
        <v>147</v>
      </c>
      <c r="AZ433" s="80" t="s">
        <v>585</v>
      </c>
      <c r="BA433" s="41" t="s">
        <v>105</v>
      </c>
      <c r="BB433" s="591" t="str">
        <f t="shared" si="30"/>
        <v>TEMPLATE</v>
      </c>
      <c r="BC433" s="591" t="str">
        <f t="shared" si="31"/>
        <v>17. Regional Health Clusters-JZHC-MOH-EMR-NABIDH</v>
      </c>
      <c r="BD433" s="591" t="str">
        <f t="shared" si="32"/>
        <v>JZHC-MOH-EMR-NABIDH</v>
      </c>
      <c r="BE433" s="591" t="str">
        <f t="shared" si="33"/>
        <v>NONE</v>
      </c>
      <c r="BF433" s="594">
        <f t="shared" si="34"/>
        <v>11</v>
      </c>
    </row>
    <row r="434" spans="1:58" ht="42" customHeight="1" x14ac:dyDescent="0.45">
      <c r="A434" s="84">
        <v>385</v>
      </c>
      <c r="B434" s="411" t="s">
        <v>2282</v>
      </c>
      <c r="C434" s="70" t="s">
        <v>2283</v>
      </c>
      <c r="D434" s="70" t="s">
        <v>2191</v>
      </c>
      <c r="E434" s="411" t="s">
        <v>655</v>
      </c>
      <c r="F434" s="72" t="s">
        <v>656</v>
      </c>
      <c r="G434" s="70" t="s">
        <v>657</v>
      </c>
      <c r="H434" s="70" t="s">
        <v>589</v>
      </c>
      <c r="I434" s="71" t="s">
        <v>658</v>
      </c>
      <c r="J434" s="71" t="s">
        <v>659</v>
      </c>
      <c r="K434" s="70" t="s">
        <v>558</v>
      </c>
      <c r="L434" s="66" t="s">
        <v>559</v>
      </c>
      <c r="M434" s="70" t="s">
        <v>2286</v>
      </c>
      <c r="N434" s="86" t="s">
        <v>66</v>
      </c>
      <c r="O434" s="87" t="s">
        <v>593</v>
      </c>
      <c r="P434" s="70" t="s">
        <v>661</v>
      </c>
      <c r="Q434" s="70" t="s">
        <v>662</v>
      </c>
      <c r="R434" s="70" t="s">
        <v>663</v>
      </c>
      <c r="S434" s="71" t="s">
        <v>664</v>
      </c>
      <c r="T434" s="70" t="s">
        <v>665</v>
      </c>
      <c r="U434" s="25" t="s">
        <v>666</v>
      </c>
      <c r="V434" s="70" t="s">
        <v>667</v>
      </c>
      <c r="W434" s="72" t="s">
        <v>668</v>
      </c>
      <c r="X434" s="70" t="s">
        <v>669</v>
      </c>
      <c r="Y434" s="22" t="s">
        <v>205</v>
      </c>
      <c r="Z434" s="70" t="s">
        <v>670</v>
      </c>
      <c r="AA434" s="71" t="s">
        <v>671</v>
      </c>
      <c r="AB434" s="70" t="s">
        <v>672</v>
      </c>
      <c r="AC434" s="70" t="s">
        <v>673</v>
      </c>
      <c r="AD434" s="49" t="s">
        <v>674</v>
      </c>
      <c r="AE434" s="26" t="s">
        <v>675</v>
      </c>
      <c r="AF434" s="27" t="s">
        <v>676</v>
      </c>
      <c r="AG434" s="70" t="s">
        <v>677</v>
      </c>
      <c r="AH434" s="70" t="s">
        <v>678</v>
      </c>
      <c r="AI434" s="73" t="s">
        <v>215</v>
      </c>
      <c r="AJ434" s="70" t="s">
        <v>216</v>
      </c>
      <c r="AK434" s="74" t="s">
        <v>217</v>
      </c>
      <c r="AL434" s="75" t="s">
        <v>218</v>
      </c>
      <c r="AM434" s="76" t="s">
        <v>219</v>
      </c>
      <c r="AN434" s="50" t="s">
        <v>220</v>
      </c>
      <c r="AO434" s="77" t="s">
        <v>221</v>
      </c>
      <c r="AP434" s="51" t="s">
        <v>138</v>
      </c>
      <c r="AQ434" s="78" t="s">
        <v>139</v>
      </c>
      <c r="AR434" s="74" t="s">
        <v>140</v>
      </c>
      <c r="AS434" s="22" t="s">
        <v>141</v>
      </c>
      <c r="AT434" s="75" t="s">
        <v>142</v>
      </c>
      <c r="AU434" s="79" t="s">
        <v>143</v>
      </c>
      <c r="AV434" s="80" t="s">
        <v>144</v>
      </c>
      <c r="AW434" s="81" t="s">
        <v>145</v>
      </c>
      <c r="AX434" s="82" t="s">
        <v>146</v>
      </c>
      <c r="AY434" s="83" t="s">
        <v>147</v>
      </c>
      <c r="AZ434" s="80" t="s">
        <v>585</v>
      </c>
      <c r="BA434" s="41" t="s">
        <v>105</v>
      </c>
      <c r="BB434" s="591" t="str">
        <f t="shared" si="30"/>
        <v>TEMPLATE</v>
      </c>
      <c r="BC434" s="591" t="str">
        <f t="shared" si="31"/>
        <v>17. Regional Health Clusters-JZHC-MOH-PS</v>
      </c>
      <c r="BD434" s="591" t="str">
        <f t="shared" si="32"/>
        <v>JZHC-MOH-PS</v>
      </c>
      <c r="BE434" s="591" t="str">
        <f t="shared" si="33"/>
        <v>NONE</v>
      </c>
      <c r="BF434" s="594">
        <f t="shared" si="34"/>
        <v>11</v>
      </c>
    </row>
    <row r="435" spans="1:58" ht="42" customHeight="1" x14ac:dyDescent="0.45">
      <c r="A435" s="42">
        <v>386</v>
      </c>
      <c r="B435" s="412" t="s">
        <v>2282</v>
      </c>
      <c r="C435" s="44" t="s">
        <v>2283</v>
      </c>
      <c r="D435" s="44" t="s">
        <v>2191</v>
      </c>
      <c r="E435" s="412" t="s">
        <v>679</v>
      </c>
      <c r="F435" s="45" t="s">
        <v>680</v>
      </c>
      <c r="G435" s="44" t="s">
        <v>681</v>
      </c>
      <c r="H435" s="44" t="s">
        <v>225</v>
      </c>
      <c r="I435" s="46" t="s">
        <v>682</v>
      </c>
      <c r="J435" s="46" t="s">
        <v>386</v>
      </c>
      <c r="K435" s="44" t="s">
        <v>558</v>
      </c>
      <c r="L435" s="66" t="s">
        <v>559</v>
      </c>
      <c r="M435" s="44" t="s">
        <v>2287</v>
      </c>
      <c r="N435" s="54" t="s">
        <v>154</v>
      </c>
      <c r="O435" s="48" t="s">
        <v>593</v>
      </c>
      <c r="P435" s="44" t="s">
        <v>661</v>
      </c>
      <c r="Q435" s="70" t="s">
        <v>683</v>
      </c>
      <c r="R435" s="70" t="s">
        <v>684</v>
      </c>
      <c r="S435" s="71" t="s">
        <v>685</v>
      </c>
      <c r="T435" s="70" t="s">
        <v>686</v>
      </c>
      <c r="U435" s="25" t="s">
        <v>687</v>
      </c>
      <c r="V435" s="70" t="s">
        <v>282</v>
      </c>
      <c r="W435" s="72" t="s">
        <v>283</v>
      </c>
      <c r="X435" s="70" t="s">
        <v>284</v>
      </c>
      <c r="Y435" s="49" t="s">
        <v>285</v>
      </c>
      <c r="Z435" s="70" t="s">
        <v>286</v>
      </c>
      <c r="AA435" s="71" t="s">
        <v>286</v>
      </c>
      <c r="AB435" s="70" t="s">
        <v>287</v>
      </c>
      <c r="AC435" s="70" t="s">
        <v>288</v>
      </c>
      <c r="AD435" s="49" t="s">
        <v>289</v>
      </c>
      <c r="AE435" s="58" t="s">
        <v>290</v>
      </c>
      <c r="AF435" s="56" t="s">
        <v>291</v>
      </c>
      <c r="AG435" s="70" t="s">
        <v>292</v>
      </c>
      <c r="AH435" s="70" t="s">
        <v>293</v>
      </c>
      <c r="AI435" s="73" t="s">
        <v>215</v>
      </c>
      <c r="AJ435" s="70" t="s">
        <v>216</v>
      </c>
      <c r="AK435" s="74" t="s">
        <v>217</v>
      </c>
      <c r="AL435" s="75" t="s">
        <v>218</v>
      </c>
      <c r="AM435" s="76" t="s">
        <v>219</v>
      </c>
      <c r="AN435" s="50" t="s">
        <v>220</v>
      </c>
      <c r="AO435" s="77" t="s">
        <v>221</v>
      </c>
      <c r="AP435" s="51" t="s">
        <v>138</v>
      </c>
      <c r="AQ435" s="78" t="s">
        <v>139</v>
      </c>
      <c r="AR435" s="74" t="s">
        <v>140</v>
      </c>
      <c r="AS435" s="22" t="s">
        <v>141</v>
      </c>
      <c r="AT435" s="75" t="s">
        <v>142</v>
      </c>
      <c r="AU435" s="79" t="s">
        <v>143</v>
      </c>
      <c r="AV435" s="80" t="s">
        <v>144</v>
      </c>
      <c r="AW435" s="81" t="s">
        <v>145</v>
      </c>
      <c r="AX435" s="82" t="s">
        <v>146</v>
      </c>
      <c r="AY435" s="83" t="s">
        <v>147</v>
      </c>
      <c r="AZ435" s="80" t="s">
        <v>585</v>
      </c>
      <c r="BA435" s="41" t="s">
        <v>105</v>
      </c>
      <c r="BB435" s="591" t="str">
        <f t="shared" si="30"/>
        <v>TEMPLATE</v>
      </c>
      <c r="BC435" s="591" t="str">
        <f t="shared" si="31"/>
        <v>17. Regional Health Clusters-JZHC-MOH-PR</v>
      </c>
      <c r="BD435" s="591" t="str">
        <f t="shared" si="32"/>
        <v>JZHC-MOH-PR</v>
      </c>
      <c r="BE435" s="591" t="str">
        <f t="shared" si="33"/>
        <v>NONE</v>
      </c>
      <c r="BF435" s="594">
        <f t="shared" si="34"/>
        <v>9</v>
      </c>
    </row>
    <row r="436" spans="1:58" ht="42" customHeight="1" x14ac:dyDescent="0.45">
      <c r="A436" s="84">
        <v>387</v>
      </c>
      <c r="B436" s="411" t="s">
        <v>2282</v>
      </c>
      <c r="C436" s="70" t="s">
        <v>2283</v>
      </c>
      <c r="D436" s="70" t="s">
        <v>2191</v>
      </c>
      <c r="E436" s="411" t="s">
        <v>930</v>
      </c>
      <c r="F436" s="72" t="s">
        <v>2199</v>
      </c>
      <c r="G436" s="70" t="s">
        <v>932</v>
      </c>
      <c r="H436" s="70" t="s">
        <v>2200</v>
      </c>
      <c r="I436" s="71" t="s">
        <v>924</v>
      </c>
      <c r="J436" s="71" t="s">
        <v>934</v>
      </c>
      <c r="K436" s="70" t="s">
        <v>558</v>
      </c>
      <c r="L436" s="92" t="s">
        <v>935</v>
      </c>
      <c r="M436" s="70" t="s">
        <v>2288</v>
      </c>
      <c r="N436" s="86" t="s">
        <v>66</v>
      </c>
      <c r="O436" s="87" t="s">
        <v>937</v>
      </c>
      <c r="P436" s="70" t="s">
        <v>979</v>
      </c>
      <c r="Q436" s="70" t="s">
        <v>939</v>
      </c>
      <c r="R436" s="70" t="s">
        <v>940</v>
      </c>
      <c r="S436" s="71" t="s">
        <v>941</v>
      </c>
      <c r="T436" s="70" t="s">
        <v>942</v>
      </c>
      <c r="U436" s="25" t="s">
        <v>943</v>
      </c>
      <c r="V436" s="70" t="s">
        <v>944</v>
      </c>
      <c r="W436" s="72" t="s">
        <v>945</v>
      </c>
      <c r="X436" s="70" t="s">
        <v>946</v>
      </c>
      <c r="Y436" s="49" t="s">
        <v>947</v>
      </c>
      <c r="Z436" s="70" t="s">
        <v>948</v>
      </c>
      <c r="AA436" s="71" t="s">
        <v>949</v>
      </c>
      <c r="AB436" s="70" t="s">
        <v>950</v>
      </c>
      <c r="AC436" s="70" t="s">
        <v>951</v>
      </c>
      <c r="AD436" s="22" t="s">
        <v>82</v>
      </c>
      <c r="AE436" s="26" t="s">
        <v>952</v>
      </c>
      <c r="AF436" s="27" t="s">
        <v>953</v>
      </c>
      <c r="AG436" s="70" t="s">
        <v>954</v>
      </c>
      <c r="AH436" s="70" t="s">
        <v>955</v>
      </c>
      <c r="AI436" s="73" t="s">
        <v>956</v>
      </c>
      <c r="AJ436" s="70" t="s">
        <v>957</v>
      </c>
      <c r="AK436" s="74" t="s">
        <v>958</v>
      </c>
      <c r="AL436" s="75" t="s">
        <v>959</v>
      </c>
      <c r="AM436" s="76" t="s">
        <v>960</v>
      </c>
      <c r="AN436" s="50" t="s">
        <v>961</v>
      </c>
      <c r="AO436" s="77" t="s">
        <v>962</v>
      </c>
      <c r="AP436" s="51" t="s">
        <v>963</v>
      </c>
      <c r="AQ436" s="78" t="s">
        <v>964</v>
      </c>
      <c r="AR436" s="74" t="s">
        <v>965</v>
      </c>
      <c r="AS436" s="92" t="s">
        <v>966</v>
      </c>
      <c r="AT436" s="75" t="s">
        <v>967</v>
      </c>
      <c r="AU436" s="79" t="s">
        <v>968</v>
      </c>
      <c r="AV436" s="80" t="s">
        <v>969</v>
      </c>
      <c r="AW436" s="81" t="s">
        <v>970</v>
      </c>
      <c r="AX436" s="82" t="s">
        <v>971</v>
      </c>
      <c r="AY436" s="83" t="s">
        <v>972</v>
      </c>
      <c r="AZ436" s="80" t="s">
        <v>585</v>
      </c>
      <c r="BA436" s="41" t="s">
        <v>105</v>
      </c>
      <c r="BB436" s="591" t="str">
        <f t="shared" si="30"/>
        <v>DEEP</v>
      </c>
      <c r="BC436" s="591" t="str">
        <f t="shared" si="31"/>
        <v>17. Regional Health Clusters-JZHC-CBAHI-HAS-H</v>
      </c>
      <c r="BD436" s="591" t="str">
        <f t="shared" si="32"/>
        <v>JZHC-CBAHI-HAS-H</v>
      </c>
      <c r="BE436" s="591" t="str">
        <f t="shared" si="33"/>
        <v>NONE</v>
      </c>
      <c r="BF436" s="594">
        <f t="shared" si="34"/>
        <v>15</v>
      </c>
    </row>
    <row r="437" spans="1:58" ht="42" customHeight="1" x14ac:dyDescent="0.45">
      <c r="A437" s="42">
        <v>388</v>
      </c>
      <c r="B437" s="412" t="s">
        <v>2282</v>
      </c>
      <c r="C437" s="44" t="s">
        <v>2283</v>
      </c>
      <c r="D437" s="44" t="s">
        <v>2191</v>
      </c>
      <c r="E437" s="412" t="s">
        <v>557</v>
      </c>
      <c r="F437" s="45" t="s">
        <v>58</v>
      </c>
      <c r="G437" s="44" t="s">
        <v>59</v>
      </c>
      <c r="H437" s="44" t="s">
        <v>57</v>
      </c>
      <c r="I437" s="46" t="s">
        <v>61</v>
      </c>
      <c r="J437" s="46" t="s">
        <v>62</v>
      </c>
      <c r="K437" s="44" t="s">
        <v>558</v>
      </c>
      <c r="L437" s="66" t="s">
        <v>559</v>
      </c>
      <c r="M437" s="44" t="s">
        <v>2289</v>
      </c>
      <c r="N437" s="47" t="s">
        <v>66</v>
      </c>
      <c r="O437" s="48" t="s">
        <v>196</v>
      </c>
      <c r="P437" s="44" t="s">
        <v>561</v>
      </c>
      <c r="Q437" s="70" t="s">
        <v>562</v>
      </c>
      <c r="R437" s="70" t="s">
        <v>563</v>
      </c>
      <c r="S437" s="71" t="s">
        <v>564</v>
      </c>
      <c r="T437" s="70" t="s">
        <v>565</v>
      </c>
      <c r="U437" s="25" t="s">
        <v>566</v>
      </c>
      <c r="V437" s="70" t="s">
        <v>282</v>
      </c>
      <c r="W437" s="72" t="s">
        <v>283</v>
      </c>
      <c r="X437" s="70" t="s">
        <v>284</v>
      </c>
      <c r="Y437" s="49" t="s">
        <v>285</v>
      </c>
      <c r="Z437" s="70" t="s">
        <v>286</v>
      </c>
      <c r="AA437" s="71" t="s">
        <v>286</v>
      </c>
      <c r="AB437" s="70" t="s">
        <v>287</v>
      </c>
      <c r="AC437" s="70" t="s">
        <v>288</v>
      </c>
      <c r="AD437" s="49" t="s">
        <v>289</v>
      </c>
      <c r="AE437" s="58" t="s">
        <v>290</v>
      </c>
      <c r="AF437" s="56" t="s">
        <v>291</v>
      </c>
      <c r="AG437" s="70" t="s">
        <v>292</v>
      </c>
      <c r="AH437" s="70" t="s">
        <v>293</v>
      </c>
      <c r="AI437" s="73" t="s">
        <v>215</v>
      </c>
      <c r="AJ437" s="70" t="s">
        <v>216</v>
      </c>
      <c r="AK437" s="74" t="s">
        <v>217</v>
      </c>
      <c r="AL437" s="75" t="s">
        <v>218</v>
      </c>
      <c r="AM437" s="76" t="s">
        <v>219</v>
      </c>
      <c r="AN437" s="50" t="s">
        <v>220</v>
      </c>
      <c r="AO437" s="77" t="s">
        <v>221</v>
      </c>
      <c r="AP437" s="51" t="s">
        <v>138</v>
      </c>
      <c r="AQ437" s="78" t="s">
        <v>139</v>
      </c>
      <c r="AR437" s="74" t="s">
        <v>140</v>
      </c>
      <c r="AS437" s="22" t="s">
        <v>141</v>
      </c>
      <c r="AT437" s="75" t="s">
        <v>142</v>
      </c>
      <c r="AU437" s="79" t="s">
        <v>143</v>
      </c>
      <c r="AV437" s="80" t="s">
        <v>144</v>
      </c>
      <c r="AW437" s="81" t="s">
        <v>145</v>
      </c>
      <c r="AX437" s="82" t="s">
        <v>146</v>
      </c>
      <c r="AY437" s="83" t="s">
        <v>147</v>
      </c>
      <c r="AZ437" s="80" t="s">
        <v>567</v>
      </c>
      <c r="BA437" s="34" t="s">
        <v>320</v>
      </c>
      <c r="BB437" s="591" t="str">
        <f t="shared" si="30"/>
        <v>TEMPLATE</v>
      </c>
      <c r="BC437" s="591" t="str">
        <f t="shared" si="31"/>
        <v>17. Regional Health Clusters-JZHC-NCA-ECC-2:2024</v>
      </c>
      <c r="BD437" s="591" t="str">
        <f t="shared" si="32"/>
        <v>JZHC-NCA-ECC-2-2024</v>
      </c>
      <c r="BE437" s="591" t="str">
        <f t="shared" si="33"/>
        <v>NCA-ECC-2-2024</v>
      </c>
      <c r="BF437" s="594">
        <f t="shared" si="34"/>
        <v>11</v>
      </c>
    </row>
    <row r="438" spans="1:58" ht="42" customHeight="1" x14ac:dyDescent="0.45">
      <c r="A438" s="84">
        <v>389</v>
      </c>
      <c r="B438" s="411" t="s">
        <v>2282</v>
      </c>
      <c r="C438" s="70" t="s">
        <v>2283</v>
      </c>
      <c r="D438" s="70" t="s">
        <v>2191</v>
      </c>
      <c r="E438" s="411" t="s">
        <v>382</v>
      </c>
      <c r="F438" s="72" t="s">
        <v>383</v>
      </c>
      <c r="G438" s="70" t="s">
        <v>384</v>
      </c>
      <c r="H438" s="70" t="s">
        <v>765</v>
      </c>
      <c r="I438" s="71" t="s">
        <v>250</v>
      </c>
      <c r="J438" s="71" t="s">
        <v>386</v>
      </c>
      <c r="K438" s="70" t="s">
        <v>558</v>
      </c>
      <c r="L438" s="66" t="s">
        <v>559</v>
      </c>
      <c r="M438" s="70" t="s">
        <v>2290</v>
      </c>
      <c r="N438" s="86" t="s">
        <v>66</v>
      </c>
      <c r="O438" s="87" t="s">
        <v>540</v>
      </c>
      <c r="P438" s="70" t="s">
        <v>380</v>
      </c>
      <c r="Q438" s="70" t="s">
        <v>390</v>
      </c>
      <c r="R438" s="70" t="s">
        <v>391</v>
      </c>
      <c r="S438" s="71" t="s">
        <v>392</v>
      </c>
      <c r="T438" s="70" t="s">
        <v>393</v>
      </c>
      <c r="U438" s="25" t="s">
        <v>394</v>
      </c>
      <c r="V438" s="70" t="s">
        <v>395</v>
      </c>
      <c r="W438" s="72" t="s">
        <v>396</v>
      </c>
      <c r="X438" s="70" t="s">
        <v>397</v>
      </c>
      <c r="Y438" s="49" t="s">
        <v>398</v>
      </c>
      <c r="Z438" s="70" t="s">
        <v>399</v>
      </c>
      <c r="AA438" s="71" t="s">
        <v>400</v>
      </c>
      <c r="AB438" s="70" t="s">
        <v>401</v>
      </c>
      <c r="AC438" s="70" t="s">
        <v>402</v>
      </c>
      <c r="AD438" s="49" t="s">
        <v>403</v>
      </c>
      <c r="AE438" s="50" t="s">
        <v>404</v>
      </c>
      <c r="AF438" s="60" t="s">
        <v>405</v>
      </c>
      <c r="AG438" s="70" t="s">
        <v>406</v>
      </c>
      <c r="AH438" s="70" t="s">
        <v>407</v>
      </c>
      <c r="AI438" s="73" t="s">
        <v>408</v>
      </c>
      <c r="AJ438" s="70" t="s">
        <v>409</v>
      </c>
      <c r="AK438" s="74" t="s">
        <v>410</v>
      </c>
      <c r="AL438" s="75" t="s">
        <v>411</v>
      </c>
      <c r="AM438" s="76" t="s">
        <v>412</v>
      </c>
      <c r="AN438" s="50" t="s">
        <v>413</v>
      </c>
      <c r="AO438" s="77" t="s">
        <v>414</v>
      </c>
      <c r="AP438" s="51" t="s">
        <v>415</v>
      </c>
      <c r="AQ438" s="78" t="s">
        <v>416</v>
      </c>
      <c r="AR438" s="74" t="s">
        <v>417</v>
      </c>
      <c r="AS438" s="22" t="s">
        <v>418</v>
      </c>
      <c r="AT438" s="75" t="s">
        <v>419</v>
      </c>
      <c r="AU438" s="79" t="s">
        <v>420</v>
      </c>
      <c r="AV438" s="80" t="s">
        <v>421</v>
      </c>
      <c r="AW438" s="81" t="s">
        <v>422</v>
      </c>
      <c r="AX438" s="82" t="s">
        <v>423</v>
      </c>
      <c r="AY438" s="83" t="s">
        <v>424</v>
      </c>
      <c r="AZ438" s="80" t="s">
        <v>425</v>
      </c>
      <c r="BA438" s="34" t="s">
        <v>320</v>
      </c>
      <c r="BB438" s="591" t="str">
        <f t="shared" si="30"/>
        <v>DEEP</v>
      </c>
      <c r="BC438" s="591" t="str">
        <f t="shared" si="31"/>
        <v>17. Regional Health Clusters-JZHC-PDPL-2021</v>
      </c>
      <c r="BD438" s="591" t="str">
        <f t="shared" si="32"/>
        <v>JZHC-PDPL-2021</v>
      </c>
      <c r="BE438" s="591" t="str">
        <f t="shared" si="33"/>
        <v>NONE</v>
      </c>
      <c r="BF438" s="594">
        <f t="shared" si="34"/>
        <v>18</v>
      </c>
    </row>
    <row r="439" spans="1:58" ht="42" customHeight="1" x14ac:dyDescent="0.45">
      <c r="A439" s="42">
        <v>390</v>
      </c>
      <c r="B439" s="412" t="s">
        <v>2282</v>
      </c>
      <c r="C439" s="44" t="s">
        <v>2283</v>
      </c>
      <c r="D439" s="44" t="s">
        <v>2191</v>
      </c>
      <c r="E439" s="412" t="s">
        <v>688</v>
      </c>
      <c r="F439" s="45" t="s">
        <v>689</v>
      </c>
      <c r="G439" s="44" t="s">
        <v>690</v>
      </c>
      <c r="H439" s="44" t="s">
        <v>691</v>
      </c>
      <c r="I439" s="46" t="s">
        <v>151</v>
      </c>
      <c r="J439" s="46" t="s">
        <v>692</v>
      </c>
      <c r="K439" s="44" t="s">
        <v>558</v>
      </c>
      <c r="L439" s="66" t="s">
        <v>559</v>
      </c>
      <c r="M439" s="44" t="s">
        <v>2291</v>
      </c>
      <c r="N439" s="54" t="s">
        <v>154</v>
      </c>
      <c r="O439" s="48" t="s">
        <v>593</v>
      </c>
      <c r="P439" s="44" t="s">
        <v>636</v>
      </c>
      <c r="Q439" s="70" t="s">
        <v>695</v>
      </c>
      <c r="R439" s="70" t="s">
        <v>696</v>
      </c>
      <c r="S439" s="71" t="s">
        <v>697</v>
      </c>
      <c r="T439" s="70" t="s">
        <v>698</v>
      </c>
      <c r="U439" s="25" t="s">
        <v>699</v>
      </c>
      <c r="V439" s="70" t="s">
        <v>700</v>
      </c>
      <c r="W439" s="72" t="s">
        <v>701</v>
      </c>
      <c r="X439" s="70" t="s">
        <v>702</v>
      </c>
      <c r="Y439" s="22" t="s">
        <v>205</v>
      </c>
      <c r="Z439" s="70" t="s">
        <v>703</v>
      </c>
      <c r="AA439" s="71" t="s">
        <v>704</v>
      </c>
      <c r="AB439" s="70" t="s">
        <v>705</v>
      </c>
      <c r="AC439" s="70" t="s">
        <v>706</v>
      </c>
      <c r="AD439" s="49" t="s">
        <v>707</v>
      </c>
      <c r="AE439" s="26" t="s">
        <v>675</v>
      </c>
      <c r="AF439" s="60" t="s">
        <v>708</v>
      </c>
      <c r="AG439" s="70" t="s">
        <v>709</v>
      </c>
      <c r="AH439" s="70" t="s">
        <v>710</v>
      </c>
      <c r="AI439" s="73" t="s">
        <v>711</v>
      </c>
      <c r="AJ439" s="70" t="s">
        <v>712</v>
      </c>
      <c r="AK439" s="74" t="s">
        <v>713</v>
      </c>
      <c r="AL439" s="75" t="s">
        <v>714</v>
      </c>
      <c r="AM439" s="76" t="s">
        <v>715</v>
      </c>
      <c r="AN439" s="50" t="s">
        <v>716</v>
      </c>
      <c r="AO439" s="77" t="s">
        <v>717</v>
      </c>
      <c r="AP439" s="51" t="s">
        <v>718</v>
      </c>
      <c r="AQ439" s="78" t="s">
        <v>719</v>
      </c>
      <c r="AR439" s="74" t="s">
        <v>720</v>
      </c>
      <c r="AS439" s="61" t="s">
        <v>721</v>
      </c>
      <c r="AT439" s="75" t="s">
        <v>722</v>
      </c>
      <c r="AU439" s="79" t="s">
        <v>723</v>
      </c>
      <c r="AV439" s="80" t="s">
        <v>724</v>
      </c>
      <c r="AW439" s="81" t="s">
        <v>725</v>
      </c>
      <c r="AX439" s="82" t="s">
        <v>726</v>
      </c>
      <c r="AY439" s="83" t="s">
        <v>727</v>
      </c>
      <c r="AZ439" s="80" t="s">
        <v>728</v>
      </c>
      <c r="BA439" s="41" t="s">
        <v>105</v>
      </c>
      <c r="BB439" s="591" t="str">
        <f t="shared" si="30"/>
        <v>DEEP</v>
      </c>
      <c r="BC439" s="591" t="str">
        <f t="shared" si="31"/>
        <v>17. Regional Health Clusters-JZHC-MOH-TELE</v>
      </c>
      <c r="BD439" s="591" t="str">
        <f t="shared" si="32"/>
        <v>JZHC-MOH-TELE</v>
      </c>
      <c r="BE439" s="591" t="str">
        <f t="shared" si="33"/>
        <v>NONE</v>
      </c>
      <c r="BF439" s="594">
        <f t="shared" si="34"/>
        <v>16</v>
      </c>
    </row>
    <row r="440" spans="1:58" ht="42" customHeight="1" x14ac:dyDescent="0.45">
      <c r="A440" s="84">
        <v>391</v>
      </c>
      <c r="B440" s="411" t="s">
        <v>2282</v>
      </c>
      <c r="C440" s="70" t="s">
        <v>2283</v>
      </c>
      <c r="D440" s="70" t="s">
        <v>2191</v>
      </c>
      <c r="E440" s="411" t="s">
        <v>1246</v>
      </c>
      <c r="F440" s="72" t="s">
        <v>2205</v>
      </c>
      <c r="G440" s="70" t="s">
        <v>2206</v>
      </c>
      <c r="H440" s="70" t="s">
        <v>633</v>
      </c>
      <c r="I440" s="71" t="s">
        <v>61</v>
      </c>
      <c r="J440" s="71" t="s">
        <v>194</v>
      </c>
      <c r="K440" s="70" t="s">
        <v>558</v>
      </c>
      <c r="L440" s="66" t="s">
        <v>559</v>
      </c>
      <c r="M440" s="70" t="s">
        <v>2292</v>
      </c>
      <c r="N440" s="86" t="s">
        <v>66</v>
      </c>
      <c r="O440" s="87" t="s">
        <v>1250</v>
      </c>
      <c r="P440" s="70" t="s">
        <v>1244</v>
      </c>
      <c r="Q440" s="70" t="s">
        <v>1252</v>
      </c>
      <c r="R440" s="70" t="s">
        <v>1253</v>
      </c>
      <c r="S440" s="71" t="s">
        <v>1254</v>
      </c>
      <c r="T440" s="70" t="s">
        <v>1255</v>
      </c>
      <c r="U440" s="25" t="s">
        <v>1256</v>
      </c>
      <c r="V440" s="70" t="s">
        <v>1257</v>
      </c>
      <c r="W440" s="72" t="s">
        <v>1258</v>
      </c>
      <c r="X440" s="70" t="s">
        <v>1259</v>
      </c>
      <c r="Y440" s="22" t="s">
        <v>205</v>
      </c>
      <c r="Z440" s="70" t="s">
        <v>1260</v>
      </c>
      <c r="AA440" s="71" t="s">
        <v>1261</v>
      </c>
      <c r="AB440" s="70" t="s">
        <v>1262</v>
      </c>
      <c r="AC440" s="70" t="s">
        <v>1263</v>
      </c>
      <c r="AD440" s="49" t="s">
        <v>650</v>
      </c>
      <c r="AE440" s="37" t="s">
        <v>1264</v>
      </c>
      <c r="AF440" s="27" t="s">
        <v>1265</v>
      </c>
      <c r="AG440" s="70" t="s">
        <v>1266</v>
      </c>
      <c r="AH440" s="70" t="s">
        <v>1267</v>
      </c>
      <c r="AI440" s="73" t="s">
        <v>215</v>
      </c>
      <c r="AJ440" s="70" t="s">
        <v>216</v>
      </c>
      <c r="AK440" s="74" t="s">
        <v>217</v>
      </c>
      <c r="AL440" s="75" t="s">
        <v>218</v>
      </c>
      <c r="AM440" s="76" t="s">
        <v>219</v>
      </c>
      <c r="AN440" s="50" t="s">
        <v>220</v>
      </c>
      <c r="AO440" s="77" t="s">
        <v>221</v>
      </c>
      <c r="AP440" s="51" t="s">
        <v>138</v>
      </c>
      <c r="AQ440" s="78" t="s">
        <v>139</v>
      </c>
      <c r="AR440" s="74" t="s">
        <v>140</v>
      </c>
      <c r="AS440" s="22" t="s">
        <v>141</v>
      </c>
      <c r="AT440" s="75" t="s">
        <v>142</v>
      </c>
      <c r="AU440" s="79" t="s">
        <v>143</v>
      </c>
      <c r="AV440" s="80" t="s">
        <v>144</v>
      </c>
      <c r="AW440" s="81" t="s">
        <v>145</v>
      </c>
      <c r="AX440" s="82" t="s">
        <v>146</v>
      </c>
      <c r="AY440" s="83" t="s">
        <v>147</v>
      </c>
      <c r="AZ440" s="80" t="s">
        <v>585</v>
      </c>
      <c r="BA440" s="41" t="s">
        <v>105</v>
      </c>
      <c r="BB440" s="591" t="str">
        <f t="shared" si="30"/>
        <v>TEMPLATE</v>
      </c>
      <c r="BC440" s="591" t="str">
        <f t="shared" si="31"/>
        <v>17. Regional Health Clusters-JZHC-NHIC-NABIDH</v>
      </c>
      <c r="BD440" s="591" t="str">
        <f t="shared" si="32"/>
        <v>JZHC-NHIC-NABIDH</v>
      </c>
      <c r="BE440" s="591" t="str">
        <f t="shared" si="33"/>
        <v>NONE</v>
      </c>
      <c r="BF440" s="594">
        <f t="shared" si="34"/>
        <v>11</v>
      </c>
    </row>
    <row r="441" spans="1:58" ht="42" customHeight="1" x14ac:dyDescent="0.45">
      <c r="A441" s="42">
        <v>392</v>
      </c>
      <c r="B441" s="412" t="s">
        <v>2282</v>
      </c>
      <c r="C441" s="44" t="s">
        <v>2283</v>
      </c>
      <c r="D441" s="44" t="s">
        <v>2191</v>
      </c>
      <c r="E441" s="412" t="s">
        <v>770</v>
      </c>
      <c r="F441" s="45" t="s">
        <v>107</v>
      </c>
      <c r="G441" s="44" t="s">
        <v>108</v>
      </c>
      <c r="H441" s="44" t="s">
        <v>106</v>
      </c>
      <c r="I441" s="46" t="s">
        <v>109</v>
      </c>
      <c r="J441" s="46" t="s">
        <v>110</v>
      </c>
      <c r="K441" s="44" t="s">
        <v>558</v>
      </c>
      <c r="L441" s="66" t="s">
        <v>559</v>
      </c>
      <c r="M441" s="44" t="s">
        <v>2293</v>
      </c>
      <c r="N441" s="47" t="s">
        <v>66</v>
      </c>
      <c r="O441" s="48" t="s">
        <v>196</v>
      </c>
      <c r="P441" s="44" t="s">
        <v>2209</v>
      </c>
      <c r="Q441" s="70" t="s">
        <v>562</v>
      </c>
      <c r="R441" s="70" t="s">
        <v>563</v>
      </c>
      <c r="S441" s="71" t="s">
        <v>564</v>
      </c>
      <c r="T441" s="70" t="s">
        <v>565</v>
      </c>
      <c r="U441" s="25" t="s">
        <v>566</v>
      </c>
      <c r="V441" s="70" t="s">
        <v>282</v>
      </c>
      <c r="W441" s="72" t="s">
        <v>283</v>
      </c>
      <c r="X441" s="70" t="s">
        <v>284</v>
      </c>
      <c r="Y441" s="49" t="s">
        <v>285</v>
      </c>
      <c r="Z441" s="70" t="s">
        <v>286</v>
      </c>
      <c r="AA441" s="71" t="s">
        <v>286</v>
      </c>
      <c r="AB441" s="70" t="s">
        <v>287</v>
      </c>
      <c r="AC441" s="70" t="s">
        <v>288</v>
      </c>
      <c r="AD441" s="49" t="s">
        <v>289</v>
      </c>
      <c r="AE441" s="58" t="s">
        <v>290</v>
      </c>
      <c r="AF441" s="56" t="s">
        <v>291</v>
      </c>
      <c r="AG441" s="70" t="s">
        <v>292</v>
      </c>
      <c r="AH441" s="70" t="s">
        <v>293</v>
      </c>
      <c r="AI441" s="73" t="s">
        <v>215</v>
      </c>
      <c r="AJ441" s="70" t="s">
        <v>216</v>
      </c>
      <c r="AK441" s="74" t="s">
        <v>217</v>
      </c>
      <c r="AL441" s="75" t="s">
        <v>218</v>
      </c>
      <c r="AM441" s="76" t="s">
        <v>219</v>
      </c>
      <c r="AN441" s="50" t="s">
        <v>220</v>
      </c>
      <c r="AO441" s="77" t="s">
        <v>221</v>
      </c>
      <c r="AP441" s="53" t="s">
        <v>773</v>
      </c>
      <c r="AQ441" s="78" t="s">
        <v>774</v>
      </c>
      <c r="AR441" s="74" t="s">
        <v>775</v>
      </c>
      <c r="AS441" s="22" t="s">
        <v>776</v>
      </c>
      <c r="AT441" s="75" t="s">
        <v>777</v>
      </c>
      <c r="AU441" s="79" t="s">
        <v>778</v>
      </c>
      <c r="AV441" s="80" t="s">
        <v>779</v>
      </c>
      <c r="AW441" s="81" t="s">
        <v>780</v>
      </c>
      <c r="AX441" s="82" t="s">
        <v>781</v>
      </c>
      <c r="AY441" s="83" t="s">
        <v>782</v>
      </c>
      <c r="AZ441" s="80" t="s">
        <v>104</v>
      </c>
      <c r="BA441" s="41" t="s">
        <v>105</v>
      </c>
      <c r="BB441" s="591" t="str">
        <f t="shared" si="30"/>
        <v>TEMPLATE</v>
      </c>
      <c r="BC441" s="591" t="str">
        <f t="shared" si="31"/>
        <v>17. Regional Health Clusters-JZHC-NCA-OTCC</v>
      </c>
      <c r="BD441" s="591" t="str">
        <f t="shared" si="32"/>
        <v>JZHC-NCA-OTCC</v>
      </c>
      <c r="BE441" s="591" t="str">
        <f t="shared" si="33"/>
        <v>NCA-ECC-2-2024</v>
      </c>
      <c r="BF441" s="594">
        <f t="shared" si="34"/>
        <v>11</v>
      </c>
    </row>
    <row r="442" spans="1:58" ht="42" customHeight="1" x14ac:dyDescent="0.45">
      <c r="A442" s="84">
        <v>393</v>
      </c>
      <c r="B442" s="411" t="s">
        <v>2294</v>
      </c>
      <c r="C442" s="70" t="s">
        <v>2295</v>
      </c>
      <c r="D442" s="70" t="s">
        <v>2191</v>
      </c>
      <c r="E442" s="411" t="s">
        <v>586</v>
      </c>
      <c r="F442" s="72" t="s">
        <v>587</v>
      </c>
      <c r="G442" s="70" t="s">
        <v>588</v>
      </c>
      <c r="H442" s="70" t="s">
        <v>589</v>
      </c>
      <c r="I442" s="71" t="s">
        <v>590</v>
      </c>
      <c r="J442" s="71" t="s">
        <v>591</v>
      </c>
      <c r="K442" s="70" t="s">
        <v>558</v>
      </c>
      <c r="L442" s="66" t="s">
        <v>559</v>
      </c>
      <c r="M442" s="70" t="s">
        <v>2296</v>
      </c>
      <c r="N442" s="86" t="s">
        <v>66</v>
      </c>
      <c r="O442" s="87" t="s">
        <v>593</v>
      </c>
      <c r="P442" s="70" t="s">
        <v>661</v>
      </c>
      <c r="Q442" s="70" t="s">
        <v>595</v>
      </c>
      <c r="R442" s="70" t="s">
        <v>596</v>
      </c>
      <c r="S442" s="71" t="s">
        <v>597</v>
      </c>
      <c r="T442" s="70" t="s">
        <v>598</v>
      </c>
      <c r="U442" s="25" t="s">
        <v>599</v>
      </c>
      <c r="V442" s="70" t="s">
        <v>600</v>
      </c>
      <c r="W442" s="72" t="s">
        <v>601</v>
      </c>
      <c r="X442" s="70" t="s">
        <v>602</v>
      </c>
      <c r="Y442" s="49" t="s">
        <v>603</v>
      </c>
      <c r="Z442" s="70" t="s">
        <v>604</v>
      </c>
      <c r="AA442" s="71" t="s">
        <v>605</v>
      </c>
      <c r="AB442" s="70" t="s">
        <v>606</v>
      </c>
      <c r="AC442" s="70" t="s">
        <v>607</v>
      </c>
      <c r="AD442" s="49" t="s">
        <v>608</v>
      </c>
      <c r="AE442" s="26" t="s">
        <v>609</v>
      </c>
      <c r="AF442" s="27" t="s">
        <v>610</v>
      </c>
      <c r="AG442" s="70" t="s">
        <v>611</v>
      </c>
      <c r="AH442" s="70" t="s">
        <v>612</v>
      </c>
      <c r="AI442" s="73" t="s">
        <v>613</v>
      </c>
      <c r="AJ442" s="70" t="s">
        <v>614</v>
      </c>
      <c r="AK442" s="74" t="s">
        <v>615</v>
      </c>
      <c r="AL442" s="75" t="s">
        <v>616</v>
      </c>
      <c r="AM442" s="76" t="s">
        <v>617</v>
      </c>
      <c r="AN442" s="50" t="s">
        <v>618</v>
      </c>
      <c r="AO442" s="77" t="s">
        <v>619</v>
      </c>
      <c r="AP442" s="34" t="s">
        <v>620</v>
      </c>
      <c r="AQ442" s="78" t="s">
        <v>621</v>
      </c>
      <c r="AR442" s="74" t="s">
        <v>622</v>
      </c>
      <c r="AS442" s="61" t="s">
        <v>623</v>
      </c>
      <c r="AT442" s="75" t="s">
        <v>624</v>
      </c>
      <c r="AU442" s="79" t="s">
        <v>625</v>
      </c>
      <c r="AV442" s="80" t="s">
        <v>626</v>
      </c>
      <c r="AW442" s="81" t="s">
        <v>627</v>
      </c>
      <c r="AX442" s="82" t="s">
        <v>628</v>
      </c>
      <c r="AY442" s="83" t="s">
        <v>629</v>
      </c>
      <c r="AZ442" s="80" t="s">
        <v>585</v>
      </c>
      <c r="BA442" s="41" t="s">
        <v>105</v>
      </c>
      <c r="BB442" s="591" t="str">
        <f t="shared" si="30"/>
        <v>DEEP</v>
      </c>
      <c r="BC442" s="591" t="str">
        <f t="shared" si="31"/>
        <v>17. Regional Health Clusters-TBHC-MOH-HIS</v>
      </c>
      <c r="BD442" s="591" t="str">
        <f t="shared" si="32"/>
        <v>TBHC-MOH-HIS</v>
      </c>
      <c r="BE442" s="591" t="str">
        <f t="shared" si="33"/>
        <v>NONE</v>
      </c>
      <c r="BF442" s="594">
        <f t="shared" si="34"/>
        <v>18</v>
      </c>
    </row>
    <row r="443" spans="1:58" ht="42" customHeight="1" x14ac:dyDescent="0.45">
      <c r="A443" s="42">
        <v>394</v>
      </c>
      <c r="B443" s="412" t="s">
        <v>2294</v>
      </c>
      <c r="C443" s="44" t="s">
        <v>2295</v>
      </c>
      <c r="D443" s="44" t="s">
        <v>2191</v>
      </c>
      <c r="E443" s="412" t="s">
        <v>630</v>
      </c>
      <c r="F443" s="45" t="s">
        <v>2193</v>
      </c>
      <c r="G443" s="44" t="s">
        <v>2194</v>
      </c>
      <c r="H443" s="44" t="s">
        <v>633</v>
      </c>
      <c r="I443" s="46" t="s">
        <v>590</v>
      </c>
      <c r="J443" s="46" t="s">
        <v>634</v>
      </c>
      <c r="K443" s="44" t="s">
        <v>558</v>
      </c>
      <c r="L443" s="66" t="s">
        <v>559</v>
      </c>
      <c r="M443" s="44" t="s">
        <v>2297</v>
      </c>
      <c r="N443" s="47" t="s">
        <v>66</v>
      </c>
      <c r="O443" s="48" t="s">
        <v>593</v>
      </c>
      <c r="P443" s="44" t="s">
        <v>2196</v>
      </c>
      <c r="Q443" s="70" t="s">
        <v>637</v>
      </c>
      <c r="R443" s="70" t="s">
        <v>638</v>
      </c>
      <c r="S443" s="71" t="s">
        <v>639</v>
      </c>
      <c r="T443" s="70" t="s">
        <v>640</v>
      </c>
      <c r="U443" s="25" t="s">
        <v>641</v>
      </c>
      <c r="V443" s="70" t="s">
        <v>642</v>
      </c>
      <c r="W443" s="72" t="s">
        <v>643</v>
      </c>
      <c r="X443" s="70" t="s">
        <v>644</v>
      </c>
      <c r="Y443" s="49" t="s">
        <v>645</v>
      </c>
      <c r="Z443" s="70" t="s">
        <v>646</v>
      </c>
      <c r="AA443" s="71" t="s">
        <v>647</v>
      </c>
      <c r="AB443" s="70" t="s">
        <v>648</v>
      </c>
      <c r="AC443" s="70" t="s">
        <v>649</v>
      </c>
      <c r="AD443" s="49" t="s">
        <v>650</v>
      </c>
      <c r="AE443" s="26" t="s">
        <v>651</v>
      </c>
      <c r="AF443" s="27" t="s">
        <v>652</v>
      </c>
      <c r="AG443" s="70" t="s">
        <v>653</v>
      </c>
      <c r="AH443" s="70" t="s">
        <v>654</v>
      </c>
      <c r="AI443" s="73" t="s">
        <v>215</v>
      </c>
      <c r="AJ443" s="70" t="s">
        <v>216</v>
      </c>
      <c r="AK443" s="74" t="s">
        <v>217</v>
      </c>
      <c r="AL443" s="75" t="s">
        <v>218</v>
      </c>
      <c r="AM443" s="76" t="s">
        <v>219</v>
      </c>
      <c r="AN443" s="50" t="s">
        <v>220</v>
      </c>
      <c r="AO443" s="77" t="s">
        <v>221</v>
      </c>
      <c r="AP443" s="51" t="s">
        <v>138</v>
      </c>
      <c r="AQ443" s="78" t="s">
        <v>139</v>
      </c>
      <c r="AR443" s="74" t="s">
        <v>140</v>
      </c>
      <c r="AS443" s="22" t="s">
        <v>141</v>
      </c>
      <c r="AT443" s="75" t="s">
        <v>142</v>
      </c>
      <c r="AU443" s="79" t="s">
        <v>143</v>
      </c>
      <c r="AV443" s="80" t="s">
        <v>144</v>
      </c>
      <c r="AW443" s="81" t="s">
        <v>145</v>
      </c>
      <c r="AX443" s="82" t="s">
        <v>146</v>
      </c>
      <c r="AY443" s="83" t="s">
        <v>147</v>
      </c>
      <c r="AZ443" s="80" t="s">
        <v>585</v>
      </c>
      <c r="BA443" s="41" t="s">
        <v>105</v>
      </c>
      <c r="BB443" s="591" t="str">
        <f t="shared" si="30"/>
        <v>TEMPLATE</v>
      </c>
      <c r="BC443" s="591" t="str">
        <f t="shared" si="31"/>
        <v>17. Regional Health Clusters-TBHC-MOH-EMR-NABIDH</v>
      </c>
      <c r="BD443" s="591" t="str">
        <f t="shared" si="32"/>
        <v>TBHC-MOH-EMR-NABIDH</v>
      </c>
      <c r="BE443" s="591" t="str">
        <f t="shared" si="33"/>
        <v>NONE</v>
      </c>
      <c r="BF443" s="594">
        <f t="shared" si="34"/>
        <v>11</v>
      </c>
    </row>
    <row r="444" spans="1:58" ht="42" customHeight="1" x14ac:dyDescent="0.45">
      <c r="A444" s="84">
        <v>395</v>
      </c>
      <c r="B444" s="411" t="s">
        <v>2294</v>
      </c>
      <c r="C444" s="70" t="s">
        <v>2295</v>
      </c>
      <c r="D444" s="70" t="s">
        <v>2191</v>
      </c>
      <c r="E444" s="411" t="s">
        <v>655</v>
      </c>
      <c r="F444" s="72" t="s">
        <v>656</v>
      </c>
      <c r="G444" s="70" t="s">
        <v>657</v>
      </c>
      <c r="H444" s="70" t="s">
        <v>589</v>
      </c>
      <c r="I444" s="71" t="s">
        <v>658</v>
      </c>
      <c r="J444" s="71" t="s">
        <v>659</v>
      </c>
      <c r="K444" s="70" t="s">
        <v>558</v>
      </c>
      <c r="L444" s="66" t="s">
        <v>559</v>
      </c>
      <c r="M444" s="70" t="s">
        <v>2298</v>
      </c>
      <c r="N444" s="86" t="s">
        <v>66</v>
      </c>
      <c r="O444" s="87" t="s">
        <v>593</v>
      </c>
      <c r="P444" s="70" t="s">
        <v>661</v>
      </c>
      <c r="Q444" s="70" t="s">
        <v>662</v>
      </c>
      <c r="R444" s="70" t="s">
        <v>663</v>
      </c>
      <c r="S444" s="71" t="s">
        <v>664</v>
      </c>
      <c r="T444" s="70" t="s">
        <v>665</v>
      </c>
      <c r="U444" s="25" t="s">
        <v>666</v>
      </c>
      <c r="V444" s="70" t="s">
        <v>667</v>
      </c>
      <c r="W444" s="72" t="s">
        <v>668</v>
      </c>
      <c r="X444" s="70" t="s">
        <v>669</v>
      </c>
      <c r="Y444" s="22" t="s">
        <v>205</v>
      </c>
      <c r="Z444" s="70" t="s">
        <v>670</v>
      </c>
      <c r="AA444" s="71" t="s">
        <v>671</v>
      </c>
      <c r="AB444" s="70" t="s">
        <v>672</v>
      </c>
      <c r="AC444" s="70" t="s">
        <v>673</v>
      </c>
      <c r="AD444" s="49" t="s">
        <v>674</v>
      </c>
      <c r="AE444" s="26" t="s">
        <v>675</v>
      </c>
      <c r="AF444" s="27" t="s">
        <v>676</v>
      </c>
      <c r="AG444" s="70" t="s">
        <v>677</v>
      </c>
      <c r="AH444" s="70" t="s">
        <v>678</v>
      </c>
      <c r="AI444" s="73" t="s">
        <v>215</v>
      </c>
      <c r="AJ444" s="70" t="s">
        <v>216</v>
      </c>
      <c r="AK444" s="74" t="s">
        <v>217</v>
      </c>
      <c r="AL444" s="75" t="s">
        <v>218</v>
      </c>
      <c r="AM444" s="76" t="s">
        <v>219</v>
      </c>
      <c r="AN444" s="50" t="s">
        <v>220</v>
      </c>
      <c r="AO444" s="77" t="s">
        <v>221</v>
      </c>
      <c r="AP444" s="51" t="s">
        <v>138</v>
      </c>
      <c r="AQ444" s="78" t="s">
        <v>139</v>
      </c>
      <c r="AR444" s="74" t="s">
        <v>140</v>
      </c>
      <c r="AS444" s="22" t="s">
        <v>141</v>
      </c>
      <c r="AT444" s="75" t="s">
        <v>142</v>
      </c>
      <c r="AU444" s="79" t="s">
        <v>143</v>
      </c>
      <c r="AV444" s="80" t="s">
        <v>144</v>
      </c>
      <c r="AW444" s="81" t="s">
        <v>145</v>
      </c>
      <c r="AX444" s="82" t="s">
        <v>146</v>
      </c>
      <c r="AY444" s="83" t="s">
        <v>147</v>
      </c>
      <c r="AZ444" s="80" t="s">
        <v>585</v>
      </c>
      <c r="BA444" s="41" t="s">
        <v>105</v>
      </c>
      <c r="BB444" s="591" t="str">
        <f t="shared" si="30"/>
        <v>TEMPLATE</v>
      </c>
      <c r="BC444" s="591" t="str">
        <f t="shared" si="31"/>
        <v>17. Regional Health Clusters-TBHC-MOH-PS</v>
      </c>
      <c r="BD444" s="591" t="str">
        <f t="shared" si="32"/>
        <v>TBHC-MOH-PS</v>
      </c>
      <c r="BE444" s="591" t="str">
        <f t="shared" si="33"/>
        <v>NONE</v>
      </c>
      <c r="BF444" s="594">
        <f t="shared" si="34"/>
        <v>11</v>
      </c>
    </row>
    <row r="445" spans="1:58" ht="42" customHeight="1" x14ac:dyDescent="0.45">
      <c r="A445" s="42">
        <v>396</v>
      </c>
      <c r="B445" s="412" t="s">
        <v>2294</v>
      </c>
      <c r="C445" s="44" t="s">
        <v>2295</v>
      </c>
      <c r="D445" s="44" t="s">
        <v>2191</v>
      </c>
      <c r="E445" s="412" t="s">
        <v>679</v>
      </c>
      <c r="F445" s="45" t="s">
        <v>680</v>
      </c>
      <c r="G445" s="44" t="s">
        <v>681</v>
      </c>
      <c r="H445" s="44" t="s">
        <v>225</v>
      </c>
      <c r="I445" s="46" t="s">
        <v>682</v>
      </c>
      <c r="J445" s="46" t="s">
        <v>386</v>
      </c>
      <c r="K445" s="44" t="s">
        <v>558</v>
      </c>
      <c r="L445" s="66" t="s">
        <v>559</v>
      </c>
      <c r="M445" s="44" t="s">
        <v>2299</v>
      </c>
      <c r="N445" s="54" t="s">
        <v>154</v>
      </c>
      <c r="O445" s="48" t="s">
        <v>593</v>
      </c>
      <c r="P445" s="44" t="s">
        <v>661</v>
      </c>
      <c r="Q445" s="70" t="s">
        <v>683</v>
      </c>
      <c r="R445" s="70" t="s">
        <v>684</v>
      </c>
      <c r="S445" s="71" t="s">
        <v>685</v>
      </c>
      <c r="T445" s="70" t="s">
        <v>686</v>
      </c>
      <c r="U445" s="25" t="s">
        <v>687</v>
      </c>
      <c r="V445" s="70" t="s">
        <v>282</v>
      </c>
      <c r="W445" s="72" t="s">
        <v>283</v>
      </c>
      <c r="X445" s="70" t="s">
        <v>284</v>
      </c>
      <c r="Y445" s="49" t="s">
        <v>285</v>
      </c>
      <c r="Z445" s="70" t="s">
        <v>286</v>
      </c>
      <c r="AA445" s="71" t="s">
        <v>286</v>
      </c>
      <c r="AB445" s="70" t="s">
        <v>287</v>
      </c>
      <c r="AC445" s="70" t="s">
        <v>288</v>
      </c>
      <c r="AD445" s="49" t="s">
        <v>289</v>
      </c>
      <c r="AE445" s="58" t="s">
        <v>290</v>
      </c>
      <c r="AF445" s="56" t="s">
        <v>291</v>
      </c>
      <c r="AG445" s="70" t="s">
        <v>292</v>
      </c>
      <c r="AH445" s="70" t="s">
        <v>293</v>
      </c>
      <c r="AI445" s="73" t="s">
        <v>215</v>
      </c>
      <c r="AJ445" s="70" t="s">
        <v>216</v>
      </c>
      <c r="AK445" s="74" t="s">
        <v>217</v>
      </c>
      <c r="AL445" s="75" t="s">
        <v>218</v>
      </c>
      <c r="AM445" s="76" t="s">
        <v>219</v>
      </c>
      <c r="AN445" s="50" t="s">
        <v>220</v>
      </c>
      <c r="AO445" s="77" t="s">
        <v>221</v>
      </c>
      <c r="AP445" s="51" t="s">
        <v>138</v>
      </c>
      <c r="AQ445" s="78" t="s">
        <v>139</v>
      </c>
      <c r="AR445" s="74" t="s">
        <v>140</v>
      </c>
      <c r="AS445" s="22" t="s">
        <v>141</v>
      </c>
      <c r="AT445" s="75" t="s">
        <v>142</v>
      </c>
      <c r="AU445" s="79" t="s">
        <v>143</v>
      </c>
      <c r="AV445" s="80" t="s">
        <v>144</v>
      </c>
      <c r="AW445" s="81" t="s">
        <v>145</v>
      </c>
      <c r="AX445" s="82" t="s">
        <v>146</v>
      </c>
      <c r="AY445" s="83" t="s">
        <v>147</v>
      </c>
      <c r="AZ445" s="80" t="s">
        <v>585</v>
      </c>
      <c r="BA445" s="41" t="s">
        <v>105</v>
      </c>
      <c r="BB445" s="591" t="str">
        <f t="shared" si="30"/>
        <v>TEMPLATE</v>
      </c>
      <c r="BC445" s="591" t="str">
        <f t="shared" si="31"/>
        <v>17. Regional Health Clusters-TBHC-MOH-PR</v>
      </c>
      <c r="BD445" s="591" t="str">
        <f t="shared" si="32"/>
        <v>TBHC-MOH-PR</v>
      </c>
      <c r="BE445" s="591" t="str">
        <f t="shared" si="33"/>
        <v>NONE</v>
      </c>
      <c r="BF445" s="594">
        <f t="shared" si="34"/>
        <v>9</v>
      </c>
    </row>
    <row r="446" spans="1:58" ht="42" customHeight="1" x14ac:dyDescent="0.45">
      <c r="A446" s="84">
        <v>397</v>
      </c>
      <c r="B446" s="411" t="s">
        <v>2294</v>
      </c>
      <c r="C446" s="70" t="s">
        <v>2295</v>
      </c>
      <c r="D446" s="70" t="s">
        <v>2191</v>
      </c>
      <c r="E446" s="411" t="s">
        <v>930</v>
      </c>
      <c r="F446" s="72" t="s">
        <v>2199</v>
      </c>
      <c r="G446" s="70" t="s">
        <v>932</v>
      </c>
      <c r="H446" s="70" t="s">
        <v>2200</v>
      </c>
      <c r="I446" s="71" t="s">
        <v>924</v>
      </c>
      <c r="J446" s="71" t="s">
        <v>934</v>
      </c>
      <c r="K446" s="70" t="s">
        <v>558</v>
      </c>
      <c r="L446" s="92" t="s">
        <v>935</v>
      </c>
      <c r="M446" s="70" t="s">
        <v>2300</v>
      </c>
      <c r="N446" s="86" t="s">
        <v>66</v>
      </c>
      <c r="O446" s="87" t="s">
        <v>937</v>
      </c>
      <c r="P446" s="70" t="s">
        <v>979</v>
      </c>
      <c r="Q446" s="70" t="s">
        <v>939</v>
      </c>
      <c r="R446" s="70" t="s">
        <v>940</v>
      </c>
      <c r="S446" s="71" t="s">
        <v>941</v>
      </c>
      <c r="T446" s="70" t="s">
        <v>942</v>
      </c>
      <c r="U446" s="25" t="s">
        <v>943</v>
      </c>
      <c r="V446" s="70" t="s">
        <v>944</v>
      </c>
      <c r="W446" s="72" t="s">
        <v>945</v>
      </c>
      <c r="X446" s="70" t="s">
        <v>946</v>
      </c>
      <c r="Y446" s="49" t="s">
        <v>947</v>
      </c>
      <c r="Z446" s="70" t="s">
        <v>948</v>
      </c>
      <c r="AA446" s="71" t="s">
        <v>949</v>
      </c>
      <c r="AB446" s="70" t="s">
        <v>950</v>
      </c>
      <c r="AC446" s="70" t="s">
        <v>951</v>
      </c>
      <c r="AD446" s="22" t="s">
        <v>82</v>
      </c>
      <c r="AE446" s="26" t="s">
        <v>952</v>
      </c>
      <c r="AF446" s="27" t="s">
        <v>953</v>
      </c>
      <c r="AG446" s="70" t="s">
        <v>954</v>
      </c>
      <c r="AH446" s="70" t="s">
        <v>955</v>
      </c>
      <c r="AI446" s="73" t="s">
        <v>956</v>
      </c>
      <c r="AJ446" s="70" t="s">
        <v>957</v>
      </c>
      <c r="AK446" s="74" t="s">
        <v>958</v>
      </c>
      <c r="AL446" s="75" t="s">
        <v>959</v>
      </c>
      <c r="AM446" s="76" t="s">
        <v>960</v>
      </c>
      <c r="AN446" s="50" t="s">
        <v>961</v>
      </c>
      <c r="AO446" s="77" t="s">
        <v>962</v>
      </c>
      <c r="AP446" s="51" t="s">
        <v>963</v>
      </c>
      <c r="AQ446" s="78" t="s">
        <v>964</v>
      </c>
      <c r="AR446" s="74" t="s">
        <v>965</v>
      </c>
      <c r="AS446" s="92" t="s">
        <v>966</v>
      </c>
      <c r="AT446" s="75" t="s">
        <v>967</v>
      </c>
      <c r="AU446" s="79" t="s">
        <v>968</v>
      </c>
      <c r="AV446" s="80" t="s">
        <v>969</v>
      </c>
      <c r="AW446" s="81" t="s">
        <v>970</v>
      </c>
      <c r="AX446" s="82" t="s">
        <v>971</v>
      </c>
      <c r="AY446" s="83" t="s">
        <v>972</v>
      </c>
      <c r="AZ446" s="80" t="s">
        <v>585</v>
      </c>
      <c r="BA446" s="41" t="s">
        <v>105</v>
      </c>
      <c r="BB446" s="591" t="str">
        <f t="shared" si="30"/>
        <v>DEEP</v>
      </c>
      <c r="BC446" s="591" t="str">
        <f t="shared" si="31"/>
        <v>17. Regional Health Clusters-TBHC-CBAHI-HAS-H</v>
      </c>
      <c r="BD446" s="591" t="str">
        <f t="shared" si="32"/>
        <v>TBHC-CBAHI-HAS-H</v>
      </c>
      <c r="BE446" s="591" t="str">
        <f t="shared" si="33"/>
        <v>NONE</v>
      </c>
      <c r="BF446" s="594">
        <f t="shared" si="34"/>
        <v>15</v>
      </c>
    </row>
    <row r="447" spans="1:58" ht="42" customHeight="1" x14ac:dyDescent="0.45">
      <c r="A447" s="42">
        <v>398</v>
      </c>
      <c r="B447" s="412" t="s">
        <v>2294</v>
      </c>
      <c r="C447" s="44" t="s">
        <v>2295</v>
      </c>
      <c r="D447" s="44" t="s">
        <v>2191</v>
      </c>
      <c r="E447" s="412" t="s">
        <v>557</v>
      </c>
      <c r="F447" s="45" t="s">
        <v>58</v>
      </c>
      <c r="G447" s="44" t="s">
        <v>59</v>
      </c>
      <c r="H447" s="44" t="s">
        <v>57</v>
      </c>
      <c r="I447" s="46" t="s">
        <v>61</v>
      </c>
      <c r="J447" s="46" t="s">
        <v>62</v>
      </c>
      <c r="K447" s="44" t="s">
        <v>558</v>
      </c>
      <c r="L447" s="66" t="s">
        <v>559</v>
      </c>
      <c r="M447" s="44" t="s">
        <v>2301</v>
      </c>
      <c r="N447" s="47" t="s">
        <v>66</v>
      </c>
      <c r="O447" s="48" t="s">
        <v>196</v>
      </c>
      <c r="P447" s="44" t="s">
        <v>561</v>
      </c>
      <c r="Q447" s="70" t="s">
        <v>562</v>
      </c>
      <c r="R447" s="70" t="s">
        <v>563</v>
      </c>
      <c r="S447" s="71" t="s">
        <v>564</v>
      </c>
      <c r="T447" s="70" t="s">
        <v>565</v>
      </c>
      <c r="U447" s="25" t="s">
        <v>566</v>
      </c>
      <c r="V447" s="70" t="s">
        <v>282</v>
      </c>
      <c r="W447" s="72" t="s">
        <v>283</v>
      </c>
      <c r="X447" s="70" t="s">
        <v>284</v>
      </c>
      <c r="Y447" s="49" t="s">
        <v>285</v>
      </c>
      <c r="Z447" s="70" t="s">
        <v>286</v>
      </c>
      <c r="AA447" s="71" t="s">
        <v>286</v>
      </c>
      <c r="AB447" s="70" t="s">
        <v>287</v>
      </c>
      <c r="AC447" s="70" t="s">
        <v>288</v>
      </c>
      <c r="AD447" s="49" t="s">
        <v>289</v>
      </c>
      <c r="AE447" s="58" t="s">
        <v>290</v>
      </c>
      <c r="AF447" s="56" t="s">
        <v>291</v>
      </c>
      <c r="AG447" s="70" t="s">
        <v>292</v>
      </c>
      <c r="AH447" s="70" t="s">
        <v>293</v>
      </c>
      <c r="AI447" s="73" t="s">
        <v>215</v>
      </c>
      <c r="AJ447" s="70" t="s">
        <v>216</v>
      </c>
      <c r="AK447" s="74" t="s">
        <v>217</v>
      </c>
      <c r="AL447" s="75" t="s">
        <v>218</v>
      </c>
      <c r="AM447" s="76" t="s">
        <v>219</v>
      </c>
      <c r="AN447" s="50" t="s">
        <v>220</v>
      </c>
      <c r="AO447" s="77" t="s">
        <v>221</v>
      </c>
      <c r="AP447" s="51" t="s">
        <v>138</v>
      </c>
      <c r="AQ447" s="78" t="s">
        <v>139</v>
      </c>
      <c r="AR447" s="74" t="s">
        <v>140</v>
      </c>
      <c r="AS447" s="22" t="s">
        <v>141</v>
      </c>
      <c r="AT447" s="75" t="s">
        <v>142</v>
      </c>
      <c r="AU447" s="79" t="s">
        <v>143</v>
      </c>
      <c r="AV447" s="80" t="s">
        <v>144</v>
      </c>
      <c r="AW447" s="81" t="s">
        <v>145</v>
      </c>
      <c r="AX447" s="82" t="s">
        <v>146</v>
      </c>
      <c r="AY447" s="83" t="s">
        <v>147</v>
      </c>
      <c r="AZ447" s="80" t="s">
        <v>567</v>
      </c>
      <c r="BA447" s="34" t="s">
        <v>320</v>
      </c>
      <c r="BB447" s="591" t="str">
        <f t="shared" si="30"/>
        <v>TEMPLATE</v>
      </c>
      <c r="BC447" s="591" t="str">
        <f t="shared" si="31"/>
        <v>17. Regional Health Clusters-TBHC-NCA-ECC-2:2024</v>
      </c>
      <c r="BD447" s="591" t="str">
        <f t="shared" si="32"/>
        <v>TBHC-NCA-ECC-2-2024</v>
      </c>
      <c r="BE447" s="591" t="str">
        <f t="shared" si="33"/>
        <v>NCA-ECC-2-2024</v>
      </c>
      <c r="BF447" s="594">
        <f t="shared" si="34"/>
        <v>11</v>
      </c>
    </row>
    <row r="448" spans="1:58" ht="42" customHeight="1" x14ac:dyDescent="0.45">
      <c r="A448" s="84">
        <v>399</v>
      </c>
      <c r="B448" s="411" t="s">
        <v>2294</v>
      </c>
      <c r="C448" s="70" t="s">
        <v>2295</v>
      </c>
      <c r="D448" s="70" t="s">
        <v>2191</v>
      </c>
      <c r="E448" s="411" t="s">
        <v>382</v>
      </c>
      <c r="F448" s="72" t="s">
        <v>383</v>
      </c>
      <c r="G448" s="70" t="s">
        <v>384</v>
      </c>
      <c r="H448" s="70" t="s">
        <v>765</v>
      </c>
      <c r="I448" s="71" t="s">
        <v>250</v>
      </c>
      <c r="J448" s="71" t="s">
        <v>386</v>
      </c>
      <c r="K448" s="70" t="s">
        <v>558</v>
      </c>
      <c r="L448" s="66" t="s">
        <v>559</v>
      </c>
      <c r="M448" s="70" t="s">
        <v>2302</v>
      </c>
      <c r="N448" s="86" t="s">
        <v>66</v>
      </c>
      <c r="O448" s="87" t="s">
        <v>540</v>
      </c>
      <c r="P448" s="70" t="s">
        <v>380</v>
      </c>
      <c r="Q448" s="70" t="s">
        <v>390</v>
      </c>
      <c r="R448" s="70" t="s">
        <v>391</v>
      </c>
      <c r="S448" s="71" t="s">
        <v>392</v>
      </c>
      <c r="T448" s="70" t="s">
        <v>393</v>
      </c>
      <c r="U448" s="25" t="s">
        <v>394</v>
      </c>
      <c r="V448" s="70" t="s">
        <v>395</v>
      </c>
      <c r="W448" s="72" t="s">
        <v>396</v>
      </c>
      <c r="X448" s="70" t="s">
        <v>397</v>
      </c>
      <c r="Y448" s="49" t="s">
        <v>398</v>
      </c>
      <c r="Z448" s="70" t="s">
        <v>399</v>
      </c>
      <c r="AA448" s="71" t="s">
        <v>400</v>
      </c>
      <c r="AB448" s="70" t="s">
        <v>401</v>
      </c>
      <c r="AC448" s="70" t="s">
        <v>402</v>
      </c>
      <c r="AD448" s="49" t="s">
        <v>403</v>
      </c>
      <c r="AE448" s="50" t="s">
        <v>404</v>
      </c>
      <c r="AF448" s="60" t="s">
        <v>405</v>
      </c>
      <c r="AG448" s="70" t="s">
        <v>406</v>
      </c>
      <c r="AH448" s="70" t="s">
        <v>407</v>
      </c>
      <c r="AI448" s="73" t="s">
        <v>408</v>
      </c>
      <c r="AJ448" s="70" t="s">
        <v>409</v>
      </c>
      <c r="AK448" s="74" t="s">
        <v>410</v>
      </c>
      <c r="AL448" s="75" t="s">
        <v>411</v>
      </c>
      <c r="AM448" s="76" t="s">
        <v>412</v>
      </c>
      <c r="AN448" s="50" t="s">
        <v>413</v>
      </c>
      <c r="AO448" s="77" t="s">
        <v>414</v>
      </c>
      <c r="AP448" s="51" t="s">
        <v>415</v>
      </c>
      <c r="AQ448" s="78" t="s">
        <v>416</v>
      </c>
      <c r="AR448" s="74" t="s">
        <v>417</v>
      </c>
      <c r="AS448" s="22" t="s">
        <v>418</v>
      </c>
      <c r="AT448" s="75" t="s">
        <v>419</v>
      </c>
      <c r="AU448" s="79" t="s">
        <v>420</v>
      </c>
      <c r="AV448" s="80" t="s">
        <v>421</v>
      </c>
      <c r="AW448" s="81" t="s">
        <v>422</v>
      </c>
      <c r="AX448" s="82" t="s">
        <v>423</v>
      </c>
      <c r="AY448" s="83" t="s">
        <v>424</v>
      </c>
      <c r="AZ448" s="80" t="s">
        <v>425</v>
      </c>
      <c r="BA448" s="34" t="s">
        <v>320</v>
      </c>
      <c r="BB448" s="591" t="str">
        <f t="shared" si="30"/>
        <v>DEEP</v>
      </c>
      <c r="BC448" s="591" t="str">
        <f t="shared" si="31"/>
        <v>17. Regional Health Clusters-TBHC-PDPL-2021</v>
      </c>
      <c r="BD448" s="591" t="str">
        <f t="shared" si="32"/>
        <v>TBHC-PDPL-2021</v>
      </c>
      <c r="BE448" s="591" t="str">
        <f t="shared" si="33"/>
        <v>NONE</v>
      </c>
      <c r="BF448" s="594">
        <f t="shared" si="34"/>
        <v>18</v>
      </c>
    </row>
    <row r="449" spans="1:58" ht="42" customHeight="1" x14ac:dyDescent="0.45">
      <c r="A449" s="42">
        <v>400</v>
      </c>
      <c r="B449" s="412" t="s">
        <v>2294</v>
      </c>
      <c r="C449" s="44" t="s">
        <v>2295</v>
      </c>
      <c r="D449" s="44" t="s">
        <v>2191</v>
      </c>
      <c r="E449" s="412" t="s">
        <v>688</v>
      </c>
      <c r="F449" s="45" t="s">
        <v>689</v>
      </c>
      <c r="G449" s="44" t="s">
        <v>690</v>
      </c>
      <c r="H449" s="44" t="s">
        <v>691</v>
      </c>
      <c r="I449" s="46" t="s">
        <v>151</v>
      </c>
      <c r="J449" s="46" t="s">
        <v>692</v>
      </c>
      <c r="K449" s="44" t="s">
        <v>558</v>
      </c>
      <c r="L449" s="66" t="s">
        <v>559</v>
      </c>
      <c r="M449" s="44" t="s">
        <v>2303</v>
      </c>
      <c r="N449" s="54" t="s">
        <v>154</v>
      </c>
      <c r="O449" s="48" t="s">
        <v>593</v>
      </c>
      <c r="P449" s="44" t="s">
        <v>636</v>
      </c>
      <c r="Q449" s="70" t="s">
        <v>695</v>
      </c>
      <c r="R449" s="70" t="s">
        <v>696</v>
      </c>
      <c r="S449" s="71" t="s">
        <v>697</v>
      </c>
      <c r="T449" s="70" t="s">
        <v>698</v>
      </c>
      <c r="U449" s="25" t="s">
        <v>699</v>
      </c>
      <c r="V449" s="70" t="s">
        <v>700</v>
      </c>
      <c r="W449" s="72" t="s">
        <v>701</v>
      </c>
      <c r="X449" s="70" t="s">
        <v>702</v>
      </c>
      <c r="Y449" s="22" t="s">
        <v>205</v>
      </c>
      <c r="Z449" s="70" t="s">
        <v>703</v>
      </c>
      <c r="AA449" s="71" t="s">
        <v>704</v>
      </c>
      <c r="AB449" s="70" t="s">
        <v>705</v>
      </c>
      <c r="AC449" s="70" t="s">
        <v>706</v>
      </c>
      <c r="AD449" s="49" t="s">
        <v>707</v>
      </c>
      <c r="AE449" s="26" t="s">
        <v>675</v>
      </c>
      <c r="AF449" s="60" t="s">
        <v>708</v>
      </c>
      <c r="AG449" s="70" t="s">
        <v>709</v>
      </c>
      <c r="AH449" s="70" t="s">
        <v>710</v>
      </c>
      <c r="AI449" s="73" t="s">
        <v>711</v>
      </c>
      <c r="AJ449" s="70" t="s">
        <v>712</v>
      </c>
      <c r="AK449" s="74" t="s">
        <v>713</v>
      </c>
      <c r="AL449" s="75" t="s">
        <v>714</v>
      </c>
      <c r="AM449" s="76" t="s">
        <v>715</v>
      </c>
      <c r="AN449" s="50" t="s">
        <v>716</v>
      </c>
      <c r="AO449" s="77" t="s">
        <v>717</v>
      </c>
      <c r="AP449" s="51" t="s">
        <v>718</v>
      </c>
      <c r="AQ449" s="78" t="s">
        <v>719</v>
      </c>
      <c r="AR449" s="74" t="s">
        <v>720</v>
      </c>
      <c r="AS449" s="61" t="s">
        <v>721</v>
      </c>
      <c r="AT449" s="75" t="s">
        <v>722</v>
      </c>
      <c r="AU449" s="79" t="s">
        <v>723</v>
      </c>
      <c r="AV449" s="80" t="s">
        <v>724</v>
      </c>
      <c r="AW449" s="81" t="s">
        <v>725</v>
      </c>
      <c r="AX449" s="82" t="s">
        <v>726</v>
      </c>
      <c r="AY449" s="83" t="s">
        <v>727</v>
      </c>
      <c r="AZ449" s="80" t="s">
        <v>728</v>
      </c>
      <c r="BA449" s="41" t="s">
        <v>105</v>
      </c>
      <c r="BB449" s="591" t="str">
        <f t="shared" si="30"/>
        <v>DEEP</v>
      </c>
      <c r="BC449" s="591" t="str">
        <f t="shared" si="31"/>
        <v>17. Regional Health Clusters-TBHC-MOH-TELE</v>
      </c>
      <c r="BD449" s="591" t="str">
        <f t="shared" si="32"/>
        <v>TBHC-MOH-TELE</v>
      </c>
      <c r="BE449" s="591" t="str">
        <f t="shared" si="33"/>
        <v>NONE</v>
      </c>
      <c r="BF449" s="594">
        <f t="shared" si="34"/>
        <v>16</v>
      </c>
    </row>
    <row r="450" spans="1:58" ht="42" customHeight="1" x14ac:dyDescent="0.45">
      <c r="A450" s="84">
        <v>401</v>
      </c>
      <c r="B450" s="411" t="s">
        <v>2294</v>
      </c>
      <c r="C450" s="70" t="s">
        <v>2295</v>
      </c>
      <c r="D450" s="70" t="s">
        <v>2191</v>
      </c>
      <c r="E450" s="411" t="s">
        <v>1246</v>
      </c>
      <c r="F450" s="72" t="s">
        <v>2205</v>
      </c>
      <c r="G450" s="70" t="s">
        <v>2206</v>
      </c>
      <c r="H450" s="70" t="s">
        <v>633</v>
      </c>
      <c r="I450" s="71" t="s">
        <v>61</v>
      </c>
      <c r="J450" s="71" t="s">
        <v>194</v>
      </c>
      <c r="K450" s="70" t="s">
        <v>558</v>
      </c>
      <c r="L450" s="66" t="s">
        <v>559</v>
      </c>
      <c r="M450" s="70" t="s">
        <v>2304</v>
      </c>
      <c r="N450" s="86" t="s">
        <v>66</v>
      </c>
      <c r="O450" s="87" t="s">
        <v>1250</v>
      </c>
      <c r="P450" s="70" t="s">
        <v>1244</v>
      </c>
      <c r="Q450" s="70" t="s">
        <v>1252</v>
      </c>
      <c r="R450" s="70" t="s">
        <v>1253</v>
      </c>
      <c r="S450" s="71" t="s">
        <v>1254</v>
      </c>
      <c r="T450" s="70" t="s">
        <v>1255</v>
      </c>
      <c r="U450" s="25" t="s">
        <v>1256</v>
      </c>
      <c r="V450" s="70" t="s">
        <v>1257</v>
      </c>
      <c r="W450" s="72" t="s">
        <v>1258</v>
      </c>
      <c r="X450" s="70" t="s">
        <v>1259</v>
      </c>
      <c r="Y450" s="22" t="s">
        <v>205</v>
      </c>
      <c r="Z450" s="70" t="s">
        <v>1260</v>
      </c>
      <c r="AA450" s="71" t="s">
        <v>1261</v>
      </c>
      <c r="AB450" s="70" t="s">
        <v>1262</v>
      </c>
      <c r="AC450" s="70" t="s">
        <v>1263</v>
      </c>
      <c r="AD450" s="49" t="s">
        <v>650</v>
      </c>
      <c r="AE450" s="37" t="s">
        <v>1264</v>
      </c>
      <c r="AF450" s="27" t="s">
        <v>1265</v>
      </c>
      <c r="AG450" s="70" t="s">
        <v>1266</v>
      </c>
      <c r="AH450" s="70" t="s">
        <v>1267</v>
      </c>
      <c r="AI450" s="73" t="s">
        <v>215</v>
      </c>
      <c r="AJ450" s="70" t="s">
        <v>216</v>
      </c>
      <c r="AK450" s="74" t="s">
        <v>217</v>
      </c>
      <c r="AL450" s="75" t="s">
        <v>218</v>
      </c>
      <c r="AM450" s="76" t="s">
        <v>219</v>
      </c>
      <c r="AN450" s="50" t="s">
        <v>220</v>
      </c>
      <c r="AO450" s="77" t="s">
        <v>221</v>
      </c>
      <c r="AP450" s="51" t="s">
        <v>138</v>
      </c>
      <c r="AQ450" s="78" t="s">
        <v>139</v>
      </c>
      <c r="AR450" s="74" t="s">
        <v>140</v>
      </c>
      <c r="AS450" s="22" t="s">
        <v>141</v>
      </c>
      <c r="AT450" s="75" t="s">
        <v>142</v>
      </c>
      <c r="AU450" s="79" t="s">
        <v>143</v>
      </c>
      <c r="AV450" s="80" t="s">
        <v>144</v>
      </c>
      <c r="AW450" s="81" t="s">
        <v>145</v>
      </c>
      <c r="AX450" s="82" t="s">
        <v>146</v>
      </c>
      <c r="AY450" s="83" t="s">
        <v>147</v>
      </c>
      <c r="AZ450" s="80" t="s">
        <v>585</v>
      </c>
      <c r="BA450" s="41" t="s">
        <v>105</v>
      </c>
      <c r="BB450" s="591" t="str">
        <f t="shared" si="30"/>
        <v>TEMPLATE</v>
      </c>
      <c r="BC450" s="591" t="str">
        <f t="shared" si="31"/>
        <v>17. Regional Health Clusters-TBHC-NHIC-NABIDH</v>
      </c>
      <c r="BD450" s="591" t="str">
        <f t="shared" si="32"/>
        <v>TBHC-NHIC-NABIDH</v>
      </c>
      <c r="BE450" s="591" t="str">
        <f t="shared" si="33"/>
        <v>NONE</v>
      </c>
      <c r="BF450" s="594">
        <f t="shared" si="34"/>
        <v>11</v>
      </c>
    </row>
    <row r="451" spans="1:58" ht="42" customHeight="1" x14ac:dyDescent="0.45">
      <c r="A451" s="42">
        <v>402</v>
      </c>
      <c r="B451" s="412" t="s">
        <v>2294</v>
      </c>
      <c r="C451" s="44" t="s">
        <v>2295</v>
      </c>
      <c r="D451" s="44" t="s">
        <v>2191</v>
      </c>
      <c r="E451" s="412" t="s">
        <v>770</v>
      </c>
      <c r="F451" s="45" t="s">
        <v>107</v>
      </c>
      <c r="G451" s="44" t="s">
        <v>108</v>
      </c>
      <c r="H451" s="44" t="s">
        <v>106</v>
      </c>
      <c r="I451" s="46" t="s">
        <v>109</v>
      </c>
      <c r="J451" s="46" t="s">
        <v>110</v>
      </c>
      <c r="K451" s="44" t="s">
        <v>558</v>
      </c>
      <c r="L451" s="66" t="s">
        <v>559</v>
      </c>
      <c r="M451" s="44" t="s">
        <v>2305</v>
      </c>
      <c r="N451" s="47" t="s">
        <v>66</v>
      </c>
      <c r="O451" s="48" t="s">
        <v>196</v>
      </c>
      <c r="P451" s="44" t="s">
        <v>2209</v>
      </c>
      <c r="Q451" s="70" t="s">
        <v>562</v>
      </c>
      <c r="R451" s="70" t="s">
        <v>563</v>
      </c>
      <c r="S451" s="71" t="s">
        <v>564</v>
      </c>
      <c r="T451" s="70" t="s">
        <v>565</v>
      </c>
      <c r="U451" s="25" t="s">
        <v>566</v>
      </c>
      <c r="V451" s="70" t="s">
        <v>282</v>
      </c>
      <c r="W451" s="72" t="s">
        <v>283</v>
      </c>
      <c r="X451" s="70" t="s">
        <v>284</v>
      </c>
      <c r="Y451" s="49" t="s">
        <v>285</v>
      </c>
      <c r="Z451" s="70" t="s">
        <v>286</v>
      </c>
      <c r="AA451" s="71" t="s">
        <v>286</v>
      </c>
      <c r="AB451" s="70" t="s">
        <v>287</v>
      </c>
      <c r="AC451" s="70" t="s">
        <v>288</v>
      </c>
      <c r="AD451" s="49" t="s">
        <v>289</v>
      </c>
      <c r="AE451" s="58" t="s">
        <v>290</v>
      </c>
      <c r="AF451" s="56" t="s">
        <v>291</v>
      </c>
      <c r="AG451" s="70" t="s">
        <v>292</v>
      </c>
      <c r="AH451" s="70" t="s">
        <v>293</v>
      </c>
      <c r="AI451" s="73" t="s">
        <v>215</v>
      </c>
      <c r="AJ451" s="70" t="s">
        <v>216</v>
      </c>
      <c r="AK451" s="74" t="s">
        <v>217</v>
      </c>
      <c r="AL451" s="75" t="s">
        <v>218</v>
      </c>
      <c r="AM451" s="76" t="s">
        <v>219</v>
      </c>
      <c r="AN451" s="50" t="s">
        <v>220</v>
      </c>
      <c r="AO451" s="77" t="s">
        <v>221</v>
      </c>
      <c r="AP451" s="53" t="s">
        <v>773</v>
      </c>
      <c r="AQ451" s="78" t="s">
        <v>774</v>
      </c>
      <c r="AR451" s="74" t="s">
        <v>775</v>
      </c>
      <c r="AS451" s="22" t="s">
        <v>776</v>
      </c>
      <c r="AT451" s="75" t="s">
        <v>777</v>
      </c>
      <c r="AU451" s="79" t="s">
        <v>778</v>
      </c>
      <c r="AV451" s="80" t="s">
        <v>779</v>
      </c>
      <c r="AW451" s="81" t="s">
        <v>780</v>
      </c>
      <c r="AX451" s="82" t="s">
        <v>781</v>
      </c>
      <c r="AY451" s="83" t="s">
        <v>782</v>
      </c>
      <c r="AZ451" s="80" t="s">
        <v>104</v>
      </c>
      <c r="BA451" s="41" t="s">
        <v>105</v>
      </c>
      <c r="BB451" s="591" t="str">
        <f t="shared" si="30"/>
        <v>TEMPLATE</v>
      </c>
      <c r="BC451" s="591" t="str">
        <f t="shared" si="31"/>
        <v>17. Regional Health Clusters-TBHC-NCA-OTCC</v>
      </c>
      <c r="BD451" s="591" t="str">
        <f t="shared" si="32"/>
        <v>TBHC-NCA-OTCC</v>
      </c>
      <c r="BE451" s="591" t="str">
        <f t="shared" si="33"/>
        <v>NCA-ECC-2-2024</v>
      </c>
      <c r="BF451" s="594">
        <f t="shared" si="34"/>
        <v>11</v>
      </c>
    </row>
    <row r="452" spans="1:58" ht="42" customHeight="1" x14ac:dyDescent="0.45">
      <c r="A452" s="84">
        <v>403</v>
      </c>
      <c r="B452" s="411" t="s">
        <v>2306</v>
      </c>
      <c r="C452" s="70" t="s">
        <v>2307</v>
      </c>
      <c r="D452" s="70" t="s">
        <v>2191</v>
      </c>
      <c r="E452" s="411" t="s">
        <v>586</v>
      </c>
      <c r="F452" s="72" t="s">
        <v>587</v>
      </c>
      <c r="G452" s="70" t="s">
        <v>588</v>
      </c>
      <c r="H452" s="70" t="s">
        <v>589</v>
      </c>
      <c r="I452" s="71" t="s">
        <v>590</v>
      </c>
      <c r="J452" s="71" t="s">
        <v>591</v>
      </c>
      <c r="K452" s="70" t="s">
        <v>558</v>
      </c>
      <c r="L452" s="66" t="s">
        <v>559</v>
      </c>
      <c r="M452" s="70" t="s">
        <v>2308</v>
      </c>
      <c r="N452" s="86" t="s">
        <v>66</v>
      </c>
      <c r="O452" s="87" t="s">
        <v>593</v>
      </c>
      <c r="P452" s="70" t="s">
        <v>661</v>
      </c>
      <c r="Q452" s="70" t="s">
        <v>595</v>
      </c>
      <c r="R452" s="70" t="s">
        <v>596</v>
      </c>
      <c r="S452" s="71" t="s">
        <v>597</v>
      </c>
      <c r="T452" s="70" t="s">
        <v>598</v>
      </c>
      <c r="U452" s="25" t="s">
        <v>599</v>
      </c>
      <c r="V452" s="70" t="s">
        <v>600</v>
      </c>
      <c r="W452" s="72" t="s">
        <v>601</v>
      </c>
      <c r="X452" s="70" t="s">
        <v>602</v>
      </c>
      <c r="Y452" s="49" t="s">
        <v>603</v>
      </c>
      <c r="Z452" s="70" t="s">
        <v>604</v>
      </c>
      <c r="AA452" s="71" t="s">
        <v>605</v>
      </c>
      <c r="AB452" s="70" t="s">
        <v>606</v>
      </c>
      <c r="AC452" s="70" t="s">
        <v>607</v>
      </c>
      <c r="AD452" s="49" t="s">
        <v>608</v>
      </c>
      <c r="AE452" s="26" t="s">
        <v>609</v>
      </c>
      <c r="AF452" s="27" t="s">
        <v>610</v>
      </c>
      <c r="AG452" s="70" t="s">
        <v>611</v>
      </c>
      <c r="AH452" s="70" t="s">
        <v>612</v>
      </c>
      <c r="AI452" s="73" t="s">
        <v>613</v>
      </c>
      <c r="AJ452" s="70" t="s">
        <v>614</v>
      </c>
      <c r="AK452" s="74" t="s">
        <v>615</v>
      </c>
      <c r="AL452" s="75" t="s">
        <v>616</v>
      </c>
      <c r="AM452" s="76" t="s">
        <v>617</v>
      </c>
      <c r="AN452" s="50" t="s">
        <v>618</v>
      </c>
      <c r="AO452" s="77" t="s">
        <v>619</v>
      </c>
      <c r="AP452" s="34" t="s">
        <v>620</v>
      </c>
      <c r="AQ452" s="78" t="s">
        <v>621</v>
      </c>
      <c r="AR452" s="74" t="s">
        <v>622</v>
      </c>
      <c r="AS452" s="61" t="s">
        <v>623</v>
      </c>
      <c r="AT452" s="75" t="s">
        <v>624</v>
      </c>
      <c r="AU452" s="79" t="s">
        <v>625</v>
      </c>
      <c r="AV452" s="80" t="s">
        <v>626</v>
      </c>
      <c r="AW452" s="81" t="s">
        <v>627</v>
      </c>
      <c r="AX452" s="82" t="s">
        <v>628</v>
      </c>
      <c r="AY452" s="83" t="s">
        <v>629</v>
      </c>
      <c r="AZ452" s="80" t="s">
        <v>585</v>
      </c>
      <c r="BA452" s="41" t="s">
        <v>105</v>
      </c>
      <c r="BB452" s="591" t="str">
        <f t="shared" si="30"/>
        <v>DEEP</v>
      </c>
      <c r="BC452" s="591" t="str">
        <f t="shared" si="31"/>
        <v>17. Regional Health Clusters-NMHC-MOH-HIS</v>
      </c>
      <c r="BD452" s="591" t="str">
        <f t="shared" si="32"/>
        <v>NMHC-MOH-HIS</v>
      </c>
      <c r="BE452" s="591" t="str">
        <f t="shared" si="33"/>
        <v>NONE</v>
      </c>
      <c r="BF452" s="594">
        <f t="shared" si="34"/>
        <v>18</v>
      </c>
    </row>
    <row r="453" spans="1:58" ht="42" customHeight="1" x14ac:dyDescent="0.45">
      <c r="A453" s="42">
        <v>404</v>
      </c>
      <c r="B453" s="412" t="s">
        <v>2306</v>
      </c>
      <c r="C453" s="44" t="s">
        <v>2307</v>
      </c>
      <c r="D453" s="44" t="s">
        <v>2191</v>
      </c>
      <c r="E453" s="412" t="s">
        <v>630</v>
      </c>
      <c r="F453" s="45" t="s">
        <v>2193</v>
      </c>
      <c r="G453" s="44" t="s">
        <v>2194</v>
      </c>
      <c r="H453" s="44" t="s">
        <v>633</v>
      </c>
      <c r="I453" s="46" t="s">
        <v>590</v>
      </c>
      <c r="J453" s="46" t="s">
        <v>634</v>
      </c>
      <c r="K453" s="44" t="s">
        <v>558</v>
      </c>
      <c r="L453" s="66" t="s">
        <v>559</v>
      </c>
      <c r="M453" s="44" t="s">
        <v>2309</v>
      </c>
      <c r="N453" s="47" t="s">
        <v>66</v>
      </c>
      <c r="O453" s="48" t="s">
        <v>593</v>
      </c>
      <c r="P453" s="44" t="s">
        <v>2196</v>
      </c>
      <c r="Q453" s="70" t="s">
        <v>637</v>
      </c>
      <c r="R453" s="70" t="s">
        <v>638</v>
      </c>
      <c r="S453" s="71" t="s">
        <v>639</v>
      </c>
      <c r="T453" s="70" t="s">
        <v>640</v>
      </c>
      <c r="U453" s="25" t="s">
        <v>641</v>
      </c>
      <c r="V453" s="70" t="s">
        <v>642</v>
      </c>
      <c r="W453" s="72" t="s">
        <v>643</v>
      </c>
      <c r="X453" s="70" t="s">
        <v>644</v>
      </c>
      <c r="Y453" s="49" t="s">
        <v>645</v>
      </c>
      <c r="Z453" s="70" t="s">
        <v>646</v>
      </c>
      <c r="AA453" s="71" t="s">
        <v>647</v>
      </c>
      <c r="AB453" s="70" t="s">
        <v>648</v>
      </c>
      <c r="AC453" s="70" t="s">
        <v>649</v>
      </c>
      <c r="AD453" s="49" t="s">
        <v>650</v>
      </c>
      <c r="AE453" s="26" t="s">
        <v>651</v>
      </c>
      <c r="AF453" s="27" t="s">
        <v>652</v>
      </c>
      <c r="AG453" s="70" t="s">
        <v>653</v>
      </c>
      <c r="AH453" s="70" t="s">
        <v>654</v>
      </c>
      <c r="AI453" s="73" t="s">
        <v>215</v>
      </c>
      <c r="AJ453" s="70" t="s">
        <v>216</v>
      </c>
      <c r="AK453" s="74" t="s">
        <v>217</v>
      </c>
      <c r="AL453" s="75" t="s">
        <v>218</v>
      </c>
      <c r="AM453" s="76" t="s">
        <v>219</v>
      </c>
      <c r="AN453" s="50" t="s">
        <v>220</v>
      </c>
      <c r="AO453" s="77" t="s">
        <v>221</v>
      </c>
      <c r="AP453" s="51" t="s">
        <v>138</v>
      </c>
      <c r="AQ453" s="78" t="s">
        <v>139</v>
      </c>
      <c r="AR453" s="74" t="s">
        <v>140</v>
      </c>
      <c r="AS453" s="22" t="s">
        <v>141</v>
      </c>
      <c r="AT453" s="75" t="s">
        <v>142</v>
      </c>
      <c r="AU453" s="79" t="s">
        <v>143</v>
      </c>
      <c r="AV453" s="80" t="s">
        <v>144</v>
      </c>
      <c r="AW453" s="81" t="s">
        <v>145</v>
      </c>
      <c r="AX453" s="82" t="s">
        <v>146</v>
      </c>
      <c r="AY453" s="83" t="s">
        <v>147</v>
      </c>
      <c r="AZ453" s="80" t="s">
        <v>585</v>
      </c>
      <c r="BA453" s="41" t="s">
        <v>105</v>
      </c>
      <c r="BB453" s="591" t="str">
        <f t="shared" ref="BB453:BB500" si="35">IF(E453="","",IF(ISNUMBER(SEARCH("Institutional theory and regulatory governance theory underpin",AI453)),"TEMPLATE",IF(LEN(AI453)&gt;100,"DEEP",IF(AI453="","SPARSE","SHALLOW"))))</f>
        <v>TEMPLATE</v>
      </c>
      <c r="BC453" s="591" t="str">
        <f t="shared" ref="BC453:BC500" si="36">IF(E453="","",D453&amp;"-"&amp;B453&amp;"-"&amp;E453)</f>
        <v>17. Regional Health Clusters-NMHC-MOH-EMR-NABIDH</v>
      </c>
      <c r="BD453" s="591" t="str">
        <f t="shared" ref="BD453:BD500" si="37">IF(E453="","",SUBSTITUTE(SUBSTITUTE(B453&amp;"-"&amp;E453," ",""),":","-"))</f>
        <v>NMHC-MOH-EMR-NABIDH</v>
      </c>
      <c r="BE453" s="591" t="str">
        <f t="shared" ref="BE453:BE500" si="38">IF(E453="","",IF(ISNUMBER(SEARCH("ECC",E453)),"NCA-ECC-2-2024",IF(ISNUMBER(SEARCH("OTCC",E453)),"NCA-ECC-2-2024",IF(ISNUMBER(SEARCH("CCC",E453)),"NCA-ECC-2-2024",IF(ISNUMBER(SEARCH("DCC",E453)),"NCA-ECC-2-2024",IF(ISNUMBER(SEARCH("CSCC",E453)),"NCA-ECC-2-2024",IF(ISNUMBER(SEARCH("PDPL-IR",E453)),"PDPL-2021",IF(ISNUMBER(SEARCH("PDPL-DTR",E453)),"PDPL-2021","NONE"))))))))</f>
        <v>NONE</v>
      </c>
      <c r="BF453" s="594">
        <f t="shared" ref="BF453:BF500" si="39">IF(E453="","",IF(BB453="DEEP",10,IF(BB453="SHALLOW",5,IF(BB453="TEMPLATE",3,1)))+IF(N453="HIGHEST",5,IF(N453="HIGH",3,IF(N453="MODERATE",1,0)))+IF(ISNUMBER(SEARCH("Mandatory",L453)),3,0))</f>
        <v>11</v>
      </c>
    </row>
    <row r="454" spans="1:58" ht="42" customHeight="1" x14ac:dyDescent="0.45">
      <c r="A454" s="84">
        <v>405</v>
      </c>
      <c r="B454" s="411" t="s">
        <v>2306</v>
      </c>
      <c r="C454" s="70" t="s">
        <v>2307</v>
      </c>
      <c r="D454" s="70" t="s">
        <v>2191</v>
      </c>
      <c r="E454" s="411" t="s">
        <v>655</v>
      </c>
      <c r="F454" s="72" t="s">
        <v>656</v>
      </c>
      <c r="G454" s="70" t="s">
        <v>657</v>
      </c>
      <c r="H454" s="70" t="s">
        <v>589</v>
      </c>
      <c r="I454" s="71" t="s">
        <v>658</v>
      </c>
      <c r="J454" s="71" t="s">
        <v>659</v>
      </c>
      <c r="K454" s="70" t="s">
        <v>558</v>
      </c>
      <c r="L454" s="66" t="s">
        <v>559</v>
      </c>
      <c r="M454" s="70" t="s">
        <v>2310</v>
      </c>
      <c r="N454" s="86" t="s">
        <v>66</v>
      </c>
      <c r="O454" s="87" t="s">
        <v>593</v>
      </c>
      <c r="P454" s="70" t="s">
        <v>661</v>
      </c>
      <c r="Q454" s="70" t="s">
        <v>662</v>
      </c>
      <c r="R454" s="70" t="s">
        <v>663</v>
      </c>
      <c r="S454" s="71" t="s">
        <v>664</v>
      </c>
      <c r="T454" s="70" t="s">
        <v>665</v>
      </c>
      <c r="U454" s="25" t="s">
        <v>666</v>
      </c>
      <c r="V454" s="70" t="s">
        <v>667</v>
      </c>
      <c r="W454" s="72" t="s">
        <v>668</v>
      </c>
      <c r="X454" s="70" t="s">
        <v>669</v>
      </c>
      <c r="Y454" s="22" t="s">
        <v>205</v>
      </c>
      <c r="Z454" s="70" t="s">
        <v>670</v>
      </c>
      <c r="AA454" s="71" t="s">
        <v>671</v>
      </c>
      <c r="AB454" s="70" t="s">
        <v>672</v>
      </c>
      <c r="AC454" s="70" t="s">
        <v>673</v>
      </c>
      <c r="AD454" s="49" t="s">
        <v>674</v>
      </c>
      <c r="AE454" s="26" t="s">
        <v>675</v>
      </c>
      <c r="AF454" s="27" t="s">
        <v>676</v>
      </c>
      <c r="AG454" s="70" t="s">
        <v>677</v>
      </c>
      <c r="AH454" s="70" t="s">
        <v>678</v>
      </c>
      <c r="AI454" s="73" t="s">
        <v>215</v>
      </c>
      <c r="AJ454" s="70" t="s">
        <v>216</v>
      </c>
      <c r="AK454" s="74" t="s">
        <v>217</v>
      </c>
      <c r="AL454" s="75" t="s">
        <v>218</v>
      </c>
      <c r="AM454" s="76" t="s">
        <v>219</v>
      </c>
      <c r="AN454" s="50" t="s">
        <v>220</v>
      </c>
      <c r="AO454" s="77" t="s">
        <v>221</v>
      </c>
      <c r="AP454" s="51" t="s">
        <v>138</v>
      </c>
      <c r="AQ454" s="78" t="s">
        <v>139</v>
      </c>
      <c r="AR454" s="74" t="s">
        <v>140</v>
      </c>
      <c r="AS454" s="22" t="s">
        <v>141</v>
      </c>
      <c r="AT454" s="75" t="s">
        <v>142</v>
      </c>
      <c r="AU454" s="79" t="s">
        <v>143</v>
      </c>
      <c r="AV454" s="80" t="s">
        <v>144</v>
      </c>
      <c r="AW454" s="81" t="s">
        <v>145</v>
      </c>
      <c r="AX454" s="82" t="s">
        <v>146</v>
      </c>
      <c r="AY454" s="83" t="s">
        <v>147</v>
      </c>
      <c r="AZ454" s="80" t="s">
        <v>585</v>
      </c>
      <c r="BA454" s="41" t="s">
        <v>105</v>
      </c>
      <c r="BB454" s="591" t="str">
        <f t="shared" si="35"/>
        <v>TEMPLATE</v>
      </c>
      <c r="BC454" s="591" t="str">
        <f t="shared" si="36"/>
        <v>17. Regional Health Clusters-NMHC-MOH-PS</v>
      </c>
      <c r="BD454" s="591" t="str">
        <f t="shared" si="37"/>
        <v>NMHC-MOH-PS</v>
      </c>
      <c r="BE454" s="591" t="str">
        <f t="shared" si="38"/>
        <v>NONE</v>
      </c>
      <c r="BF454" s="594">
        <f t="shared" si="39"/>
        <v>11</v>
      </c>
    </row>
    <row r="455" spans="1:58" ht="42" customHeight="1" x14ac:dyDescent="0.45">
      <c r="A455" s="42">
        <v>406</v>
      </c>
      <c r="B455" s="412" t="s">
        <v>2306</v>
      </c>
      <c r="C455" s="44" t="s">
        <v>2307</v>
      </c>
      <c r="D455" s="44" t="s">
        <v>2191</v>
      </c>
      <c r="E455" s="412" t="s">
        <v>679</v>
      </c>
      <c r="F455" s="45" t="s">
        <v>680</v>
      </c>
      <c r="G455" s="44" t="s">
        <v>681</v>
      </c>
      <c r="H455" s="44" t="s">
        <v>225</v>
      </c>
      <c r="I455" s="46" t="s">
        <v>682</v>
      </c>
      <c r="J455" s="46" t="s">
        <v>386</v>
      </c>
      <c r="K455" s="44" t="s">
        <v>558</v>
      </c>
      <c r="L455" s="66" t="s">
        <v>559</v>
      </c>
      <c r="M455" s="44" t="s">
        <v>2311</v>
      </c>
      <c r="N455" s="54" t="s">
        <v>154</v>
      </c>
      <c r="O455" s="48" t="s">
        <v>593</v>
      </c>
      <c r="P455" s="44" t="s">
        <v>661</v>
      </c>
      <c r="Q455" s="70" t="s">
        <v>683</v>
      </c>
      <c r="R455" s="70" t="s">
        <v>684</v>
      </c>
      <c r="S455" s="71" t="s">
        <v>685</v>
      </c>
      <c r="T455" s="70" t="s">
        <v>686</v>
      </c>
      <c r="U455" s="25" t="s">
        <v>687</v>
      </c>
      <c r="V455" s="70" t="s">
        <v>282</v>
      </c>
      <c r="W455" s="72" t="s">
        <v>283</v>
      </c>
      <c r="X455" s="70" t="s">
        <v>284</v>
      </c>
      <c r="Y455" s="49" t="s">
        <v>285</v>
      </c>
      <c r="Z455" s="70" t="s">
        <v>286</v>
      </c>
      <c r="AA455" s="71" t="s">
        <v>286</v>
      </c>
      <c r="AB455" s="70" t="s">
        <v>287</v>
      </c>
      <c r="AC455" s="70" t="s">
        <v>288</v>
      </c>
      <c r="AD455" s="49" t="s">
        <v>289</v>
      </c>
      <c r="AE455" s="58" t="s">
        <v>290</v>
      </c>
      <c r="AF455" s="56" t="s">
        <v>291</v>
      </c>
      <c r="AG455" s="70" t="s">
        <v>292</v>
      </c>
      <c r="AH455" s="70" t="s">
        <v>293</v>
      </c>
      <c r="AI455" s="73" t="s">
        <v>215</v>
      </c>
      <c r="AJ455" s="70" t="s">
        <v>216</v>
      </c>
      <c r="AK455" s="74" t="s">
        <v>217</v>
      </c>
      <c r="AL455" s="75" t="s">
        <v>218</v>
      </c>
      <c r="AM455" s="76" t="s">
        <v>219</v>
      </c>
      <c r="AN455" s="50" t="s">
        <v>220</v>
      </c>
      <c r="AO455" s="77" t="s">
        <v>221</v>
      </c>
      <c r="AP455" s="51" t="s">
        <v>138</v>
      </c>
      <c r="AQ455" s="78" t="s">
        <v>139</v>
      </c>
      <c r="AR455" s="74" t="s">
        <v>140</v>
      </c>
      <c r="AS455" s="22" t="s">
        <v>141</v>
      </c>
      <c r="AT455" s="75" t="s">
        <v>142</v>
      </c>
      <c r="AU455" s="79" t="s">
        <v>143</v>
      </c>
      <c r="AV455" s="80" t="s">
        <v>144</v>
      </c>
      <c r="AW455" s="81" t="s">
        <v>145</v>
      </c>
      <c r="AX455" s="82" t="s">
        <v>146</v>
      </c>
      <c r="AY455" s="83" t="s">
        <v>147</v>
      </c>
      <c r="AZ455" s="80" t="s">
        <v>585</v>
      </c>
      <c r="BA455" s="41" t="s">
        <v>105</v>
      </c>
      <c r="BB455" s="591" t="str">
        <f t="shared" si="35"/>
        <v>TEMPLATE</v>
      </c>
      <c r="BC455" s="591" t="str">
        <f t="shared" si="36"/>
        <v>17. Regional Health Clusters-NMHC-MOH-PR</v>
      </c>
      <c r="BD455" s="591" t="str">
        <f t="shared" si="37"/>
        <v>NMHC-MOH-PR</v>
      </c>
      <c r="BE455" s="591" t="str">
        <f t="shared" si="38"/>
        <v>NONE</v>
      </c>
      <c r="BF455" s="594">
        <f t="shared" si="39"/>
        <v>9</v>
      </c>
    </row>
    <row r="456" spans="1:58" ht="42" customHeight="1" x14ac:dyDescent="0.45">
      <c r="A456" s="84">
        <v>407</v>
      </c>
      <c r="B456" s="411" t="s">
        <v>2306</v>
      </c>
      <c r="C456" s="70" t="s">
        <v>2307</v>
      </c>
      <c r="D456" s="70" t="s">
        <v>2191</v>
      </c>
      <c r="E456" s="411" t="s">
        <v>930</v>
      </c>
      <c r="F456" s="72" t="s">
        <v>2199</v>
      </c>
      <c r="G456" s="70" t="s">
        <v>932</v>
      </c>
      <c r="H456" s="70" t="s">
        <v>2200</v>
      </c>
      <c r="I456" s="71" t="s">
        <v>924</v>
      </c>
      <c r="J456" s="71" t="s">
        <v>934</v>
      </c>
      <c r="K456" s="70" t="s">
        <v>558</v>
      </c>
      <c r="L456" s="92" t="s">
        <v>935</v>
      </c>
      <c r="M456" s="70" t="s">
        <v>2312</v>
      </c>
      <c r="N456" s="86" t="s">
        <v>66</v>
      </c>
      <c r="O456" s="87" t="s">
        <v>937</v>
      </c>
      <c r="P456" s="70" t="s">
        <v>979</v>
      </c>
      <c r="Q456" s="70" t="s">
        <v>939</v>
      </c>
      <c r="R456" s="70" t="s">
        <v>940</v>
      </c>
      <c r="S456" s="71" t="s">
        <v>941</v>
      </c>
      <c r="T456" s="70" t="s">
        <v>942</v>
      </c>
      <c r="U456" s="25" t="s">
        <v>943</v>
      </c>
      <c r="V456" s="70" t="s">
        <v>944</v>
      </c>
      <c r="W456" s="72" t="s">
        <v>945</v>
      </c>
      <c r="X456" s="70" t="s">
        <v>946</v>
      </c>
      <c r="Y456" s="49" t="s">
        <v>947</v>
      </c>
      <c r="Z456" s="70" t="s">
        <v>948</v>
      </c>
      <c r="AA456" s="71" t="s">
        <v>949</v>
      </c>
      <c r="AB456" s="70" t="s">
        <v>950</v>
      </c>
      <c r="AC456" s="70" t="s">
        <v>951</v>
      </c>
      <c r="AD456" s="22" t="s">
        <v>82</v>
      </c>
      <c r="AE456" s="26" t="s">
        <v>952</v>
      </c>
      <c r="AF456" s="27" t="s">
        <v>953</v>
      </c>
      <c r="AG456" s="70" t="s">
        <v>954</v>
      </c>
      <c r="AH456" s="70" t="s">
        <v>955</v>
      </c>
      <c r="AI456" s="73" t="s">
        <v>956</v>
      </c>
      <c r="AJ456" s="70" t="s">
        <v>957</v>
      </c>
      <c r="AK456" s="74" t="s">
        <v>958</v>
      </c>
      <c r="AL456" s="75" t="s">
        <v>959</v>
      </c>
      <c r="AM456" s="76" t="s">
        <v>960</v>
      </c>
      <c r="AN456" s="50" t="s">
        <v>961</v>
      </c>
      <c r="AO456" s="77" t="s">
        <v>962</v>
      </c>
      <c r="AP456" s="51" t="s">
        <v>963</v>
      </c>
      <c r="AQ456" s="78" t="s">
        <v>964</v>
      </c>
      <c r="AR456" s="74" t="s">
        <v>965</v>
      </c>
      <c r="AS456" s="92" t="s">
        <v>966</v>
      </c>
      <c r="AT456" s="75" t="s">
        <v>967</v>
      </c>
      <c r="AU456" s="79" t="s">
        <v>968</v>
      </c>
      <c r="AV456" s="80" t="s">
        <v>969</v>
      </c>
      <c r="AW456" s="81" t="s">
        <v>970</v>
      </c>
      <c r="AX456" s="82" t="s">
        <v>971</v>
      </c>
      <c r="AY456" s="83" t="s">
        <v>972</v>
      </c>
      <c r="AZ456" s="80" t="s">
        <v>585</v>
      </c>
      <c r="BA456" s="41" t="s">
        <v>105</v>
      </c>
      <c r="BB456" s="591" t="str">
        <f t="shared" si="35"/>
        <v>DEEP</v>
      </c>
      <c r="BC456" s="591" t="str">
        <f t="shared" si="36"/>
        <v>17. Regional Health Clusters-NMHC-CBAHI-HAS-H</v>
      </c>
      <c r="BD456" s="591" t="str">
        <f t="shared" si="37"/>
        <v>NMHC-CBAHI-HAS-H</v>
      </c>
      <c r="BE456" s="591" t="str">
        <f t="shared" si="38"/>
        <v>NONE</v>
      </c>
      <c r="BF456" s="594">
        <f t="shared" si="39"/>
        <v>15</v>
      </c>
    </row>
    <row r="457" spans="1:58" ht="42" customHeight="1" x14ac:dyDescent="0.45">
      <c r="A457" s="42">
        <v>408</v>
      </c>
      <c r="B457" s="412" t="s">
        <v>2306</v>
      </c>
      <c r="C457" s="44" t="s">
        <v>2307</v>
      </c>
      <c r="D457" s="44" t="s">
        <v>2191</v>
      </c>
      <c r="E457" s="412" t="s">
        <v>557</v>
      </c>
      <c r="F457" s="45" t="s">
        <v>58</v>
      </c>
      <c r="G457" s="44" t="s">
        <v>59</v>
      </c>
      <c r="H457" s="44" t="s">
        <v>57</v>
      </c>
      <c r="I457" s="46" t="s">
        <v>61</v>
      </c>
      <c r="J457" s="46" t="s">
        <v>62</v>
      </c>
      <c r="K457" s="44" t="s">
        <v>558</v>
      </c>
      <c r="L457" s="66" t="s">
        <v>559</v>
      </c>
      <c r="M457" s="44" t="s">
        <v>2313</v>
      </c>
      <c r="N457" s="47" t="s">
        <v>66</v>
      </c>
      <c r="O457" s="48" t="s">
        <v>196</v>
      </c>
      <c r="P457" s="44" t="s">
        <v>561</v>
      </c>
      <c r="Q457" s="70" t="s">
        <v>562</v>
      </c>
      <c r="R457" s="70" t="s">
        <v>563</v>
      </c>
      <c r="S457" s="71" t="s">
        <v>564</v>
      </c>
      <c r="T457" s="70" t="s">
        <v>565</v>
      </c>
      <c r="U457" s="25" t="s">
        <v>566</v>
      </c>
      <c r="V457" s="70" t="s">
        <v>282</v>
      </c>
      <c r="W457" s="72" t="s">
        <v>283</v>
      </c>
      <c r="X457" s="70" t="s">
        <v>284</v>
      </c>
      <c r="Y457" s="49" t="s">
        <v>285</v>
      </c>
      <c r="Z457" s="70" t="s">
        <v>286</v>
      </c>
      <c r="AA457" s="71" t="s">
        <v>286</v>
      </c>
      <c r="AB457" s="70" t="s">
        <v>287</v>
      </c>
      <c r="AC457" s="70" t="s">
        <v>288</v>
      </c>
      <c r="AD457" s="49" t="s">
        <v>289</v>
      </c>
      <c r="AE457" s="58" t="s">
        <v>290</v>
      </c>
      <c r="AF457" s="56" t="s">
        <v>291</v>
      </c>
      <c r="AG457" s="70" t="s">
        <v>292</v>
      </c>
      <c r="AH457" s="70" t="s">
        <v>293</v>
      </c>
      <c r="AI457" s="73" t="s">
        <v>215</v>
      </c>
      <c r="AJ457" s="70" t="s">
        <v>216</v>
      </c>
      <c r="AK457" s="74" t="s">
        <v>217</v>
      </c>
      <c r="AL457" s="75" t="s">
        <v>218</v>
      </c>
      <c r="AM457" s="76" t="s">
        <v>219</v>
      </c>
      <c r="AN457" s="50" t="s">
        <v>220</v>
      </c>
      <c r="AO457" s="77" t="s">
        <v>221</v>
      </c>
      <c r="AP457" s="51" t="s">
        <v>138</v>
      </c>
      <c r="AQ457" s="78" t="s">
        <v>139</v>
      </c>
      <c r="AR457" s="74" t="s">
        <v>140</v>
      </c>
      <c r="AS457" s="22" t="s">
        <v>141</v>
      </c>
      <c r="AT457" s="75" t="s">
        <v>142</v>
      </c>
      <c r="AU457" s="79" t="s">
        <v>143</v>
      </c>
      <c r="AV457" s="80" t="s">
        <v>144</v>
      </c>
      <c r="AW457" s="81" t="s">
        <v>145</v>
      </c>
      <c r="AX457" s="82" t="s">
        <v>146</v>
      </c>
      <c r="AY457" s="83" t="s">
        <v>147</v>
      </c>
      <c r="AZ457" s="80" t="s">
        <v>567</v>
      </c>
      <c r="BA457" s="34" t="s">
        <v>320</v>
      </c>
      <c r="BB457" s="591" t="str">
        <f t="shared" si="35"/>
        <v>TEMPLATE</v>
      </c>
      <c r="BC457" s="591" t="str">
        <f t="shared" si="36"/>
        <v>17. Regional Health Clusters-NMHC-NCA-ECC-2:2024</v>
      </c>
      <c r="BD457" s="591" t="str">
        <f t="shared" si="37"/>
        <v>NMHC-NCA-ECC-2-2024</v>
      </c>
      <c r="BE457" s="591" t="str">
        <f t="shared" si="38"/>
        <v>NCA-ECC-2-2024</v>
      </c>
      <c r="BF457" s="594">
        <f t="shared" si="39"/>
        <v>11</v>
      </c>
    </row>
    <row r="458" spans="1:58" ht="42" customHeight="1" x14ac:dyDescent="0.45">
      <c r="A458" s="84">
        <v>409</v>
      </c>
      <c r="B458" s="411" t="s">
        <v>2306</v>
      </c>
      <c r="C458" s="70" t="s">
        <v>2307</v>
      </c>
      <c r="D458" s="70" t="s">
        <v>2191</v>
      </c>
      <c r="E458" s="411" t="s">
        <v>382</v>
      </c>
      <c r="F458" s="72" t="s">
        <v>383</v>
      </c>
      <c r="G458" s="70" t="s">
        <v>384</v>
      </c>
      <c r="H458" s="70" t="s">
        <v>765</v>
      </c>
      <c r="I458" s="71" t="s">
        <v>250</v>
      </c>
      <c r="J458" s="71" t="s">
        <v>386</v>
      </c>
      <c r="K458" s="70" t="s">
        <v>558</v>
      </c>
      <c r="L458" s="66" t="s">
        <v>559</v>
      </c>
      <c r="M458" s="70" t="s">
        <v>2314</v>
      </c>
      <c r="N458" s="86" t="s">
        <v>66</v>
      </c>
      <c r="O458" s="87" t="s">
        <v>540</v>
      </c>
      <c r="P458" s="70" t="s">
        <v>380</v>
      </c>
      <c r="Q458" s="70" t="s">
        <v>390</v>
      </c>
      <c r="R458" s="70" t="s">
        <v>391</v>
      </c>
      <c r="S458" s="71" t="s">
        <v>392</v>
      </c>
      <c r="T458" s="70" t="s">
        <v>393</v>
      </c>
      <c r="U458" s="25" t="s">
        <v>394</v>
      </c>
      <c r="V458" s="70" t="s">
        <v>395</v>
      </c>
      <c r="W458" s="72" t="s">
        <v>396</v>
      </c>
      <c r="X458" s="70" t="s">
        <v>397</v>
      </c>
      <c r="Y458" s="49" t="s">
        <v>398</v>
      </c>
      <c r="Z458" s="70" t="s">
        <v>399</v>
      </c>
      <c r="AA458" s="71" t="s">
        <v>400</v>
      </c>
      <c r="AB458" s="70" t="s">
        <v>401</v>
      </c>
      <c r="AC458" s="70" t="s">
        <v>402</v>
      </c>
      <c r="AD458" s="49" t="s">
        <v>403</v>
      </c>
      <c r="AE458" s="50" t="s">
        <v>404</v>
      </c>
      <c r="AF458" s="60" t="s">
        <v>405</v>
      </c>
      <c r="AG458" s="70" t="s">
        <v>406</v>
      </c>
      <c r="AH458" s="70" t="s">
        <v>407</v>
      </c>
      <c r="AI458" s="73" t="s">
        <v>408</v>
      </c>
      <c r="AJ458" s="70" t="s">
        <v>409</v>
      </c>
      <c r="AK458" s="74" t="s">
        <v>410</v>
      </c>
      <c r="AL458" s="75" t="s">
        <v>411</v>
      </c>
      <c r="AM458" s="76" t="s">
        <v>412</v>
      </c>
      <c r="AN458" s="50" t="s">
        <v>413</v>
      </c>
      <c r="AO458" s="77" t="s">
        <v>414</v>
      </c>
      <c r="AP458" s="51" t="s">
        <v>415</v>
      </c>
      <c r="AQ458" s="78" t="s">
        <v>416</v>
      </c>
      <c r="AR458" s="74" t="s">
        <v>417</v>
      </c>
      <c r="AS458" s="22" t="s">
        <v>418</v>
      </c>
      <c r="AT458" s="75" t="s">
        <v>419</v>
      </c>
      <c r="AU458" s="79" t="s">
        <v>420</v>
      </c>
      <c r="AV458" s="80" t="s">
        <v>421</v>
      </c>
      <c r="AW458" s="81" t="s">
        <v>422</v>
      </c>
      <c r="AX458" s="82" t="s">
        <v>423</v>
      </c>
      <c r="AY458" s="83" t="s">
        <v>424</v>
      </c>
      <c r="AZ458" s="80" t="s">
        <v>425</v>
      </c>
      <c r="BA458" s="34" t="s">
        <v>320</v>
      </c>
      <c r="BB458" s="591" t="str">
        <f t="shared" si="35"/>
        <v>DEEP</v>
      </c>
      <c r="BC458" s="591" t="str">
        <f t="shared" si="36"/>
        <v>17. Regional Health Clusters-NMHC-PDPL-2021</v>
      </c>
      <c r="BD458" s="591" t="str">
        <f t="shared" si="37"/>
        <v>NMHC-PDPL-2021</v>
      </c>
      <c r="BE458" s="591" t="str">
        <f t="shared" si="38"/>
        <v>NONE</v>
      </c>
      <c r="BF458" s="594">
        <f t="shared" si="39"/>
        <v>18</v>
      </c>
    </row>
    <row r="459" spans="1:58" ht="42" customHeight="1" x14ac:dyDescent="0.45">
      <c r="A459" s="42">
        <v>410</v>
      </c>
      <c r="B459" s="412" t="s">
        <v>2306</v>
      </c>
      <c r="C459" s="44" t="s">
        <v>2307</v>
      </c>
      <c r="D459" s="44" t="s">
        <v>2191</v>
      </c>
      <c r="E459" s="412" t="s">
        <v>688</v>
      </c>
      <c r="F459" s="45" t="s">
        <v>689</v>
      </c>
      <c r="G459" s="44" t="s">
        <v>690</v>
      </c>
      <c r="H459" s="44" t="s">
        <v>691</v>
      </c>
      <c r="I459" s="46" t="s">
        <v>151</v>
      </c>
      <c r="J459" s="46" t="s">
        <v>692</v>
      </c>
      <c r="K459" s="44" t="s">
        <v>558</v>
      </c>
      <c r="L459" s="66" t="s">
        <v>559</v>
      </c>
      <c r="M459" s="44" t="s">
        <v>2315</v>
      </c>
      <c r="N459" s="54" t="s">
        <v>154</v>
      </c>
      <c r="O459" s="48" t="s">
        <v>593</v>
      </c>
      <c r="P459" s="44" t="s">
        <v>636</v>
      </c>
      <c r="Q459" s="70" t="s">
        <v>695</v>
      </c>
      <c r="R459" s="70" t="s">
        <v>696</v>
      </c>
      <c r="S459" s="71" t="s">
        <v>697</v>
      </c>
      <c r="T459" s="70" t="s">
        <v>698</v>
      </c>
      <c r="U459" s="25" t="s">
        <v>699</v>
      </c>
      <c r="V459" s="70" t="s">
        <v>700</v>
      </c>
      <c r="W459" s="72" t="s">
        <v>701</v>
      </c>
      <c r="X459" s="70" t="s">
        <v>702</v>
      </c>
      <c r="Y459" s="22" t="s">
        <v>205</v>
      </c>
      <c r="Z459" s="70" t="s">
        <v>703</v>
      </c>
      <c r="AA459" s="71" t="s">
        <v>704</v>
      </c>
      <c r="AB459" s="70" t="s">
        <v>705</v>
      </c>
      <c r="AC459" s="70" t="s">
        <v>706</v>
      </c>
      <c r="AD459" s="49" t="s">
        <v>707</v>
      </c>
      <c r="AE459" s="26" t="s">
        <v>675</v>
      </c>
      <c r="AF459" s="60" t="s">
        <v>708</v>
      </c>
      <c r="AG459" s="70" t="s">
        <v>709</v>
      </c>
      <c r="AH459" s="70" t="s">
        <v>710</v>
      </c>
      <c r="AI459" s="73" t="s">
        <v>711</v>
      </c>
      <c r="AJ459" s="70" t="s">
        <v>712</v>
      </c>
      <c r="AK459" s="74" t="s">
        <v>713</v>
      </c>
      <c r="AL459" s="75" t="s">
        <v>714</v>
      </c>
      <c r="AM459" s="76" t="s">
        <v>715</v>
      </c>
      <c r="AN459" s="50" t="s">
        <v>716</v>
      </c>
      <c r="AO459" s="77" t="s">
        <v>717</v>
      </c>
      <c r="AP459" s="51" t="s">
        <v>718</v>
      </c>
      <c r="AQ459" s="78" t="s">
        <v>719</v>
      </c>
      <c r="AR459" s="74" t="s">
        <v>720</v>
      </c>
      <c r="AS459" s="61" t="s">
        <v>721</v>
      </c>
      <c r="AT459" s="75" t="s">
        <v>722</v>
      </c>
      <c r="AU459" s="79" t="s">
        <v>723</v>
      </c>
      <c r="AV459" s="80" t="s">
        <v>724</v>
      </c>
      <c r="AW459" s="81" t="s">
        <v>725</v>
      </c>
      <c r="AX459" s="82" t="s">
        <v>726</v>
      </c>
      <c r="AY459" s="83" t="s">
        <v>727</v>
      </c>
      <c r="AZ459" s="80" t="s">
        <v>728</v>
      </c>
      <c r="BA459" s="41" t="s">
        <v>105</v>
      </c>
      <c r="BB459" s="591" t="str">
        <f t="shared" si="35"/>
        <v>DEEP</v>
      </c>
      <c r="BC459" s="591" t="str">
        <f t="shared" si="36"/>
        <v>17. Regional Health Clusters-NMHC-MOH-TELE</v>
      </c>
      <c r="BD459" s="591" t="str">
        <f t="shared" si="37"/>
        <v>NMHC-MOH-TELE</v>
      </c>
      <c r="BE459" s="591" t="str">
        <f t="shared" si="38"/>
        <v>NONE</v>
      </c>
      <c r="BF459" s="594">
        <f t="shared" si="39"/>
        <v>16</v>
      </c>
    </row>
    <row r="460" spans="1:58" ht="42" customHeight="1" x14ac:dyDescent="0.45">
      <c r="A460" s="84">
        <v>411</v>
      </c>
      <c r="B460" s="411" t="s">
        <v>2306</v>
      </c>
      <c r="C460" s="70" t="s">
        <v>2307</v>
      </c>
      <c r="D460" s="70" t="s">
        <v>2191</v>
      </c>
      <c r="E460" s="411" t="s">
        <v>1246</v>
      </c>
      <c r="F460" s="72" t="s">
        <v>2205</v>
      </c>
      <c r="G460" s="70" t="s">
        <v>2206</v>
      </c>
      <c r="H460" s="70" t="s">
        <v>633</v>
      </c>
      <c r="I460" s="71" t="s">
        <v>61</v>
      </c>
      <c r="J460" s="71" t="s">
        <v>194</v>
      </c>
      <c r="K460" s="70" t="s">
        <v>558</v>
      </c>
      <c r="L460" s="66" t="s">
        <v>559</v>
      </c>
      <c r="M460" s="70" t="s">
        <v>2316</v>
      </c>
      <c r="N460" s="86" t="s">
        <v>66</v>
      </c>
      <c r="O460" s="87" t="s">
        <v>1250</v>
      </c>
      <c r="P460" s="70" t="s">
        <v>1244</v>
      </c>
      <c r="Q460" s="70" t="s">
        <v>1252</v>
      </c>
      <c r="R460" s="70" t="s">
        <v>1253</v>
      </c>
      <c r="S460" s="71" t="s">
        <v>1254</v>
      </c>
      <c r="T460" s="70" t="s">
        <v>1255</v>
      </c>
      <c r="U460" s="25" t="s">
        <v>1256</v>
      </c>
      <c r="V460" s="70" t="s">
        <v>1257</v>
      </c>
      <c r="W460" s="72" t="s">
        <v>1258</v>
      </c>
      <c r="X460" s="70" t="s">
        <v>1259</v>
      </c>
      <c r="Y460" s="22" t="s">
        <v>205</v>
      </c>
      <c r="Z460" s="70" t="s">
        <v>1260</v>
      </c>
      <c r="AA460" s="71" t="s">
        <v>1261</v>
      </c>
      <c r="AB460" s="70" t="s">
        <v>1262</v>
      </c>
      <c r="AC460" s="70" t="s">
        <v>1263</v>
      </c>
      <c r="AD460" s="49" t="s">
        <v>650</v>
      </c>
      <c r="AE460" s="37" t="s">
        <v>1264</v>
      </c>
      <c r="AF460" s="27" t="s">
        <v>1265</v>
      </c>
      <c r="AG460" s="70" t="s">
        <v>1266</v>
      </c>
      <c r="AH460" s="70" t="s">
        <v>1267</v>
      </c>
      <c r="AI460" s="73" t="s">
        <v>215</v>
      </c>
      <c r="AJ460" s="70" t="s">
        <v>216</v>
      </c>
      <c r="AK460" s="74" t="s">
        <v>217</v>
      </c>
      <c r="AL460" s="75" t="s">
        <v>218</v>
      </c>
      <c r="AM460" s="76" t="s">
        <v>219</v>
      </c>
      <c r="AN460" s="50" t="s">
        <v>220</v>
      </c>
      <c r="AO460" s="77" t="s">
        <v>221</v>
      </c>
      <c r="AP460" s="51" t="s">
        <v>138</v>
      </c>
      <c r="AQ460" s="78" t="s">
        <v>139</v>
      </c>
      <c r="AR460" s="74" t="s">
        <v>140</v>
      </c>
      <c r="AS460" s="22" t="s">
        <v>141</v>
      </c>
      <c r="AT460" s="75" t="s">
        <v>142</v>
      </c>
      <c r="AU460" s="79" t="s">
        <v>143</v>
      </c>
      <c r="AV460" s="80" t="s">
        <v>144</v>
      </c>
      <c r="AW460" s="81" t="s">
        <v>145</v>
      </c>
      <c r="AX460" s="82" t="s">
        <v>146</v>
      </c>
      <c r="AY460" s="83" t="s">
        <v>147</v>
      </c>
      <c r="AZ460" s="80" t="s">
        <v>585</v>
      </c>
      <c r="BA460" s="41" t="s">
        <v>105</v>
      </c>
      <c r="BB460" s="591" t="str">
        <f t="shared" si="35"/>
        <v>TEMPLATE</v>
      </c>
      <c r="BC460" s="591" t="str">
        <f t="shared" si="36"/>
        <v>17. Regional Health Clusters-NMHC-NHIC-NABIDH</v>
      </c>
      <c r="BD460" s="591" t="str">
        <f t="shared" si="37"/>
        <v>NMHC-NHIC-NABIDH</v>
      </c>
      <c r="BE460" s="591" t="str">
        <f t="shared" si="38"/>
        <v>NONE</v>
      </c>
      <c r="BF460" s="594">
        <f t="shared" si="39"/>
        <v>11</v>
      </c>
    </row>
    <row r="461" spans="1:58" ht="42" customHeight="1" x14ac:dyDescent="0.45">
      <c r="A461" s="42">
        <v>412</v>
      </c>
      <c r="B461" s="412" t="s">
        <v>2306</v>
      </c>
      <c r="C461" s="44" t="s">
        <v>2307</v>
      </c>
      <c r="D461" s="44" t="s">
        <v>2191</v>
      </c>
      <c r="E461" s="412" t="s">
        <v>770</v>
      </c>
      <c r="F461" s="45" t="s">
        <v>107</v>
      </c>
      <c r="G461" s="44" t="s">
        <v>108</v>
      </c>
      <c r="H461" s="44" t="s">
        <v>106</v>
      </c>
      <c r="I461" s="46" t="s">
        <v>109</v>
      </c>
      <c r="J461" s="46" t="s">
        <v>110</v>
      </c>
      <c r="K461" s="44" t="s">
        <v>558</v>
      </c>
      <c r="L461" s="66" t="s">
        <v>559</v>
      </c>
      <c r="M461" s="44" t="s">
        <v>2317</v>
      </c>
      <c r="N461" s="47" t="s">
        <v>66</v>
      </c>
      <c r="O461" s="48" t="s">
        <v>196</v>
      </c>
      <c r="P461" s="44" t="s">
        <v>2209</v>
      </c>
      <c r="Q461" s="70" t="s">
        <v>562</v>
      </c>
      <c r="R461" s="70" t="s">
        <v>563</v>
      </c>
      <c r="S461" s="71" t="s">
        <v>564</v>
      </c>
      <c r="T461" s="70" t="s">
        <v>565</v>
      </c>
      <c r="U461" s="25" t="s">
        <v>566</v>
      </c>
      <c r="V461" s="70" t="s">
        <v>282</v>
      </c>
      <c r="W461" s="72" t="s">
        <v>283</v>
      </c>
      <c r="X461" s="70" t="s">
        <v>284</v>
      </c>
      <c r="Y461" s="49" t="s">
        <v>285</v>
      </c>
      <c r="Z461" s="70" t="s">
        <v>286</v>
      </c>
      <c r="AA461" s="71" t="s">
        <v>286</v>
      </c>
      <c r="AB461" s="70" t="s">
        <v>287</v>
      </c>
      <c r="AC461" s="70" t="s">
        <v>288</v>
      </c>
      <c r="AD461" s="49" t="s">
        <v>289</v>
      </c>
      <c r="AE461" s="58" t="s">
        <v>290</v>
      </c>
      <c r="AF461" s="56" t="s">
        <v>291</v>
      </c>
      <c r="AG461" s="70" t="s">
        <v>292</v>
      </c>
      <c r="AH461" s="70" t="s">
        <v>293</v>
      </c>
      <c r="AI461" s="73" t="s">
        <v>215</v>
      </c>
      <c r="AJ461" s="70" t="s">
        <v>216</v>
      </c>
      <c r="AK461" s="74" t="s">
        <v>217</v>
      </c>
      <c r="AL461" s="75" t="s">
        <v>218</v>
      </c>
      <c r="AM461" s="76" t="s">
        <v>219</v>
      </c>
      <c r="AN461" s="50" t="s">
        <v>220</v>
      </c>
      <c r="AO461" s="77" t="s">
        <v>221</v>
      </c>
      <c r="AP461" s="53" t="s">
        <v>773</v>
      </c>
      <c r="AQ461" s="78" t="s">
        <v>774</v>
      </c>
      <c r="AR461" s="74" t="s">
        <v>775</v>
      </c>
      <c r="AS461" s="22" t="s">
        <v>776</v>
      </c>
      <c r="AT461" s="75" t="s">
        <v>777</v>
      </c>
      <c r="AU461" s="79" t="s">
        <v>778</v>
      </c>
      <c r="AV461" s="80" t="s">
        <v>779</v>
      </c>
      <c r="AW461" s="81" t="s">
        <v>780</v>
      </c>
      <c r="AX461" s="82" t="s">
        <v>781</v>
      </c>
      <c r="AY461" s="83" t="s">
        <v>782</v>
      </c>
      <c r="AZ461" s="80" t="s">
        <v>104</v>
      </c>
      <c r="BA461" s="41" t="s">
        <v>105</v>
      </c>
      <c r="BB461" s="591" t="str">
        <f t="shared" si="35"/>
        <v>TEMPLATE</v>
      </c>
      <c r="BC461" s="591" t="str">
        <f t="shared" si="36"/>
        <v>17. Regional Health Clusters-NMHC-NCA-OTCC</v>
      </c>
      <c r="BD461" s="591" t="str">
        <f t="shared" si="37"/>
        <v>NMHC-NCA-OTCC</v>
      </c>
      <c r="BE461" s="591" t="str">
        <f t="shared" si="38"/>
        <v>NCA-ECC-2-2024</v>
      </c>
      <c r="BF461" s="594">
        <f t="shared" si="39"/>
        <v>11</v>
      </c>
    </row>
    <row r="462" spans="1:58" ht="42" customHeight="1" x14ac:dyDescent="0.45">
      <c r="A462" s="84">
        <v>413</v>
      </c>
      <c r="B462" s="411" t="s">
        <v>2318</v>
      </c>
      <c r="C462" s="70" t="s">
        <v>2319</v>
      </c>
      <c r="D462" s="70" t="s">
        <v>2191</v>
      </c>
      <c r="E462" s="411" t="s">
        <v>586</v>
      </c>
      <c r="F462" s="72" t="s">
        <v>587</v>
      </c>
      <c r="G462" s="70" t="s">
        <v>588</v>
      </c>
      <c r="H462" s="70" t="s">
        <v>589</v>
      </c>
      <c r="I462" s="71" t="s">
        <v>590</v>
      </c>
      <c r="J462" s="71" t="s">
        <v>591</v>
      </c>
      <c r="K462" s="70" t="s">
        <v>558</v>
      </c>
      <c r="L462" s="66" t="s">
        <v>559</v>
      </c>
      <c r="M462" s="70" t="s">
        <v>2320</v>
      </c>
      <c r="N462" s="86" t="s">
        <v>66</v>
      </c>
      <c r="O462" s="87" t="s">
        <v>593</v>
      </c>
      <c r="P462" s="70" t="s">
        <v>661</v>
      </c>
      <c r="Q462" s="70" t="s">
        <v>595</v>
      </c>
      <c r="R462" s="70" t="s">
        <v>596</v>
      </c>
      <c r="S462" s="71" t="s">
        <v>597</v>
      </c>
      <c r="T462" s="70" t="s">
        <v>598</v>
      </c>
      <c r="U462" s="25" t="s">
        <v>599</v>
      </c>
      <c r="V462" s="70" t="s">
        <v>600</v>
      </c>
      <c r="W462" s="72" t="s">
        <v>601</v>
      </c>
      <c r="X462" s="70" t="s">
        <v>602</v>
      </c>
      <c r="Y462" s="49" t="s">
        <v>603</v>
      </c>
      <c r="Z462" s="70" t="s">
        <v>604</v>
      </c>
      <c r="AA462" s="71" t="s">
        <v>605</v>
      </c>
      <c r="AB462" s="70" t="s">
        <v>606</v>
      </c>
      <c r="AC462" s="70" t="s">
        <v>607</v>
      </c>
      <c r="AD462" s="49" t="s">
        <v>608</v>
      </c>
      <c r="AE462" s="26" t="s">
        <v>609</v>
      </c>
      <c r="AF462" s="27" t="s">
        <v>610</v>
      </c>
      <c r="AG462" s="70" t="s">
        <v>611</v>
      </c>
      <c r="AH462" s="70" t="s">
        <v>612</v>
      </c>
      <c r="AI462" s="73" t="s">
        <v>613</v>
      </c>
      <c r="AJ462" s="70" t="s">
        <v>614</v>
      </c>
      <c r="AK462" s="74" t="s">
        <v>615</v>
      </c>
      <c r="AL462" s="75" t="s">
        <v>616</v>
      </c>
      <c r="AM462" s="76" t="s">
        <v>617</v>
      </c>
      <c r="AN462" s="50" t="s">
        <v>618</v>
      </c>
      <c r="AO462" s="77" t="s">
        <v>619</v>
      </c>
      <c r="AP462" s="34" t="s">
        <v>620</v>
      </c>
      <c r="AQ462" s="78" t="s">
        <v>621</v>
      </c>
      <c r="AR462" s="74" t="s">
        <v>622</v>
      </c>
      <c r="AS462" s="61" t="s">
        <v>623</v>
      </c>
      <c r="AT462" s="75" t="s">
        <v>624</v>
      </c>
      <c r="AU462" s="79" t="s">
        <v>625</v>
      </c>
      <c r="AV462" s="80" t="s">
        <v>626</v>
      </c>
      <c r="AW462" s="81" t="s">
        <v>627</v>
      </c>
      <c r="AX462" s="82" t="s">
        <v>628</v>
      </c>
      <c r="AY462" s="83" t="s">
        <v>629</v>
      </c>
      <c r="AZ462" s="80" t="s">
        <v>585</v>
      </c>
      <c r="BA462" s="41" t="s">
        <v>105</v>
      </c>
      <c r="BB462" s="591" t="str">
        <f t="shared" si="35"/>
        <v>DEEP</v>
      </c>
      <c r="BC462" s="591" t="str">
        <f t="shared" si="36"/>
        <v>17. Regional Health Clusters-QLHC-MOH-HIS</v>
      </c>
      <c r="BD462" s="591" t="str">
        <f t="shared" si="37"/>
        <v>QLHC-MOH-HIS</v>
      </c>
      <c r="BE462" s="591" t="str">
        <f t="shared" si="38"/>
        <v>NONE</v>
      </c>
      <c r="BF462" s="594">
        <f t="shared" si="39"/>
        <v>18</v>
      </c>
    </row>
    <row r="463" spans="1:58" ht="42" customHeight="1" x14ac:dyDescent="0.45">
      <c r="A463" s="42">
        <v>414</v>
      </c>
      <c r="B463" s="412" t="s">
        <v>2318</v>
      </c>
      <c r="C463" s="44" t="s">
        <v>2319</v>
      </c>
      <c r="D463" s="44" t="s">
        <v>2191</v>
      </c>
      <c r="E463" s="412" t="s">
        <v>630</v>
      </c>
      <c r="F463" s="45" t="s">
        <v>2193</v>
      </c>
      <c r="G463" s="44" t="s">
        <v>2194</v>
      </c>
      <c r="H463" s="44" t="s">
        <v>633</v>
      </c>
      <c r="I463" s="46" t="s">
        <v>590</v>
      </c>
      <c r="J463" s="46" t="s">
        <v>634</v>
      </c>
      <c r="K463" s="44" t="s">
        <v>558</v>
      </c>
      <c r="L463" s="66" t="s">
        <v>559</v>
      </c>
      <c r="M463" s="44" t="s">
        <v>2321</v>
      </c>
      <c r="N463" s="47" t="s">
        <v>66</v>
      </c>
      <c r="O463" s="48" t="s">
        <v>593</v>
      </c>
      <c r="P463" s="44" t="s">
        <v>2196</v>
      </c>
      <c r="Q463" s="70" t="s">
        <v>637</v>
      </c>
      <c r="R463" s="70" t="s">
        <v>638</v>
      </c>
      <c r="S463" s="71" t="s">
        <v>639</v>
      </c>
      <c r="T463" s="70" t="s">
        <v>640</v>
      </c>
      <c r="U463" s="25" t="s">
        <v>641</v>
      </c>
      <c r="V463" s="70" t="s">
        <v>642</v>
      </c>
      <c r="W463" s="72" t="s">
        <v>643</v>
      </c>
      <c r="X463" s="70" t="s">
        <v>644</v>
      </c>
      <c r="Y463" s="49" t="s">
        <v>645</v>
      </c>
      <c r="Z463" s="70" t="s">
        <v>646</v>
      </c>
      <c r="AA463" s="71" t="s">
        <v>647</v>
      </c>
      <c r="AB463" s="70" t="s">
        <v>648</v>
      </c>
      <c r="AC463" s="70" t="s">
        <v>649</v>
      </c>
      <c r="AD463" s="49" t="s">
        <v>650</v>
      </c>
      <c r="AE463" s="26" t="s">
        <v>651</v>
      </c>
      <c r="AF463" s="27" t="s">
        <v>652</v>
      </c>
      <c r="AG463" s="70" t="s">
        <v>653</v>
      </c>
      <c r="AH463" s="70" t="s">
        <v>654</v>
      </c>
      <c r="AI463" s="73" t="s">
        <v>215</v>
      </c>
      <c r="AJ463" s="70" t="s">
        <v>216</v>
      </c>
      <c r="AK463" s="74" t="s">
        <v>217</v>
      </c>
      <c r="AL463" s="75" t="s">
        <v>218</v>
      </c>
      <c r="AM463" s="76" t="s">
        <v>219</v>
      </c>
      <c r="AN463" s="50" t="s">
        <v>220</v>
      </c>
      <c r="AO463" s="77" t="s">
        <v>221</v>
      </c>
      <c r="AP463" s="51" t="s">
        <v>138</v>
      </c>
      <c r="AQ463" s="78" t="s">
        <v>139</v>
      </c>
      <c r="AR463" s="74" t="s">
        <v>140</v>
      </c>
      <c r="AS463" s="22" t="s">
        <v>141</v>
      </c>
      <c r="AT463" s="75" t="s">
        <v>142</v>
      </c>
      <c r="AU463" s="79" t="s">
        <v>143</v>
      </c>
      <c r="AV463" s="80" t="s">
        <v>144</v>
      </c>
      <c r="AW463" s="81" t="s">
        <v>145</v>
      </c>
      <c r="AX463" s="82" t="s">
        <v>146</v>
      </c>
      <c r="AY463" s="83" t="s">
        <v>147</v>
      </c>
      <c r="AZ463" s="80" t="s">
        <v>585</v>
      </c>
      <c r="BA463" s="41" t="s">
        <v>105</v>
      </c>
      <c r="BB463" s="591" t="str">
        <f t="shared" si="35"/>
        <v>TEMPLATE</v>
      </c>
      <c r="BC463" s="591" t="str">
        <f t="shared" si="36"/>
        <v>17. Regional Health Clusters-QLHC-MOH-EMR-NABIDH</v>
      </c>
      <c r="BD463" s="591" t="str">
        <f t="shared" si="37"/>
        <v>QLHC-MOH-EMR-NABIDH</v>
      </c>
      <c r="BE463" s="591" t="str">
        <f t="shared" si="38"/>
        <v>NONE</v>
      </c>
      <c r="BF463" s="594">
        <f t="shared" si="39"/>
        <v>11</v>
      </c>
    </row>
    <row r="464" spans="1:58" ht="42" customHeight="1" x14ac:dyDescent="0.45">
      <c r="A464" s="84">
        <v>415</v>
      </c>
      <c r="B464" s="411" t="s">
        <v>2318</v>
      </c>
      <c r="C464" s="70" t="s">
        <v>2319</v>
      </c>
      <c r="D464" s="70" t="s">
        <v>2191</v>
      </c>
      <c r="E464" s="411" t="s">
        <v>655</v>
      </c>
      <c r="F464" s="72" t="s">
        <v>656</v>
      </c>
      <c r="G464" s="70" t="s">
        <v>657</v>
      </c>
      <c r="H464" s="70" t="s">
        <v>589</v>
      </c>
      <c r="I464" s="71" t="s">
        <v>658</v>
      </c>
      <c r="J464" s="71" t="s">
        <v>659</v>
      </c>
      <c r="K464" s="70" t="s">
        <v>558</v>
      </c>
      <c r="L464" s="66" t="s">
        <v>559</v>
      </c>
      <c r="M464" s="70" t="s">
        <v>2322</v>
      </c>
      <c r="N464" s="86" t="s">
        <v>66</v>
      </c>
      <c r="O464" s="87" t="s">
        <v>593</v>
      </c>
      <c r="P464" s="70" t="s">
        <v>661</v>
      </c>
      <c r="Q464" s="70" t="s">
        <v>662</v>
      </c>
      <c r="R464" s="70" t="s">
        <v>663</v>
      </c>
      <c r="S464" s="71" t="s">
        <v>664</v>
      </c>
      <c r="T464" s="70" t="s">
        <v>665</v>
      </c>
      <c r="U464" s="25" t="s">
        <v>666</v>
      </c>
      <c r="V464" s="70" t="s">
        <v>667</v>
      </c>
      <c r="W464" s="72" t="s">
        <v>668</v>
      </c>
      <c r="X464" s="70" t="s">
        <v>669</v>
      </c>
      <c r="Y464" s="22" t="s">
        <v>205</v>
      </c>
      <c r="Z464" s="70" t="s">
        <v>670</v>
      </c>
      <c r="AA464" s="71" t="s">
        <v>671</v>
      </c>
      <c r="AB464" s="70" t="s">
        <v>672</v>
      </c>
      <c r="AC464" s="70" t="s">
        <v>673</v>
      </c>
      <c r="AD464" s="49" t="s">
        <v>674</v>
      </c>
      <c r="AE464" s="26" t="s">
        <v>675</v>
      </c>
      <c r="AF464" s="27" t="s">
        <v>676</v>
      </c>
      <c r="AG464" s="70" t="s">
        <v>677</v>
      </c>
      <c r="AH464" s="70" t="s">
        <v>678</v>
      </c>
      <c r="AI464" s="73" t="s">
        <v>215</v>
      </c>
      <c r="AJ464" s="70" t="s">
        <v>216</v>
      </c>
      <c r="AK464" s="74" t="s">
        <v>217</v>
      </c>
      <c r="AL464" s="75" t="s">
        <v>218</v>
      </c>
      <c r="AM464" s="76" t="s">
        <v>219</v>
      </c>
      <c r="AN464" s="50" t="s">
        <v>220</v>
      </c>
      <c r="AO464" s="77" t="s">
        <v>221</v>
      </c>
      <c r="AP464" s="51" t="s">
        <v>138</v>
      </c>
      <c r="AQ464" s="78" t="s">
        <v>139</v>
      </c>
      <c r="AR464" s="74" t="s">
        <v>140</v>
      </c>
      <c r="AS464" s="22" t="s">
        <v>141</v>
      </c>
      <c r="AT464" s="75" t="s">
        <v>142</v>
      </c>
      <c r="AU464" s="79" t="s">
        <v>143</v>
      </c>
      <c r="AV464" s="80" t="s">
        <v>144</v>
      </c>
      <c r="AW464" s="81" t="s">
        <v>145</v>
      </c>
      <c r="AX464" s="82" t="s">
        <v>146</v>
      </c>
      <c r="AY464" s="83" t="s">
        <v>147</v>
      </c>
      <c r="AZ464" s="80" t="s">
        <v>585</v>
      </c>
      <c r="BA464" s="41" t="s">
        <v>105</v>
      </c>
      <c r="BB464" s="591" t="str">
        <f t="shared" si="35"/>
        <v>TEMPLATE</v>
      </c>
      <c r="BC464" s="591" t="str">
        <f t="shared" si="36"/>
        <v>17. Regional Health Clusters-QLHC-MOH-PS</v>
      </c>
      <c r="BD464" s="591" t="str">
        <f t="shared" si="37"/>
        <v>QLHC-MOH-PS</v>
      </c>
      <c r="BE464" s="591" t="str">
        <f t="shared" si="38"/>
        <v>NONE</v>
      </c>
      <c r="BF464" s="594">
        <f t="shared" si="39"/>
        <v>11</v>
      </c>
    </row>
    <row r="465" spans="1:58" ht="42" customHeight="1" x14ac:dyDescent="0.45">
      <c r="A465" s="42">
        <v>416</v>
      </c>
      <c r="B465" s="412" t="s">
        <v>2318</v>
      </c>
      <c r="C465" s="44" t="s">
        <v>2319</v>
      </c>
      <c r="D465" s="44" t="s">
        <v>2191</v>
      </c>
      <c r="E465" s="412" t="s">
        <v>679</v>
      </c>
      <c r="F465" s="45" t="s">
        <v>680</v>
      </c>
      <c r="G465" s="44" t="s">
        <v>681</v>
      </c>
      <c r="H465" s="44" t="s">
        <v>225</v>
      </c>
      <c r="I465" s="46" t="s">
        <v>682</v>
      </c>
      <c r="J465" s="46" t="s">
        <v>386</v>
      </c>
      <c r="K465" s="44" t="s">
        <v>558</v>
      </c>
      <c r="L465" s="66" t="s">
        <v>559</v>
      </c>
      <c r="M465" s="44" t="s">
        <v>2323</v>
      </c>
      <c r="N465" s="54" t="s">
        <v>154</v>
      </c>
      <c r="O465" s="48" t="s">
        <v>593</v>
      </c>
      <c r="P465" s="44" t="s">
        <v>661</v>
      </c>
      <c r="Q465" s="70" t="s">
        <v>683</v>
      </c>
      <c r="R465" s="70" t="s">
        <v>684</v>
      </c>
      <c r="S465" s="71" t="s">
        <v>685</v>
      </c>
      <c r="T465" s="70" t="s">
        <v>686</v>
      </c>
      <c r="U465" s="25" t="s">
        <v>687</v>
      </c>
      <c r="V465" s="70" t="s">
        <v>282</v>
      </c>
      <c r="W465" s="72" t="s">
        <v>283</v>
      </c>
      <c r="X465" s="70" t="s">
        <v>284</v>
      </c>
      <c r="Y465" s="49" t="s">
        <v>285</v>
      </c>
      <c r="Z465" s="70" t="s">
        <v>286</v>
      </c>
      <c r="AA465" s="71" t="s">
        <v>286</v>
      </c>
      <c r="AB465" s="70" t="s">
        <v>287</v>
      </c>
      <c r="AC465" s="70" t="s">
        <v>288</v>
      </c>
      <c r="AD465" s="49" t="s">
        <v>289</v>
      </c>
      <c r="AE465" s="58" t="s">
        <v>290</v>
      </c>
      <c r="AF465" s="56" t="s">
        <v>291</v>
      </c>
      <c r="AG465" s="70" t="s">
        <v>292</v>
      </c>
      <c r="AH465" s="70" t="s">
        <v>293</v>
      </c>
      <c r="AI465" s="73" t="s">
        <v>215</v>
      </c>
      <c r="AJ465" s="70" t="s">
        <v>216</v>
      </c>
      <c r="AK465" s="74" t="s">
        <v>217</v>
      </c>
      <c r="AL465" s="75" t="s">
        <v>218</v>
      </c>
      <c r="AM465" s="76" t="s">
        <v>219</v>
      </c>
      <c r="AN465" s="50" t="s">
        <v>220</v>
      </c>
      <c r="AO465" s="77" t="s">
        <v>221</v>
      </c>
      <c r="AP465" s="51" t="s">
        <v>138</v>
      </c>
      <c r="AQ465" s="78" t="s">
        <v>139</v>
      </c>
      <c r="AR465" s="74" t="s">
        <v>140</v>
      </c>
      <c r="AS465" s="22" t="s">
        <v>141</v>
      </c>
      <c r="AT465" s="75" t="s">
        <v>142</v>
      </c>
      <c r="AU465" s="79" t="s">
        <v>143</v>
      </c>
      <c r="AV465" s="80" t="s">
        <v>144</v>
      </c>
      <c r="AW465" s="81" t="s">
        <v>145</v>
      </c>
      <c r="AX465" s="82" t="s">
        <v>146</v>
      </c>
      <c r="AY465" s="83" t="s">
        <v>147</v>
      </c>
      <c r="AZ465" s="80" t="s">
        <v>585</v>
      </c>
      <c r="BA465" s="41" t="s">
        <v>105</v>
      </c>
      <c r="BB465" s="591" t="str">
        <f t="shared" si="35"/>
        <v>TEMPLATE</v>
      </c>
      <c r="BC465" s="591" t="str">
        <f t="shared" si="36"/>
        <v>17. Regional Health Clusters-QLHC-MOH-PR</v>
      </c>
      <c r="BD465" s="591" t="str">
        <f t="shared" si="37"/>
        <v>QLHC-MOH-PR</v>
      </c>
      <c r="BE465" s="591" t="str">
        <f t="shared" si="38"/>
        <v>NONE</v>
      </c>
      <c r="BF465" s="594">
        <f t="shared" si="39"/>
        <v>9</v>
      </c>
    </row>
    <row r="466" spans="1:58" ht="42" customHeight="1" x14ac:dyDescent="0.45">
      <c r="A466" s="84">
        <v>417</v>
      </c>
      <c r="B466" s="411" t="s">
        <v>2318</v>
      </c>
      <c r="C466" s="70" t="s">
        <v>2319</v>
      </c>
      <c r="D466" s="70" t="s">
        <v>2191</v>
      </c>
      <c r="E466" s="411" t="s">
        <v>930</v>
      </c>
      <c r="F466" s="72" t="s">
        <v>2199</v>
      </c>
      <c r="G466" s="70" t="s">
        <v>932</v>
      </c>
      <c r="H466" s="70" t="s">
        <v>2200</v>
      </c>
      <c r="I466" s="71" t="s">
        <v>924</v>
      </c>
      <c r="J466" s="71" t="s">
        <v>934</v>
      </c>
      <c r="K466" s="70" t="s">
        <v>558</v>
      </c>
      <c r="L466" s="92" t="s">
        <v>935</v>
      </c>
      <c r="M466" s="70" t="s">
        <v>2324</v>
      </c>
      <c r="N466" s="86" t="s">
        <v>66</v>
      </c>
      <c r="O466" s="87" t="s">
        <v>937</v>
      </c>
      <c r="P466" s="70" t="s">
        <v>979</v>
      </c>
      <c r="Q466" s="70" t="s">
        <v>939</v>
      </c>
      <c r="R466" s="70" t="s">
        <v>940</v>
      </c>
      <c r="S466" s="71" t="s">
        <v>941</v>
      </c>
      <c r="T466" s="70" t="s">
        <v>942</v>
      </c>
      <c r="U466" s="25" t="s">
        <v>943</v>
      </c>
      <c r="V466" s="70" t="s">
        <v>944</v>
      </c>
      <c r="W466" s="72" t="s">
        <v>945</v>
      </c>
      <c r="X466" s="70" t="s">
        <v>946</v>
      </c>
      <c r="Y466" s="49" t="s">
        <v>947</v>
      </c>
      <c r="Z466" s="70" t="s">
        <v>948</v>
      </c>
      <c r="AA466" s="71" t="s">
        <v>949</v>
      </c>
      <c r="AB466" s="70" t="s">
        <v>950</v>
      </c>
      <c r="AC466" s="70" t="s">
        <v>951</v>
      </c>
      <c r="AD466" s="22" t="s">
        <v>82</v>
      </c>
      <c r="AE466" s="26" t="s">
        <v>952</v>
      </c>
      <c r="AF466" s="27" t="s">
        <v>953</v>
      </c>
      <c r="AG466" s="70" t="s">
        <v>954</v>
      </c>
      <c r="AH466" s="70" t="s">
        <v>955</v>
      </c>
      <c r="AI466" s="73" t="s">
        <v>956</v>
      </c>
      <c r="AJ466" s="70" t="s">
        <v>957</v>
      </c>
      <c r="AK466" s="74" t="s">
        <v>958</v>
      </c>
      <c r="AL466" s="75" t="s">
        <v>959</v>
      </c>
      <c r="AM466" s="76" t="s">
        <v>960</v>
      </c>
      <c r="AN466" s="50" t="s">
        <v>961</v>
      </c>
      <c r="AO466" s="77" t="s">
        <v>962</v>
      </c>
      <c r="AP466" s="51" t="s">
        <v>963</v>
      </c>
      <c r="AQ466" s="78" t="s">
        <v>964</v>
      </c>
      <c r="AR466" s="74" t="s">
        <v>965</v>
      </c>
      <c r="AS466" s="92" t="s">
        <v>966</v>
      </c>
      <c r="AT466" s="75" t="s">
        <v>967</v>
      </c>
      <c r="AU466" s="79" t="s">
        <v>968</v>
      </c>
      <c r="AV466" s="80" t="s">
        <v>969</v>
      </c>
      <c r="AW466" s="81" t="s">
        <v>970</v>
      </c>
      <c r="AX466" s="82" t="s">
        <v>971</v>
      </c>
      <c r="AY466" s="83" t="s">
        <v>972</v>
      </c>
      <c r="AZ466" s="80" t="s">
        <v>585</v>
      </c>
      <c r="BA466" s="41" t="s">
        <v>105</v>
      </c>
      <c r="BB466" s="591" t="str">
        <f t="shared" si="35"/>
        <v>DEEP</v>
      </c>
      <c r="BC466" s="591" t="str">
        <f t="shared" si="36"/>
        <v>17. Regional Health Clusters-QLHC-CBAHI-HAS-H</v>
      </c>
      <c r="BD466" s="591" t="str">
        <f t="shared" si="37"/>
        <v>QLHC-CBAHI-HAS-H</v>
      </c>
      <c r="BE466" s="591" t="str">
        <f t="shared" si="38"/>
        <v>NONE</v>
      </c>
      <c r="BF466" s="594">
        <f t="shared" si="39"/>
        <v>15</v>
      </c>
    </row>
    <row r="467" spans="1:58" ht="42" customHeight="1" x14ac:dyDescent="0.45">
      <c r="A467" s="42">
        <v>418</v>
      </c>
      <c r="B467" s="412" t="s">
        <v>2318</v>
      </c>
      <c r="C467" s="44" t="s">
        <v>2319</v>
      </c>
      <c r="D467" s="44" t="s">
        <v>2191</v>
      </c>
      <c r="E467" s="412" t="s">
        <v>557</v>
      </c>
      <c r="F467" s="45" t="s">
        <v>58</v>
      </c>
      <c r="G467" s="44" t="s">
        <v>59</v>
      </c>
      <c r="H467" s="44" t="s">
        <v>57</v>
      </c>
      <c r="I467" s="46" t="s">
        <v>61</v>
      </c>
      <c r="J467" s="46" t="s">
        <v>62</v>
      </c>
      <c r="K467" s="44" t="s">
        <v>558</v>
      </c>
      <c r="L467" s="66" t="s">
        <v>559</v>
      </c>
      <c r="M467" s="44" t="s">
        <v>2325</v>
      </c>
      <c r="N467" s="47" t="s">
        <v>66</v>
      </c>
      <c r="O467" s="48" t="s">
        <v>196</v>
      </c>
      <c r="P467" s="44" t="s">
        <v>561</v>
      </c>
      <c r="Q467" s="70" t="s">
        <v>562</v>
      </c>
      <c r="R467" s="70" t="s">
        <v>563</v>
      </c>
      <c r="S467" s="71" t="s">
        <v>564</v>
      </c>
      <c r="T467" s="70" t="s">
        <v>565</v>
      </c>
      <c r="U467" s="25" t="s">
        <v>566</v>
      </c>
      <c r="V467" s="70" t="s">
        <v>282</v>
      </c>
      <c r="W467" s="72" t="s">
        <v>283</v>
      </c>
      <c r="X467" s="70" t="s">
        <v>284</v>
      </c>
      <c r="Y467" s="49" t="s">
        <v>285</v>
      </c>
      <c r="Z467" s="70" t="s">
        <v>286</v>
      </c>
      <c r="AA467" s="71" t="s">
        <v>286</v>
      </c>
      <c r="AB467" s="70" t="s">
        <v>287</v>
      </c>
      <c r="AC467" s="70" t="s">
        <v>288</v>
      </c>
      <c r="AD467" s="49" t="s">
        <v>289</v>
      </c>
      <c r="AE467" s="58" t="s">
        <v>290</v>
      </c>
      <c r="AF467" s="56" t="s">
        <v>291</v>
      </c>
      <c r="AG467" s="70" t="s">
        <v>292</v>
      </c>
      <c r="AH467" s="70" t="s">
        <v>293</v>
      </c>
      <c r="AI467" s="73" t="s">
        <v>215</v>
      </c>
      <c r="AJ467" s="70" t="s">
        <v>216</v>
      </c>
      <c r="AK467" s="74" t="s">
        <v>217</v>
      </c>
      <c r="AL467" s="75" t="s">
        <v>218</v>
      </c>
      <c r="AM467" s="76" t="s">
        <v>219</v>
      </c>
      <c r="AN467" s="50" t="s">
        <v>220</v>
      </c>
      <c r="AO467" s="77" t="s">
        <v>221</v>
      </c>
      <c r="AP467" s="51" t="s">
        <v>138</v>
      </c>
      <c r="AQ467" s="78" t="s">
        <v>139</v>
      </c>
      <c r="AR467" s="74" t="s">
        <v>140</v>
      </c>
      <c r="AS467" s="22" t="s">
        <v>141</v>
      </c>
      <c r="AT467" s="75" t="s">
        <v>142</v>
      </c>
      <c r="AU467" s="79" t="s">
        <v>143</v>
      </c>
      <c r="AV467" s="80" t="s">
        <v>144</v>
      </c>
      <c r="AW467" s="81" t="s">
        <v>145</v>
      </c>
      <c r="AX467" s="82" t="s">
        <v>146</v>
      </c>
      <c r="AY467" s="83" t="s">
        <v>147</v>
      </c>
      <c r="AZ467" s="80" t="s">
        <v>567</v>
      </c>
      <c r="BA467" s="34" t="s">
        <v>320</v>
      </c>
      <c r="BB467" s="591" t="str">
        <f t="shared" si="35"/>
        <v>TEMPLATE</v>
      </c>
      <c r="BC467" s="591" t="str">
        <f t="shared" si="36"/>
        <v>17. Regional Health Clusters-QLHC-NCA-ECC-2:2024</v>
      </c>
      <c r="BD467" s="591" t="str">
        <f t="shared" si="37"/>
        <v>QLHC-NCA-ECC-2-2024</v>
      </c>
      <c r="BE467" s="591" t="str">
        <f t="shared" si="38"/>
        <v>NCA-ECC-2-2024</v>
      </c>
      <c r="BF467" s="594">
        <f t="shared" si="39"/>
        <v>11</v>
      </c>
    </row>
    <row r="468" spans="1:58" ht="42" customHeight="1" x14ac:dyDescent="0.45">
      <c r="A468" s="84">
        <v>419</v>
      </c>
      <c r="B468" s="411" t="s">
        <v>2318</v>
      </c>
      <c r="C468" s="70" t="s">
        <v>2319</v>
      </c>
      <c r="D468" s="70" t="s">
        <v>2191</v>
      </c>
      <c r="E468" s="411" t="s">
        <v>382</v>
      </c>
      <c r="F468" s="72" t="s">
        <v>383</v>
      </c>
      <c r="G468" s="70" t="s">
        <v>384</v>
      </c>
      <c r="H468" s="70" t="s">
        <v>765</v>
      </c>
      <c r="I468" s="71" t="s">
        <v>250</v>
      </c>
      <c r="J468" s="71" t="s">
        <v>386</v>
      </c>
      <c r="K468" s="70" t="s">
        <v>558</v>
      </c>
      <c r="L468" s="66" t="s">
        <v>559</v>
      </c>
      <c r="M468" s="70" t="s">
        <v>2326</v>
      </c>
      <c r="N468" s="86" t="s">
        <v>66</v>
      </c>
      <c r="O468" s="87" t="s">
        <v>540</v>
      </c>
      <c r="P468" s="70" t="s">
        <v>380</v>
      </c>
      <c r="Q468" s="70" t="s">
        <v>390</v>
      </c>
      <c r="R468" s="70" t="s">
        <v>391</v>
      </c>
      <c r="S468" s="71" t="s">
        <v>392</v>
      </c>
      <c r="T468" s="70" t="s">
        <v>393</v>
      </c>
      <c r="U468" s="25" t="s">
        <v>394</v>
      </c>
      <c r="V468" s="70" t="s">
        <v>395</v>
      </c>
      <c r="W468" s="72" t="s">
        <v>396</v>
      </c>
      <c r="X468" s="70" t="s">
        <v>397</v>
      </c>
      <c r="Y468" s="49" t="s">
        <v>398</v>
      </c>
      <c r="Z468" s="70" t="s">
        <v>399</v>
      </c>
      <c r="AA468" s="71" t="s">
        <v>400</v>
      </c>
      <c r="AB468" s="70" t="s">
        <v>401</v>
      </c>
      <c r="AC468" s="70" t="s">
        <v>402</v>
      </c>
      <c r="AD468" s="49" t="s">
        <v>403</v>
      </c>
      <c r="AE468" s="50" t="s">
        <v>404</v>
      </c>
      <c r="AF468" s="60" t="s">
        <v>405</v>
      </c>
      <c r="AG468" s="70" t="s">
        <v>406</v>
      </c>
      <c r="AH468" s="70" t="s">
        <v>407</v>
      </c>
      <c r="AI468" s="73" t="s">
        <v>408</v>
      </c>
      <c r="AJ468" s="70" t="s">
        <v>409</v>
      </c>
      <c r="AK468" s="74" t="s">
        <v>410</v>
      </c>
      <c r="AL468" s="75" t="s">
        <v>411</v>
      </c>
      <c r="AM468" s="76" t="s">
        <v>412</v>
      </c>
      <c r="AN468" s="50" t="s">
        <v>413</v>
      </c>
      <c r="AO468" s="77" t="s">
        <v>414</v>
      </c>
      <c r="AP468" s="51" t="s">
        <v>415</v>
      </c>
      <c r="AQ468" s="78" t="s">
        <v>416</v>
      </c>
      <c r="AR468" s="74" t="s">
        <v>417</v>
      </c>
      <c r="AS468" s="22" t="s">
        <v>418</v>
      </c>
      <c r="AT468" s="75" t="s">
        <v>419</v>
      </c>
      <c r="AU468" s="79" t="s">
        <v>420</v>
      </c>
      <c r="AV468" s="80" t="s">
        <v>421</v>
      </c>
      <c r="AW468" s="81" t="s">
        <v>422</v>
      </c>
      <c r="AX468" s="82" t="s">
        <v>423</v>
      </c>
      <c r="AY468" s="83" t="s">
        <v>424</v>
      </c>
      <c r="AZ468" s="80" t="s">
        <v>425</v>
      </c>
      <c r="BA468" s="34" t="s">
        <v>320</v>
      </c>
      <c r="BB468" s="591" t="str">
        <f t="shared" si="35"/>
        <v>DEEP</v>
      </c>
      <c r="BC468" s="591" t="str">
        <f t="shared" si="36"/>
        <v>17. Regional Health Clusters-QLHC-PDPL-2021</v>
      </c>
      <c r="BD468" s="591" t="str">
        <f t="shared" si="37"/>
        <v>QLHC-PDPL-2021</v>
      </c>
      <c r="BE468" s="591" t="str">
        <f t="shared" si="38"/>
        <v>NONE</v>
      </c>
      <c r="BF468" s="594">
        <f t="shared" si="39"/>
        <v>18</v>
      </c>
    </row>
    <row r="469" spans="1:58" ht="42" customHeight="1" x14ac:dyDescent="0.45">
      <c r="A469" s="42">
        <v>420</v>
      </c>
      <c r="B469" s="412" t="s">
        <v>2318</v>
      </c>
      <c r="C469" s="44" t="s">
        <v>2319</v>
      </c>
      <c r="D469" s="44" t="s">
        <v>2191</v>
      </c>
      <c r="E469" s="412" t="s">
        <v>688</v>
      </c>
      <c r="F469" s="45" t="s">
        <v>689</v>
      </c>
      <c r="G469" s="44" t="s">
        <v>690</v>
      </c>
      <c r="H469" s="44" t="s">
        <v>691</v>
      </c>
      <c r="I469" s="46" t="s">
        <v>151</v>
      </c>
      <c r="J469" s="46" t="s">
        <v>692</v>
      </c>
      <c r="K469" s="44" t="s">
        <v>558</v>
      </c>
      <c r="L469" s="66" t="s">
        <v>559</v>
      </c>
      <c r="M469" s="44" t="s">
        <v>2327</v>
      </c>
      <c r="N469" s="54" t="s">
        <v>154</v>
      </c>
      <c r="O469" s="48" t="s">
        <v>593</v>
      </c>
      <c r="P469" s="44" t="s">
        <v>636</v>
      </c>
      <c r="Q469" s="70" t="s">
        <v>695</v>
      </c>
      <c r="R469" s="70" t="s">
        <v>696</v>
      </c>
      <c r="S469" s="71" t="s">
        <v>697</v>
      </c>
      <c r="T469" s="70" t="s">
        <v>698</v>
      </c>
      <c r="U469" s="25" t="s">
        <v>699</v>
      </c>
      <c r="V469" s="70" t="s">
        <v>700</v>
      </c>
      <c r="W469" s="72" t="s">
        <v>701</v>
      </c>
      <c r="X469" s="70" t="s">
        <v>702</v>
      </c>
      <c r="Y469" s="22" t="s">
        <v>205</v>
      </c>
      <c r="Z469" s="70" t="s">
        <v>703</v>
      </c>
      <c r="AA469" s="71" t="s">
        <v>704</v>
      </c>
      <c r="AB469" s="70" t="s">
        <v>705</v>
      </c>
      <c r="AC469" s="70" t="s">
        <v>706</v>
      </c>
      <c r="AD469" s="49" t="s">
        <v>707</v>
      </c>
      <c r="AE469" s="26" t="s">
        <v>675</v>
      </c>
      <c r="AF469" s="60" t="s">
        <v>708</v>
      </c>
      <c r="AG469" s="70" t="s">
        <v>709</v>
      </c>
      <c r="AH469" s="70" t="s">
        <v>710</v>
      </c>
      <c r="AI469" s="73" t="s">
        <v>711</v>
      </c>
      <c r="AJ469" s="70" t="s">
        <v>712</v>
      </c>
      <c r="AK469" s="74" t="s">
        <v>713</v>
      </c>
      <c r="AL469" s="75" t="s">
        <v>714</v>
      </c>
      <c r="AM469" s="76" t="s">
        <v>715</v>
      </c>
      <c r="AN469" s="50" t="s">
        <v>716</v>
      </c>
      <c r="AO469" s="77" t="s">
        <v>717</v>
      </c>
      <c r="AP469" s="51" t="s">
        <v>718</v>
      </c>
      <c r="AQ469" s="78" t="s">
        <v>719</v>
      </c>
      <c r="AR469" s="74" t="s">
        <v>720</v>
      </c>
      <c r="AS469" s="61" t="s">
        <v>721</v>
      </c>
      <c r="AT469" s="75" t="s">
        <v>722</v>
      </c>
      <c r="AU469" s="79" t="s">
        <v>723</v>
      </c>
      <c r="AV469" s="80" t="s">
        <v>724</v>
      </c>
      <c r="AW469" s="81" t="s">
        <v>725</v>
      </c>
      <c r="AX469" s="82" t="s">
        <v>726</v>
      </c>
      <c r="AY469" s="83" t="s">
        <v>727</v>
      </c>
      <c r="AZ469" s="80" t="s">
        <v>728</v>
      </c>
      <c r="BA469" s="41" t="s">
        <v>105</v>
      </c>
      <c r="BB469" s="591" t="str">
        <f t="shared" si="35"/>
        <v>DEEP</v>
      </c>
      <c r="BC469" s="591" t="str">
        <f t="shared" si="36"/>
        <v>17. Regional Health Clusters-QLHC-MOH-TELE</v>
      </c>
      <c r="BD469" s="591" t="str">
        <f t="shared" si="37"/>
        <v>QLHC-MOH-TELE</v>
      </c>
      <c r="BE469" s="591" t="str">
        <f t="shared" si="38"/>
        <v>NONE</v>
      </c>
      <c r="BF469" s="594">
        <f t="shared" si="39"/>
        <v>16</v>
      </c>
    </row>
    <row r="470" spans="1:58" ht="42" customHeight="1" x14ac:dyDescent="0.45">
      <c r="A470" s="84">
        <v>421</v>
      </c>
      <c r="B470" s="411" t="s">
        <v>2318</v>
      </c>
      <c r="C470" s="70" t="s">
        <v>2319</v>
      </c>
      <c r="D470" s="70" t="s">
        <v>2191</v>
      </c>
      <c r="E470" s="411" t="s">
        <v>1246</v>
      </c>
      <c r="F470" s="72" t="s">
        <v>2205</v>
      </c>
      <c r="G470" s="70" t="s">
        <v>2206</v>
      </c>
      <c r="H470" s="70" t="s">
        <v>633</v>
      </c>
      <c r="I470" s="71" t="s">
        <v>61</v>
      </c>
      <c r="J470" s="71" t="s">
        <v>194</v>
      </c>
      <c r="K470" s="70" t="s">
        <v>558</v>
      </c>
      <c r="L470" s="66" t="s">
        <v>559</v>
      </c>
      <c r="M470" s="70" t="s">
        <v>2328</v>
      </c>
      <c r="N470" s="86" t="s">
        <v>66</v>
      </c>
      <c r="O470" s="87" t="s">
        <v>1250</v>
      </c>
      <c r="P470" s="70" t="s">
        <v>1244</v>
      </c>
      <c r="Q470" s="70" t="s">
        <v>1252</v>
      </c>
      <c r="R470" s="70" t="s">
        <v>1253</v>
      </c>
      <c r="S470" s="71" t="s">
        <v>1254</v>
      </c>
      <c r="T470" s="70" t="s">
        <v>1255</v>
      </c>
      <c r="U470" s="25" t="s">
        <v>1256</v>
      </c>
      <c r="V470" s="70" t="s">
        <v>1257</v>
      </c>
      <c r="W470" s="72" t="s">
        <v>1258</v>
      </c>
      <c r="X470" s="70" t="s">
        <v>1259</v>
      </c>
      <c r="Y470" s="22" t="s">
        <v>205</v>
      </c>
      <c r="Z470" s="70" t="s">
        <v>1260</v>
      </c>
      <c r="AA470" s="71" t="s">
        <v>1261</v>
      </c>
      <c r="AB470" s="70" t="s">
        <v>1262</v>
      </c>
      <c r="AC470" s="70" t="s">
        <v>1263</v>
      </c>
      <c r="AD470" s="49" t="s">
        <v>650</v>
      </c>
      <c r="AE470" s="37" t="s">
        <v>1264</v>
      </c>
      <c r="AF470" s="27" t="s">
        <v>1265</v>
      </c>
      <c r="AG470" s="70" t="s">
        <v>1266</v>
      </c>
      <c r="AH470" s="70" t="s">
        <v>1267</v>
      </c>
      <c r="AI470" s="73" t="s">
        <v>215</v>
      </c>
      <c r="AJ470" s="70" t="s">
        <v>216</v>
      </c>
      <c r="AK470" s="74" t="s">
        <v>217</v>
      </c>
      <c r="AL470" s="75" t="s">
        <v>218</v>
      </c>
      <c r="AM470" s="76" t="s">
        <v>219</v>
      </c>
      <c r="AN470" s="50" t="s">
        <v>220</v>
      </c>
      <c r="AO470" s="77" t="s">
        <v>221</v>
      </c>
      <c r="AP470" s="51" t="s">
        <v>138</v>
      </c>
      <c r="AQ470" s="78" t="s">
        <v>139</v>
      </c>
      <c r="AR470" s="74" t="s">
        <v>140</v>
      </c>
      <c r="AS470" s="22" t="s">
        <v>141</v>
      </c>
      <c r="AT470" s="75" t="s">
        <v>142</v>
      </c>
      <c r="AU470" s="79" t="s">
        <v>143</v>
      </c>
      <c r="AV470" s="80" t="s">
        <v>144</v>
      </c>
      <c r="AW470" s="81" t="s">
        <v>145</v>
      </c>
      <c r="AX470" s="82" t="s">
        <v>146</v>
      </c>
      <c r="AY470" s="83" t="s">
        <v>147</v>
      </c>
      <c r="AZ470" s="80" t="s">
        <v>585</v>
      </c>
      <c r="BA470" s="41" t="s">
        <v>105</v>
      </c>
      <c r="BB470" s="591" t="str">
        <f t="shared" si="35"/>
        <v>TEMPLATE</v>
      </c>
      <c r="BC470" s="591" t="str">
        <f t="shared" si="36"/>
        <v>17. Regional Health Clusters-QLHC-NHIC-NABIDH</v>
      </c>
      <c r="BD470" s="591" t="str">
        <f t="shared" si="37"/>
        <v>QLHC-NHIC-NABIDH</v>
      </c>
      <c r="BE470" s="591" t="str">
        <f t="shared" si="38"/>
        <v>NONE</v>
      </c>
      <c r="BF470" s="594">
        <f t="shared" si="39"/>
        <v>11</v>
      </c>
    </row>
    <row r="471" spans="1:58" ht="42" customHeight="1" x14ac:dyDescent="0.45">
      <c r="A471" s="42">
        <v>422</v>
      </c>
      <c r="B471" s="412" t="s">
        <v>2318</v>
      </c>
      <c r="C471" s="44" t="s">
        <v>2319</v>
      </c>
      <c r="D471" s="44" t="s">
        <v>2191</v>
      </c>
      <c r="E471" s="412" t="s">
        <v>770</v>
      </c>
      <c r="F471" s="45" t="s">
        <v>107</v>
      </c>
      <c r="G471" s="44" t="s">
        <v>108</v>
      </c>
      <c r="H471" s="44" t="s">
        <v>106</v>
      </c>
      <c r="I471" s="46" t="s">
        <v>109</v>
      </c>
      <c r="J471" s="46" t="s">
        <v>110</v>
      </c>
      <c r="K471" s="44" t="s">
        <v>558</v>
      </c>
      <c r="L471" s="66" t="s">
        <v>559</v>
      </c>
      <c r="M471" s="44" t="s">
        <v>2329</v>
      </c>
      <c r="N471" s="47" t="s">
        <v>66</v>
      </c>
      <c r="O471" s="48" t="s">
        <v>196</v>
      </c>
      <c r="P471" s="44" t="s">
        <v>2209</v>
      </c>
      <c r="Q471" s="70" t="s">
        <v>562</v>
      </c>
      <c r="R471" s="70" t="s">
        <v>563</v>
      </c>
      <c r="S471" s="71" t="s">
        <v>564</v>
      </c>
      <c r="T471" s="70" t="s">
        <v>565</v>
      </c>
      <c r="U471" s="25" t="s">
        <v>566</v>
      </c>
      <c r="V471" s="70" t="s">
        <v>282</v>
      </c>
      <c r="W471" s="72" t="s">
        <v>283</v>
      </c>
      <c r="X471" s="70" t="s">
        <v>284</v>
      </c>
      <c r="Y471" s="49" t="s">
        <v>285</v>
      </c>
      <c r="Z471" s="70" t="s">
        <v>286</v>
      </c>
      <c r="AA471" s="71" t="s">
        <v>286</v>
      </c>
      <c r="AB471" s="70" t="s">
        <v>287</v>
      </c>
      <c r="AC471" s="70" t="s">
        <v>288</v>
      </c>
      <c r="AD471" s="49" t="s">
        <v>289</v>
      </c>
      <c r="AE471" s="58" t="s">
        <v>290</v>
      </c>
      <c r="AF471" s="56" t="s">
        <v>291</v>
      </c>
      <c r="AG471" s="70" t="s">
        <v>292</v>
      </c>
      <c r="AH471" s="70" t="s">
        <v>293</v>
      </c>
      <c r="AI471" s="73" t="s">
        <v>215</v>
      </c>
      <c r="AJ471" s="70" t="s">
        <v>216</v>
      </c>
      <c r="AK471" s="74" t="s">
        <v>217</v>
      </c>
      <c r="AL471" s="75" t="s">
        <v>218</v>
      </c>
      <c r="AM471" s="76" t="s">
        <v>219</v>
      </c>
      <c r="AN471" s="50" t="s">
        <v>220</v>
      </c>
      <c r="AO471" s="77" t="s">
        <v>221</v>
      </c>
      <c r="AP471" s="53" t="s">
        <v>773</v>
      </c>
      <c r="AQ471" s="78" t="s">
        <v>774</v>
      </c>
      <c r="AR471" s="74" t="s">
        <v>775</v>
      </c>
      <c r="AS471" s="22" t="s">
        <v>776</v>
      </c>
      <c r="AT471" s="75" t="s">
        <v>777</v>
      </c>
      <c r="AU471" s="79" t="s">
        <v>778</v>
      </c>
      <c r="AV471" s="80" t="s">
        <v>779</v>
      </c>
      <c r="AW471" s="81" t="s">
        <v>780</v>
      </c>
      <c r="AX471" s="82" t="s">
        <v>781</v>
      </c>
      <c r="AY471" s="83" t="s">
        <v>782</v>
      </c>
      <c r="AZ471" s="80" t="s">
        <v>104</v>
      </c>
      <c r="BA471" s="41" t="s">
        <v>105</v>
      </c>
      <c r="BB471" s="591" t="str">
        <f t="shared" si="35"/>
        <v>TEMPLATE</v>
      </c>
      <c r="BC471" s="591" t="str">
        <f t="shared" si="36"/>
        <v>17. Regional Health Clusters-QLHC-NCA-OTCC</v>
      </c>
      <c r="BD471" s="591" t="str">
        <f t="shared" si="37"/>
        <v>QLHC-NCA-OTCC</v>
      </c>
      <c r="BE471" s="591" t="str">
        <f t="shared" si="38"/>
        <v>NCA-ECC-2-2024</v>
      </c>
      <c r="BF471" s="594">
        <f t="shared" si="39"/>
        <v>11</v>
      </c>
    </row>
    <row r="472" spans="1:58" ht="42" customHeight="1" x14ac:dyDescent="0.45">
      <c r="A472" s="84">
        <v>423</v>
      </c>
      <c r="B472" s="411" t="s">
        <v>2330</v>
      </c>
      <c r="C472" s="70" t="s">
        <v>2331</v>
      </c>
      <c r="D472" s="70" t="s">
        <v>2191</v>
      </c>
      <c r="E472" s="411" t="s">
        <v>586</v>
      </c>
      <c r="F472" s="72" t="s">
        <v>587</v>
      </c>
      <c r="G472" s="70" t="s">
        <v>588</v>
      </c>
      <c r="H472" s="70" t="s">
        <v>589</v>
      </c>
      <c r="I472" s="71" t="s">
        <v>590</v>
      </c>
      <c r="J472" s="71" t="s">
        <v>591</v>
      </c>
      <c r="K472" s="70" t="s">
        <v>558</v>
      </c>
      <c r="L472" s="66" t="s">
        <v>559</v>
      </c>
      <c r="M472" s="70" t="s">
        <v>2332</v>
      </c>
      <c r="N472" s="86" t="s">
        <v>66</v>
      </c>
      <c r="O472" s="87" t="s">
        <v>593</v>
      </c>
      <c r="P472" s="70" t="s">
        <v>661</v>
      </c>
      <c r="Q472" s="70" t="s">
        <v>595</v>
      </c>
      <c r="R472" s="70" t="s">
        <v>596</v>
      </c>
      <c r="S472" s="71" t="s">
        <v>597</v>
      </c>
      <c r="T472" s="70" t="s">
        <v>598</v>
      </c>
      <c r="U472" s="25" t="s">
        <v>599</v>
      </c>
      <c r="V472" s="70" t="s">
        <v>600</v>
      </c>
      <c r="W472" s="72" t="s">
        <v>601</v>
      </c>
      <c r="X472" s="70" t="s">
        <v>602</v>
      </c>
      <c r="Y472" s="49" t="s">
        <v>603</v>
      </c>
      <c r="Z472" s="70" t="s">
        <v>604</v>
      </c>
      <c r="AA472" s="71" t="s">
        <v>605</v>
      </c>
      <c r="AB472" s="70" t="s">
        <v>606</v>
      </c>
      <c r="AC472" s="70" t="s">
        <v>607</v>
      </c>
      <c r="AD472" s="49" t="s">
        <v>608</v>
      </c>
      <c r="AE472" s="26" t="s">
        <v>609</v>
      </c>
      <c r="AF472" s="27" t="s">
        <v>610</v>
      </c>
      <c r="AG472" s="70" t="s">
        <v>611</v>
      </c>
      <c r="AH472" s="70" t="s">
        <v>612</v>
      </c>
      <c r="AI472" s="73" t="s">
        <v>613</v>
      </c>
      <c r="AJ472" s="70" t="s">
        <v>614</v>
      </c>
      <c r="AK472" s="74" t="s">
        <v>615</v>
      </c>
      <c r="AL472" s="75" t="s">
        <v>616</v>
      </c>
      <c r="AM472" s="76" t="s">
        <v>617</v>
      </c>
      <c r="AN472" s="50" t="s">
        <v>618</v>
      </c>
      <c r="AO472" s="77" t="s">
        <v>619</v>
      </c>
      <c r="AP472" s="34" t="s">
        <v>620</v>
      </c>
      <c r="AQ472" s="78" t="s">
        <v>621</v>
      </c>
      <c r="AR472" s="74" t="s">
        <v>622</v>
      </c>
      <c r="AS472" s="61" t="s">
        <v>623</v>
      </c>
      <c r="AT472" s="75" t="s">
        <v>624</v>
      </c>
      <c r="AU472" s="79" t="s">
        <v>625</v>
      </c>
      <c r="AV472" s="80" t="s">
        <v>626</v>
      </c>
      <c r="AW472" s="81" t="s">
        <v>627</v>
      </c>
      <c r="AX472" s="82" t="s">
        <v>628</v>
      </c>
      <c r="AY472" s="83" t="s">
        <v>629</v>
      </c>
      <c r="AZ472" s="80" t="s">
        <v>585</v>
      </c>
      <c r="BA472" s="41" t="s">
        <v>105</v>
      </c>
      <c r="BB472" s="591" t="str">
        <f t="shared" si="35"/>
        <v>DEEP</v>
      </c>
      <c r="BC472" s="591" t="str">
        <f t="shared" si="36"/>
        <v>17. Regional Health Clusters-HALHC-MOH-HIS</v>
      </c>
      <c r="BD472" s="591" t="str">
        <f t="shared" si="37"/>
        <v>HALHC-MOH-HIS</v>
      </c>
      <c r="BE472" s="591" t="str">
        <f t="shared" si="38"/>
        <v>NONE</v>
      </c>
      <c r="BF472" s="594">
        <f t="shared" si="39"/>
        <v>18</v>
      </c>
    </row>
    <row r="473" spans="1:58" ht="42" customHeight="1" x14ac:dyDescent="0.45">
      <c r="A473" s="42">
        <v>424</v>
      </c>
      <c r="B473" s="412" t="s">
        <v>2330</v>
      </c>
      <c r="C473" s="44" t="s">
        <v>2331</v>
      </c>
      <c r="D473" s="44" t="s">
        <v>2191</v>
      </c>
      <c r="E473" s="412" t="s">
        <v>630</v>
      </c>
      <c r="F473" s="45" t="s">
        <v>2193</v>
      </c>
      <c r="G473" s="44" t="s">
        <v>2194</v>
      </c>
      <c r="H473" s="44" t="s">
        <v>633</v>
      </c>
      <c r="I473" s="46" t="s">
        <v>590</v>
      </c>
      <c r="J473" s="46" t="s">
        <v>634</v>
      </c>
      <c r="K473" s="44" t="s">
        <v>558</v>
      </c>
      <c r="L473" s="66" t="s">
        <v>559</v>
      </c>
      <c r="M473" s="44" t="s">
        <v>2333</v>
      </c>
      <c r="N473" s="47" t="s">
        <v>66</v>
      </c>
      <c r="O473" s="48" t="s">
        <v>593</v>
      </c>
      <c r="P473" s="44" t="s">
        <v>2196</v>
      </c>
      <c r="Q473" s="70" t="s">
        <v>637</v>
      </c>
      <c r="R473" s="70" t="s">
        <v>638</v>
      </c>
      <c r="S473" s="71" t="s">
        <v>639</v>
      </c>
      <c r="T473" s="70" t="s">
        <v>640</v>
      </c>
      <c r="U473" s="25" t="s">
        <v>641</v>
      </c>
      <c r="V473" s="70" t="s">
        <v>642</v>
      </c>
      <c r="W473" s="72" t="s">
        <v>643</v>
      </c>
      <c r="X473" s="70" t="s">
        <v>644</v>
      </c>
      <c r="Y473" s="49" t="s">
        <v>645</v>
      </c>
      <c r="Z473" s="70" t="s">
        <v>646</v>
      </c>
      <c r="AA473" s="71" t="s">
        <v>647</v>
      </c>
      <c r="AB473" s="70" t="s">
        <v>648</v>
      </c>
      <c r="AC473" s="70" t="s">
        <v>649</v>
      </c>
      <c r="AD473" s="49" t="s">
        <v>650</v>
      </c>
      <c r="AE473" s="26" t="s">
        <v>651</v>
      </c>
      <c r="AF473" s="27" t="s">
        <v>652</v>
      </c>
      <c r="AG473" s="70" t="s">
        <v>653</v>
      </c>
      <c r="AH473" s="70" t="s">
        <v>654</v>
      </c>
      <c r="AI473" s="73" t="s">
        <v>215</v>
      </c>
      <c r="AJ473" s="70" t="s">
        <v>216</v>
      </c>
      <c r="AK473" s="74" t="s">
        <v>217</v>
      </c>
      <c r="AL473" s="75" t="s">
        <v>218</v>
      </c>
      <c r="AM473" s="76" t="s">
        <v>219</v>
      </c>
      <c r="AN473" s="50" t="s">
        <v>220</v>
      </c>
      <c r="AO473" s="77" t="s">
        <v>221</v>
      </c>
      <c r="AP473" s="51" t="s">
        <v>138</v>
      </c>
      <c r="AQ473" s="78" t="s">
        <v>139</v>
      </c>
      <c r="AR473" s="74" t="s">
        <v>140</v>
      </c>
      <c r="AS473" s="22" t="s">
        <v>141</v>
      </c>
      <c r="AT473" s="75" t="s">
        <v>142</v>
      </c>
      <c r="AU473" s="79" t="s">
        <v>143</v>
      </c>
      <c r="AV473" s="80" t="s">
        <v>144</v>
      </c>
      <c r="AW473" s="81" t="s">
        <v>145</v>
      </c>
      <c r="AX473" s="82" t="s">
        <v>146</v>
      </c>
      <c r="AY473" s="83" t="s">
        <v>147</v>
      </c>
      <c r="AZ473" s="80" t="s">
        <v>585</v>
      </c>
      <c r="BA473" s="41" t="s">
        <v>105</v>
      </c>
      <c r="BB473" s="591" t="str">
        <f t="shared" si="35"/>
        <v>TEMPLATE</v>
      </c>
      <c r="BC473" s="591" t="str">
        <f t="shared" si="36"/>
        <v>17. Regional Health Clusters-HALHC-MOH-EMR-NABIDH</v>
      </c>
      <c r="BD473" s="591" t="str">
        <f t="shared" si="37"/>
        <v>HALHC-MOH-EMR-NABIDH</v>
      </c>
      <c r="BE473" s="591" t="str">
        <f t="shared" si="38"/>
        <v>NONE</v>
      </c>
      <c r="BF473" s="594">
        <f t="shared" si="39"/>
        <v>11</v>
      </c>
    </row>
    <row r="474" spans="1:58" ht="42" customHeight="1" x14ac:dyDescent="0.45">
      <c r="A474" s="84">
        <v>425</v>
      </c>
      <c r="B474" s="411" t="s">
        <v>2330</v>
      </c>
      <c r="C474" s="70" t="s">
        <v>2331</v>
      </c>
      <c r="D474" s="70" t="s">
        <v>2191</v>
      </c>
      <c r="E474" s="411" t="s">
        <v>655</v>
      </c>
      <c r="F474" s="72" t="s">
        <v>656</v>
      </c>
      <c r="G474" s="70" t="s">
        <v>657</v>
      </c>
      <c r="H474" s="70" t="s">
        <v>589</v>
      </c>
      <c r="I474" s="71" t="s">
        <v>658</v>
      </c>
      <c r="J474" s="71" t="s">
        <v>659</v>
      </c>
      <c r="K474" s="70" t="s">
        <v>558</v>
      </c>
      <c r="L474" s="66" t="s">
        <v>559</v>
      </c>
      <c r="M474" s="70" t="s">
        <v>2334</v>
      </c>
      <c r="N474" s="86" t="s">
        <v>66</v>
      </c>
      <c r="O474" s="87" t="s">
        <v>593</v>
      </c>
      <c r="P474" s="70" t="s">
        <v>661</v>
      </c>
      <c r="Q474" s="70" t="s">
        <v>662</v>
      </c>
      <c r="R474" s="70" t="s">
        <v>663</v>
      </c>
      <c r="S474" s="71" t="s">
        <v>664</v>
      </c>
      <c r="T474" s="70" t="s">
        <v>665</v>
      </c>
      <c r="U474" s="25" t="s">
        <v>666</v>
      </c>
      <c r="V474" s="70" t="s">
        <v>667</v>
      </c>
      <c r="W474" s="72" t="s">
        <v>668</v>
      </c>
      <c r="X474" s="70" t="s">
        <v>669</v>
      </c>
      <c r="Y474" s="22" t="s">
        <v>205</v>
      </c>
      <c r="Z474" s="70" t="s">
        <v>670</v>
      </c>
      <c r="AA474" s="71" t="s">
        <v>671</v>
      </c>
      <c r="AB474" s="70" t="s">
        <v>672</v>
      </c>
      <c r="AC474" s="70" t="s">
        <v>673</v>
      </c>
      <c r="AD474" s="49" t="s">
        <v>674</v>
      </c>
      <c r="AE474" s="26" t="s">
        <v>675</v>
      </c>
      <c r="AF474" s="27" t="s">
        <v>676</v>
      </c>
      <c r="AG474" s="70" t="s">
        <v>677</v>
      </c>
      <c r="AH474" s="70" t="s">
        <v>678</v>
      </c>
      <c r="AI474" s="73" t="s">
        <v>215</v>
      </c>
      <c r="AJ474" s="70" t="s">
        <v>216</v>
      </c>
      <c r="AK474" s="74" t="s">
        <v>217</v>
      </c>
      <c r="AL474" s="75" t="s">
        <v>218</v>
      </c>
      <c r="AM474" s="76" t="s">
        <v>219</v>
      </c>
      <c r="AN474" s="50" t="s">
        <v>220</v>
      </c>
      <c r="AO474" s="77" t="s">
        <v>221</v>
      </c>
      <c r="AP474" s="51" t="s">
        <v>138</v>
      </c>
      <c r="AQ474" s="78" t="s">
        <v>139</v>
      </c>
      <c r="AR474" s="74" t="s">
        <v>140</v>
      </c>
      <c r="AS474" s="22" t="s">
        <v>141</v>
      </c>
      <c r="AT474" s="75" t="s">
        <v>142</v>
      </c>
      <c r="AU474" s="79" t="s">
        <v>143</v>
      </c>
      <c r="AV474" s="80" t="s">
        <v>144</v>
      </c>
      <c r="AW474" s="81" t="s">
        <v>145</v>
      </c>
      <c r="AX474" s="82" t="s">
        <v>146</v>
      </c>
      <c r="AY474" s="83" t="s">
        <v>147</v>
      </c>
      <c r="AZ474" s="80" t="s">
        <v>585</v>
      </c>
      <c r="BA474" s="41" t="s">
        <v>105</v>
      </c>
      <c r="BB474" s="591" t="str">
        <f t="shared" si="35"/>
        <v>TEMPLATE</v>
      </c>
      <c r="BC474" s="591" t="str">
        <f t="shared" si="36"/>
        <v>17. Regional Health Clusters-HALHC-MOH-PS</v>
      </c>
      <c r="BD474" s="591" t="str">
        <f t="shared" si="37"/>
        <v>HALHC-MOH-PS</v>
      </c>
      <c r="BE474" s="591" t="str">
        <f t="shared" si="38"/>
        <v>NONE</v>
      </c>
      <c r="BF474" s="594">
        <f t="shared" si="39"/>
        <v>11</v>
      </c>
    </row>
    <row r="475" spans="1:58" ht="42" customHeight="1" x14ac:dyDescent="0.45">
      <c r="A475" s="42">
        <v>426</v>
      </c>
      <c r="B475" s="412" t="s">
        <v>2330</v>
      </c>
      <c r="C475" s="44" t="s">
        <v>2331</v>
      </c>
      <c r="D475" s="44" t="s">
        <v>2191</v>
      </c>
      <c r="E475" s="412" t="s">
        <v>679</v>
      </c>
      <c r="F475" s="45" t="s">
        <v>680</v>
      </c>
      <c r="G475" s="44" t="s">
        <v>681</v>
      </c>
      <c r="H475" s="44" t="s">
        <v>225</v>
      </c>
      <c r="I475" s="46" t="s">
        <v>682</v>
      </c>
      <c r="J475" s="46" t="s">
        <v>386</v>
      </c>
      <c r="K475" s="44" t="s">
        <v>558</v>
      </c>
      <c r="L475" s="66" t="s">
        <v>559</v>
      </c>
      <c r="M475" s="44" t="s">
        <v>2335</v>
      </c>
      <c r="N475" s="54" t="s">
        <v>154</v>
      </c>
      <c r="O475" s="48" t="s">
        <v>593</v>
      </c>
      <c r="P475" s="44" t="s">
        <v>661</v>
      </c>
      <c r="Q475" s="70" t="s">
        <v>683</v>
      </c>
      <c r="R475" s="70" t="s">
        <v>684</v>
      </c>
      <c r="S475" s="71" t="s">
        <v>685</v>
      </c>
      <c r="T475" s="70" t="s">
        <v>686</v>
      </c>
      <c r="U475" s="25" t="s">
        <v>687</v>
      </c>
      <c r="V475" s="70" t="s">
        <v>282</v>
      </c>
      <c r="W475" s="72" t="s">
        <v>283</v>
      </c>
      <c r="X475" s="70" t="s">
        <v>284</v>
      </c>
      <c r="Y475" s="49" t="s">
        <v>285</v>
      </c>
      <c r="Z475" s="70" t="s">
        <v>286</v>
      </c>
      <c r="AA475" s="71" t="s">
        <v>286</v>
      </c>
      <c r="AB475" s="70" t="s">
        <v>287</v>
      </c>
      <c r="AC475" s="70" t="s">
        <v>288</v>
      </c>
      <c r="AD475" s="49" t="s">
        <v>289</v>
      </c>
      <c r="AE475" s="58" t="s">
        <v>290</v>
      </c>
      <c r="AF475" s="56" t="s">
        <v>291</v>
      </c>
      <c r="AG475" s="70" t="s">
        <v>292</v>
      </c>
      <c r="AH475" s="70" t="s">
        <v>293</v>
      </c>
      <c r="AI475" s="73" t="s">
        <v>215</v>
      </c>
      <c r="AJ475" s="70" t="s">
        <v>216</v>
      </c>
      <c r="AK475" s="74" t="s">
        <v>217</v>
      </c>
      <c r="AL475" s="75" t="s">
        <v>218</v>
      </c>
      <c r="AM475" s="76" t="s">
        <v>219</v>
      </c>
      <c r="AN475" s="50" t="s">
        <v>220</v>
      </c>
      <c r="AO475" s="77" t="s">
        <v>221</v>
      </c>
      <c r="AP475" s="51" t="s">
        <v>138</v>
      </c>
      <c r="AQ475" s="78" t="s">
        <v>139</v>
      </c>
      <c r="AR475" s="74" t="s">
        <v>140</v>
      </c>
      <c r="AS475" s="22" t="s">
        <v>141</v>
      </c>
      <c r="AT475" s="75" t="s">
        <v>142</v>
      </c>
      <c r="AU475" s="79" t="s">
        <v>143</v>
      </c>
      <c r="AV475" s="80" t="s">
        <v>144</v>
      </c>
      <c r="AW475" s="81" t="s">
        <v>145</v>
      </c>
      <c r="AX475" s="82" t="s">
        <v>146</v>
      </c>
      <c r="AY475" s="83" t="s">
        <v>147</v>
      </c>
      <c r="AZ475" s="80" t="s">
        <v>585</v>
      </c>
      <c r="BA475" s="41" t="s">
        <v>105</v>
      </c>
      <c r="BB475" s="591" t="str">
        <f t="shared" si="35"/>
        <v>TEMPLATE</v>
      </c>
      <c r="BC475" s="591" t="str">
        <f t="shared" si="36"/>
        <v>17. Regional Health Clusters-HALHC-MOH-PR</v>
      </c>
      <c r="BD475" s="591" t="str">
        <f t="shared" si="37"/>
        <v>HALHC-MOH-PR</v>
      </c>
      <c r="BE475" s="591" t="str">
        <f t="shared" si="38"/>
        <v>NONE</v>
      </c>
      <c r="BF475" s="594">
        <f t="shared" si="39"/>
        <v>9</v>
      </c>
    </row>
    <row r="476" spans="1:58" ht="42" customHeight="1" x14ac:dyDescent="0.45">
      <c r="A476" s="84">
        <v>427</v>
      </c>
      <c r="B476" s="411" t="s">
        <v>2330</v>
      </c>
      <c r="C476" s="70" t="s">
        <v>2331</v>
      </c>
      <c r="D476" s="70" t="s">
        <v>2191</v>
      </c>
      <c r="E476" s="411" t="s">
        <v>930</v>
      </c>
      <c r="F476" s="72" t="s">
        <v>2199</v>
      </c>
      <c r="G476" s="70" t="s">
        <v>932</v>
      </c>
      <c r="H476" s="70" t="s">
        <v>2200</v>
      </c>
      <c r="I476" s="71" t="s">
        <v>924</v>
      </c>
      <c r="J476" s="71" t="s">
        <v>934</v>
      </c>
      <c r="K476" s="70" t="s">
        <v>558</v>
      </c>
      <c r="L476" s="92" t="s">
        <v>935</v>
      </c>
      <c r="M476" s="70" t="s">
        <v>2336</v>
      </c>
      <c r="N476" s="86" t="s">
        <v>66</v>
      </c>
      <c r="O476" s="87" t="s">
        <v>937</v>
      </c>
      <c r="P476" s="70" t="s">
        <v>979</v>
      </c>
      <c r="Q476" s="70" t="s">
        <v>939</v>
      </c>
      <c r="R476" s="70" t="s">
        <v>940</v>
      </c>
      <c r="S476" s="71" t="s">
        <v>941</v>
      </c>
      <c r="T476" s="70" t="s">
        <v>942</v>
      </c>
      <c r="U476" s="25" t="s">
        <v>943</v>
      </c>
      <c r="V476" s="70" t="s">
        <v>944</v>
      </c>
      <c r="W476" s="72" t="s">
        <v>945</v>
      </c>
      <c r="X476" s="70" t="s">
        <v>946</v>
      </c>
      <c r="Y476" s="49" t="s">
        <v>947</v>
      </c>
      <c r="Z476" s="70" t="s">
        <v>948</v>
      </c>
      <c r="AA476" s="71" t="s">
        <v>949</v>
      </c>
      <c r="AB476" s="70" t="s">
        <v>950</v>
      </c>
      <c r="AC476" s="70" t="s">
        <v>951</v>
      </c>
      <c r="AD476" s="22" t="s">
        <v>82</v>
      </c>
      <c r="AE476" s="26" t="s">
        <v>952</v>
      </c>
      <c r="AF476" s="27" t="s">
        <v>953</v>
      </c>
      <c r="AG476" s="70" t="s">
        <v>954</v>
      </c>
      <c r="AH476" s="70" t="s">
        <v>955</v>
      </c>
      <c r="AI476" s="73" t="s">
        <v>956</v>
      </c>
      <c r="AJ476" s="70" t="s">
        <v>957</v>
      </c>
      <c r="AK476" s="74" t="s">
        <v>958</v>
      </c>
      <c r="AL476" s="75" t="s">
        <v>959</v>
      </c>
      <c r="AM476" s="76" t="s">
        <v>960</v>
      </c>
      <c r="AN476" s="50" t="s">
        <v>961</v>
      </c>
      <c r="AO476" s="77" t="s">
        <v>962</v>
      </c>
      <c r="AP476" s="51" t="s">
        <v>963</v>
      </c>
      <c r="AQ476" s="78" t="s">
        <v>964</v>
      </c>
      <c r="AR476" s="74" t="s">
        <v>965</v>
      </c>
      <c r="AS476" s="92" t="s">
        <v>966</v>
      </c>
      <c r="AT476" s="75" t="s">
        <v>967</v>
      </c>
      <c r="AU476" s="79" t="s">
        <v>968</v>
      </c>
      <c r="AV476" s="80" t="s">
        <v>969</v>
      </c>
      <c r="AW476" s="81" t="s">
        <v>970</v>
      </c>
      <c r="AX476" s="82" t="s">
        <v>971</v>
      </c>
      <c r="AY476" s="83" t="s">
        <v>972</v>
      </c>
      <c r="AZ476" s="80" t="s">
        <v>585</v>
      </c>
      <c r="BA476" s="41" t="s">
        <v>105</v>
      </c>
      <c r="BB476" s="591" t="str">
        <f t="shared" si="35"/>
        <v>DEEP</v>
      </c>
      <c r="BC476" s="591" t="str">
        <f t="shared" si="36"/>
        <v>17. Regional Health Clusters-HALHC-CBAHI-HAS-H</v>
      </c>
      <c r="BD476" s="591" t="str">
        <f t="shared" si="37"/>
        <v>HALHC-CBAHI-HAS-H</v>
      </c>
      <c r="BE476" s="591" t="str">
        <f t="shared" si="38"/>
        <v>NONE</v>
      </c>
      <c r="BF476" s="594">
        <f t="shared" si="39"/>
        <v>15</v>
      </c>
    </row>
    <row r="477" spans="1:58" ht="42" customHeight="1" x14ac:dyDescent="0.45">
      <c r="A477" s="42">
        <v>428</v>
      </c>
      <c r="B477" s="412" t="s">
        <v>2330</v>
      </c>
      <c r="C477" s="44" t="s">
        <v>2331</v>
      </c>
      <c r="D477" s="44" t="s">
        <v>2191</v>
      </c>
      <c r="E477" s="412" t="s">
        <v>557</v>
      </c>
      <c r="F477" s="45" t="s">
        <v>58</v>
      </c>
      <c r="G477" s="44" t="s">
        <v>59</v>
      </c>
      <c r="H477" s="44" t="s">
        <v>57</v>
      </c>
      <c r="I477" s="46" t="s">
        <v>61</v>
      </c>
      <c r="J477" s="46" t="s">
        <v>62</v>
      </c>
      <c r="K477" s="44" t="s">
        <v>558</v>
      </c>
      <c r="L477" s="66" t="s">
        <v>559</v>
      </c>
      <c r="M477" s="44" t="s">
        <v>2337</v>
      </c>
      <c r="N477" s="47" t="s">
        <v>66</v>
      </c>
      <c r="O477" s="48" t="s">
        <v>196</v>
      </c>
      <c r="P477" s="44" t="s">
        <v>561</v>
      </c>
      <c r="Q477" s="70" t="s">
        <v>562</v>
      </c>
      <c r="R477" s="70" t="s">
        <v>563</v>
      </c>
      <c r="S477" s="71" t="s">
        <v>564</v>
      </c>
      <c r="T477" s="70" t="s">
        <v>565</v>
      </c>
      <c r="U477" s="25" t="s">
        <v>566</v>
      </c>
      <c r="V477" s="70" t="s">
        <v>282</v>
      </c>
      <c r="W477" s="72" t="s">
        <v>283</v>
      </c>
      <c r="X477" s="70" t="s">
        <v>284</v>
      </c>
      <c r="Y477" s="49" t="s">
        <v>285</v>
      </c>
      <c r="Z477" s="70" t="s">
        <v>286</v>
      </c>
      <c r="AA477" s="71" t="s">
        <v>286</v>
      </c>
      <c r="AB477" s="70" t="s">
        <v>287</v>
      </c>
      <c r="AC477" s="70" t="s">
        <v>288</v>
      </c>
      <c r="AD477" s="49" t="s">
        <v>289</v>
      </c>
      <c r="AE477" s="58" t="s">
        <v>290</v>
      </c>
      <c r="AF477" s="56" t="s">
        <v>291</v>
      </c>
      <c r="AG477" s="70" t="s">
        <v>292</v>
      </c>
      <c r="AH477" s="70" t="s">
        <v>293</v>
      </c>
      <c r="AI477" s="73" t="s">
        <v>215</v>
      </c>
      <c r="AJ477" s="70" t="s">
        <v>216</v>
      </c>
      <c r="AK477" s="74" t="s">
        <v>217</v>
      </c>
      <c r="AL477" s="75" t="s">
        <v>218</v>
      </c>
      <c r="AM477" s="76" t="s">
        <v>219</v>
      </c>
      <c r="AN477" s="50" t="s">
        <v>220</v>
      </c>
      <c r="AO477" s="77" t="s">
        <v>221</v>
      </c>
      <c r="AP477" s="51" t="s">
        <v>138</v>
      </c>
      <c r="AQ477" s="78" t="s">
        <v>139</v>
      </c>
      <c r="AR477" s="74" t="s">
        <v>140</v>
      </c>
      <c r="AS477" s="22" t="s">
        <v>141</v>
      </c>
      <c r="AT477" s="75" t="s">
        <v>142</v>
      </c>
      <c r="AU477" s="79" t="s">
        <v>143</v>
      </c>
      <c r="AV477" s="80" t="s">
        <v>144</v>
      </c>
      <c r="AW477" s="81" t="s">
        <v>145</v>
      </c>
      <c r="AX477" s="82" t="s">
        <v>146</v>
      </c>
      <c r="AY477" s="83" t="s">
        <v>147</v>
      </c>
      <c r="AZ477" s="80" t="s">
        <v>567</v>
      </c>
      <c r="BA477" s="34" t="s">
        <v>320</v>
      </c>
      <c r="BB477" s="591" t="str">
        <f t="shared" si="35"/>
        <v>TEMPLATE</v>
      </c>
      <c r="BC477" s="591" t="str">
        <f t="shared" si="36"/>
        <v>17. Regional Health Clusters-HALHC-NCA-ECC-2:2024</v>
      </c>
      <c r="BD477" s="591" t="str">
        <f t="shared" si="37"/>
        <v>HALHC-NCA-ECC-2-2024</v>
      </c>
      <c r="BE477" s="591" t="str">
        <f t="shared" si="38"/>
        <v>NCA-ECC-2-2024</v>
      </c>
      <c r="BF477" s="594">
        <f t="shared" si="39"/>
        <v>11</v>
      </c>
    </row>
    <row r="478" spans="1:58" ht="42" customHeight="1" x14ac:dyDescent="0.45">
      <c r="A478" s="84">
        <v>429</v>
      </c>
      <c r="B478" s="411" t="s">
        <v>2330</v>
      </c>
      <c r="C478" s="70" t="s">
        <v>2331</v>
      </c>
      <c r="D478" s="70" t="s">
        <v>2191</v>
      </c>
      <c r="E478" s="411" t="s">
        <v>382</v>
      </c>
      <c r="F478" s="72" t="s">
        <v>383</v>
      </c>
      <c r="G478" s="70" t="s">
        <v>384</v>
      </c>
      <c r="H478" s="70" t="s">
        <v>765</v>
      </c>
      <c r="I478" s="71" t="s">
        <v>250</v>
      </c>
      <c r="J478" s="71" t="s">
        <v>386</v>
      </c>
      <c r="K478" s="70" t="s">
        <v>558</v>
      </c>
      <c r="L478" s="66" t="s">
        <v>559</v>
      </c>
      <c r="M478" s="70" t="s">
        <v>2338</v>
      </c>
      <c r="N478" s="86" t="s">
        <v>66</v>
      </c>
      <c r="O478" s="87" t="s">
        <v>540</v>
      </c>
      <c r="P478" s="70" t="s">
        <v>380</v>
      </c>
      <c r="Q478" s="70" t="s">
        <v>390</v>
      </c>
      <c r="R478" s="70" t="s">
        <v>391</v>
      </c>
      <c r="S478" s="71" t="s">
        <v>392</v>
      </c>
      <c r="T478" s="70" t="s">
        <v>393</v>
      </c>
      <c r="U478" s="25" t="s">
        <v>394</v>
      </c>
      <c r="V478" s="70" t="s">
        <v>395</v>
      </c>
      <c r="W478" s="72" t="s">
        <v>396</v>
      </c>
      <c r="X478" s="70" t="s">
        <v>397</v>
      </c>
      <c r="Y478" s="49" t="s">
        <v>398</v>
      </c>
      <c r="Z478" s="70" t="s">
        <v>399</v>
      </c>
      <c r="AA478" s="71" t="s">
        <v>400</v>
      </c>
      <c r="AB478" s="70" t="s">
        <v>401</v>
      </c>
      <c r="AC478" s="70" t="s">
        <v>402</v>
      </c>
      <c r="AD478" s="49" t="s">
        <v>403</v>
      </c>
      <c r="AE478" s="50" t="s">
        <v>404</v>
      </c>
      <c r="AF478" s="60" t="s">
        <v>405</v>
      </c>
      <c r="AG478" s="70" t="s">
        <v>406</v>
      </c>
      <c r="AH478" s="70" t="s">
        <v>407</v>
      </c>
      <c r="AI478" s="73" t="s">
        <v>408</v>
      </c>
      <c r="AJ478" s="70" t="s">
        <v>409</v>
      </c>
      <c r="AK478" s="74" t="s">
        <v>410</v>
      </c>
      <c r="AL478" s="75" t="s">
        <v>411</v>
      </c>
      <c r="AM478" s="76" t="s">
        <v>412</v>
      </c>
      <c r="AN478" s="50" t="s">
        <v>413</v>
      </c>
      <c r="AO478" s="77" t="s">
        <v>414</v>
      </c>
      <c r="AP478" s="51" t="s">
        <v>415</v>
      </c>
      <c r="AQ478" s="78" t="s">
        <v>416</v>
      </c>
      <c r="AR478" s="74" t="s">
        <v>417</v>
      </c>
      <c r="AS478" s="22" t="s">
        <v>418</v>
      </c>
      <c r="AT478" s="75" t="s">
        <v>419</v>
      </c>
      <c r="AU478" s="79" t="s">
        <v>420</v>
      </c>
      <c r="AV478" s="80" t="s">
        <v>421</v>
      </c>
      <c r="AW478" s="81" t="s">
        <v>422</v>
      </c>
      <c r="AX478" s="82" t="s">
        <v>423</v>
      </c>
      <c r="AY478" s="83" t="s">
        <v>424</v>
      </c>
      <c r="AZ478" s="80" t="s">
        <v>425</v>
      </c>
      <c r="BA478" s="34" t="s">
        <v>320</v>
      </c>
      <c r="BB478" s="591" t="str">
        <f t="shared" si="35"/>
        <v>DEEP</v>
      </c>
      <c r="BC478" s="591" t="str">
        <f t="shared" si="36"/>
        <v>17. Regional Health Clusters-HALHC-PDPL-2021</v>
      </c>
      <c r="BD478" s="591" t="str">
        <f t="shared" si="37"/>
        <v>HALHC-PDPL-2021</v>
      </c>
      <c r="BE478" s="591" t="str">
        <f t="shared" si="38"/>
        <v>NONE</v>
      </c>
      <c r="BF478" s="594">
        <f t="shared" si="39"/>
        <v>18</v>
      </c>
    </row>
    <row r="479" spans="1:58" ht="42" customHeight="1" x14ac:dyDescent="0.45">
      <c r="A479" s="42">
        <v>430</v>
      </c>
      <c r="B479" s="412" t="s">
        <v>2330</v>
      </c>
      <c r="C479" s="44" t="s">
        <v>2331</v>
      </c>
      <c r="D479" s="44" t="s">
        <v>2191</v>
      </c>
      <c r="E479" s="412" t="s">
        <v>688</v>
      </c>
      <c r="F479" s="45" t="s">
        <v>689</v>
      </c>
      <c r="G479" s="44" t="s">
        <v>690</v>
      </c>
      <c r="H479" s="44" t="s">
        <v>691</v>
      </c>
      <c r="I479" s="46" t="s">
        <v>151</v>
      </c>
      <c r="J479" s="46" t="s">
        <v>692</v>
      </c>
      <c r="K479" s="44" t="s">
        <v>558</v>
      </c>
      <c r="L479" s="66" t="s">
        <v>559</v>
      </c>
      <c r="M479" s="44" t="s">
        <v>2339</v>
      </c>
      <c r="N479" s="54" t="s">
        <v>154</v>
      </c>
      <c r="O479" s="48" t="s">
        <v>593</v>
      </c>
      <c r="P479" s="44" t="s">
        <v>636</v>
      </c>
      <c r="Q479" s="70" t="s">
        <v>695</v>
      </c>
      <c r="R479" s="70" t="s">
        <v>696</v>
      </c>
      <c r="S479" s="71" t="s">
        <v>697</v>
      </c>
      <c r="T479" s="70" t="s">
        <v>698</v>
      </c>
      <c r="U479" s="25" t="s">
        <v>699</v>
      </c>
      <c r="V479" s="70" t="s">
        <v>700</v>
      </c>
      <c r="W479" s="72" t="s">
        <v>701</v>
      </c>
      <c r="X479" s="70" t="s">
        <v>702</v>
      </c>
      <c r="Y479" s="22" t="s">
        <v>205</v>
      </c>
      <c r="Z479" s="70" t="s">
        <v>703</v>
      </c>
      <c r="AA479" s="71" t="s">
        <v>704</v>
      </c>
      <c r="AB479" s="70" t="s">
        <v>705</v>
      </c>
      <c r="AC479" s="70" t="s">
        <v>706</v>
      </c>
      <c r="AD479" s="49" t="s">
        <v>707</v>
      </c>
      <c r="AE479" s="26" t="s">
        <v>675</v>
      </c>
      <c r="AF479" s="60" t="s">
        <v>708</v>
      </c>
      <c r="AG479" s="70" t="s">
        <v>709</v>
      </c>
      <c r="AH479" s="70" t="s">
        <v>710</v>
      </c>
      <c r="AI479" s="73" t="s">
        <v>711</v>
      </c>
      <c r="AJ479" s="70" t="s">
        <v>712</v>
      </c>
      <c r="AK479" s="74" t="s">
        <v>713</v>
      </c>
      <c r="AL479" s="75" t="s">
        <v>714</v>
      </c>
      <c r="AM479" s="76" t="s">
        <v>715</v>
      </c>
      <c r="AN479" s="50" t="s">
        <v>716</v>
      </c>
      <c r="AO479" s="77" t="s">
        <v>717</v>
      </c>
      <c r="AP479" s="51" t="s">
        <v>718</v>
      </c>
      <c r="AQ479" s="78" t="s">
        <v>719</v>
      </c>
      <c r="AR479" s="74" t="s">
        <v>720</v>
      </c>
      <c r="AS479" s="61" t="s">
        <v>721</v>
      </c>
      <c r="AT479" s="75" t="s">
        <v>722</v>
      </c>
      <c r="AU479" s="79" t="s">
        <v>723</v>
      </c>
      <c r="AV479" s="80" t="s">
        <v>724</v>
      </c>
      <c r="AW479" s="81" t="s">
        <v>725</v>
      </c>
      <c r="AX479" s="82" t="s">
        <v>726</v>
      </c>
      <c r="AY479" s="83" t="s">
        <v>727</v>
      </c>
      <c r="AZ479" s="80" t="s">
        <v>728</v>
      </c>
      <c r="BA479" s="41" t="s">
        <v>105</v>
      </c>
      <c r="BB479" s="591" t="str">
        <f t="shared" si="35"/>
        <v>DEEP</v>
      </c>
      <c r="BC479" s="591" t="str">
        <f t="shared" si="36"/>
        <v>17. Regional Health Clusters-HALHC-MOH-TELE</v>
      </c>
      <c r="BD479" s="591" t="str">
        <f t="shared" si="37"/>
        <v>HALHC-MOH-TELE</v>
      </c>
      <c r="BE479" s="591" t="str">
        <f t="shared" si="38"/>
        <v>NONE</v>
      </c>
      <c r="BF479" s="594">
        <f t="shared" si="39"/>
        <v>16</v>
      </c>
    </row>
    <row r="480" spans="1:58" ht="42" customHeight="1" x14ac:dyDescent="0.45">
      <c r="A480" s="84">
        <v>431</v>
      </c>
      <c r="B480" s="411" t="s">
        <v>2330</v>
      </c>
      <c r="C480" s="70" t="s">
        <v>2331</v>
      </c>
      <c r="D480" s="70" t="s">
        <v>2191</v>
      </c>
      <c r="E480" s="411" t="s">
        <v>1246</v>
      </c>
      <c r="F480" s="72" t="s">
        <v>2205</v>
      </c>
      <c r="G480" s="70" t="s">
        <v>2206</v>
      </c>
      <c r="H480" s="70" t="s">
        <v>633</v>
      </c>
      <c r="I480" s="71" t="s">
        <v>61</v>
      </c>
      <c r="J480" s="71" t="s">
        <v>194</v>
      </c>
      <c r="K480" s="70" t="s">
        <v>558</v>
      </c>
      <c r="L480" s="66" t="s">
        <v>559</v>
      </c>
      <c r="M480" s="70" t="s">
        <v>2340</v>
      </c>
      <c r="N480" s="86" t="s">
        <v>66</v>
      </c>
      <c r="O480" s="87" t="s">
        <v>1250</v>
      </c>
      <c r="P480" s="70" t="s">
        <v>1244</v>
      </c>
      <c r="Q480" s="70" t="s">
        <v>1252</v>
      </c>
      <c r="R480" s="70" t="s">
        <v>1253</v>
      </c>
      <c r="S480" s="71" t="s">
        <v>1254</v>
      </c>
      <c r="T480" s="70" t="s">
        <v>1255</v>
      </c>
      <c r="U480" s="25" t="s">
        <v>1256</v>
      </c>
      <c r="V480" s="70" t="s">
        <v>1257</v>
      </c>
      <c r="W480" s="72" t="s">
        <v>1258</v>
      </c>
      <c r="X480" s="70" t="s">
        <v>1259</v>
      </c>
      <c r="Y480" s="22" t="s">
        <v>205</v>
      </c>
      <c r="Z480" s="70" t="s">
        <v>1260</v>
      </c>
      <c r="AA480" s="71" t="s">
        <v>1261</v>
      </c>
      <c r="AB480" s="70" t="s">
        <v>1262</v>
      </c>
      <c r="AC480" s="70" t="s">
        <v>1263</v>
      </c>
      <c r="AD480" s="49" t="s">
        <v>650</v>
      </c>
      <c r="AE480" s="37" t="s">
        <v>1264</v>
      </c>
      <c r="AF480" s="27" t="s">
        <v>1265</v>
      </c>
      <c r="AG480" s="70" t="s">
        <v>1266</v>
      </c>
      <c r="AH480" s="70" t="s">
        <v>1267</v>
      </c>
      <c r="AI480" s="73" t="s">
        <v>215</v>
      </c>
      <c r="AJ480" s="70" t="s">
        <v>216</v>
      </c>
      <c r="AK480" s="74" t="s">
        <v>217</v>
      </c>
      <c r="AL480" s="75" t="s">
        <v>218</v>
      </c>
      <c r="AM480" s="76" t="s">
        <v>219</v>
      </c>
      <c r="AN480" s="50" t="s">
        <v>220</v>
      </c>
      <c r="AO480" s="77" t="s">
        <v>221</v>
      </c>
      <c r="AP480" s="51" t="s">
        <v>138</v>
      </c>
      <c r="AQ480" s="78" t="s">
        <v>139</v>
      </c>
      <c r="AR480" s="74" t="s">
        <v>140</v>
      </c>
      <c r="AS480" s="22" t="s">
        <v>141</v>
      </c>
      <c r="AT480" s="75" t="s">
        <v>142</v>
      </c>
      <c r="AU480" s="79" t="s">
        <v>143</v>
      </c>
      <c r="AV480" s="80" t="s">
        <v>144</v>
      </c>
      <c r="AW480" s="81" t="s">
        <v>145</v>
      </c>
      <c r="AX480" s="82" t="s">
        <v>146</v>
      </c>
      <c r="AY480" s="83" t="s">
        <v>147</v>
      </c>
      <c r="AZ480" s="80" t="s">
        <v>585</v>
      </c>
      <c r="BA480" s="41" t="s">
        <v>105</v>
      </c>
      <c r="BB480" s="591" t="str">
        <f t="shared" si="35"/>
        <v>TEMPLATE</v>
      </c>
      <c r="BC480" s="591" t="str">
        <f t="shared" si="36"/>
        <v>17. Regional Health Clusters-HALHC-NHIC-NABIDH</v>
      </c>
      <c r="BD480" s="591" t="str">
        <f t="shared" si="37"/>
        <v>HALHC-NHIC-NABIDH</v>
      </c>
      <c r="BE480" s="591" t="str">
        <f t="shared" si="38"/>
        <v>NONE</v>
      </c>
      <c r="BF480" s="594">
        <f t="shared" si="39"/>
        <v>11</v>
      </c>
    </row>
    <row r="481" spans="1:58" ht="42" customHeight="1" x14ac:dyDescent="0.45">
      <c r="A481" s="42">
        <v>432</v>
      </c>
      <c r="B481" s="412" t="s">
        <v>2330</v>
      </c>
      <c r="C481" s="44" t="s">
        <v>2331</v>
      </c>
      <c r="D481" s="44" t="s">
        <v>2191</v>
      </c>
      <c r="E481" s="412" t="s">
        <v>770</v>
      </c>
      <c r="F481" s="45" t="s">
        <v>107</v>
      </c>
      <c r="G481" s="44" t="s">
        <v>108</v>
      </c>
      <c r="H481" s="44" t="s">
        <v>106</v>
      </c>
      <c r="I481" s="46" t="s">
        <v>109</v>
      </c>
      <c r="J481" s="46" t="s">
        <v>110</v>
      </c>
      <c r="K481" s="44" t="s">
        <v>558</v>
      </c>
      <c r="L481" s="66" t="s">
        <v>559</v>
      </c>
      <c r="M481" s="44" t="s">
        <v>2341</v>
      </c>
      <c r="N481" s="47" t="s">
        <v>66</v>
      </c>
      <c r="O481" s="48" t="s">
        <v>196</v>
      </c>
      <c r="P481" s="44" t="s">
        <v>2209</v>
      </c>
      <c r="Q481" s="70" t="s">
        <v>562</v>
      </c>
      <c r="R481" s="70" t="s">
        <v>563</v>
      </c>
      <c r="S481" s="71" t="s">
        <v>564</v>
      </c>
      <c r="T481" s="70" t="s">
        <v>565</v>
      </c>
      <c r="U481" s="25" t="s">
        <v>566</v>
      </c>
      <c r="V481" s="70" t="s">
        <v>282</v>
      </c>
      <c r="W481" s="72" t="s">
        <v>283</v>
      </c>
      <c r="X481" s="70" t="s">
        <v>284</v>
      </c>
      <c r="Y481" s="49" t="s">
        <v>285</v>
      </c>
      <c r="Z481" s="70" t="s">
        <v>286</v>
      </c>
      <c r="AA481" s="71" t="s">
        <v>286</v>
      </c>
      <c r="AB481" s="70" t="s">
        <v>287</v>
      </c>
      <c r="AC481" s="70" t="s">
        <v>288</v>
      </c>
      <c r="AD481" s="49" t="s">
        <v>289</v>
      </c>
      <c r="AE481" s="58" t="s">
        <v>290</v>
      </c>
      <c r="AF481" s="56" t="s">
        <v>291</v>
      </c>
      <c r="AG481" s="70" t="s">
        <v>292</v>
      </c>
      <c r="AH481" s="70" t="s">
        <v>293</v>
      </c>
      <c r="AI481" s="73" t="s">
        <v>215</v>
      </c>
      <c r="AJ481" s="70" t="s">
        <v>216</v>
      </c>
      <c r="AK481" s="74" t="s">
        <v>217</v>
      </c>
      <c r="AL481" s="75" t="s">
        <v>218</v>
      </c>
      <c r="AM481" s="76" t="s">
        <v>219</v>
      </c>
      <c r="AN481" s="50" t="s">
        <v>220</v>
      </c>
      <c r="AO481" s="77" t="s">
        <v>221</v>
      </c>
      <c r="AP481" s="53" t="s">
        <v>773</v>
      </c>
      <c r="AQ481" s="78" t="s">
        <v>774</v>
      </c>
      <c r="AR481" s="74" t="s">
        <v>775</v>
      </c>
      <c r="AS481" s="22" t="s">
        <v>776</v>
      </c>
      <c r="AT481" s="75" t="s">
        <v>777</v>
      </c>
      <c r="AU481" s="79" t="s">
        <v>778</v>
      </c>
      <c r="AV481" s="80" t="s">
        <v>779</v>
      </c>
      <c r="AW481" s="81" t="s">
        <v>780</v>
      </c>
      <c r="AX481" s="82" t="s">
        <v>781</v>
      </c>
      <c r="AY481" s="83" t="s">
        <v>782</v>
      </c>
      <c r="AZ481" s="80" t="s">
        <v>104</v>
      </c>
      <c r="BA481" s="41" t="s">
        <v>105</v>
      </c>
      <c r="BB481" s="591" t="str">
        <f t="shared" si="35"/>
        <v>TEMPLATE</v>
      </c>
      <c r="BC481" s="591" t="str">
        <f t="shared" si="36"/>
        <v>17. Regional Health Clusters-HALHC-NCA-OTCC</v>
      </c>
      <c r="BD481" s="591" t="str">
        <f t="shared" si="37"/>
        <v>HALHC-NCA-OTCC</v>
      </c>
      <c r="BE481" s="591" t="str">
        <f t="shared" si="38"/>
        <v>NCA-ECC-2-2024</v>
      </c>
      <c r="BF481" s="594">
        <f t="shared" si="39"/>
        <v>11</v>
      </c>
    </row>
    <row r="482" spans="1:58" ht="42" customHeight="1" x14ac:dyDescent="0.45">
      <c r="A482" s="84">
        <v>433</v>
      </c>
      <c r="B482" s="411" t="s">
        <v>2342</v>
      </c>
      <c r="C482" s="70" t="s">
        <v>2343</v>
      </c>
      <c r="D482" s="70" t="s">
        <v>2191</v>
      </c>
      <c r="E482" s="411" t="s">
        <v>586</v>
      </c>
      <c r="F482" s="72" t="s">
        <v>587</v>
      </c>
      <c r="G482" s="70" t="s">
        <v>588</v>
      </c>
      <c r="H482" s="70" t="s">
        <v>589</v>
      </c>
      <c r="I482" s="71" t="s">
        <v>590</v>
      </c>
      <c r="J482" s="71" t="s">
        <v>591</v>
      </c>
      <c r="K482" s="70" t="s">
        <v>558</v>
      </c>
      <c r="L482" s="66" t="s">
        <v>559</v>
      </c>
      <c r="M482" s="70" t="s">
        <v>2344</v>
      </c>
      <c r="N482" s="86" t="s">
        <v>66</v>
      </c>
      <c r="O482" s="87" t="s">
        <v>593</v>
      </c>
      <c r="P482" s="70" t="s">
        <v>661</v>
      </c>
      <c r="Q482" s="70" t="s">
        <v>595</v>
      </c>
      <c r="R482" s="70" t="s">
        <v>596</v>
      </c>
      <c r="S482" s="71" t="s">
        <v>597</v>
      </c>
      <c r="T482" s="70" t="s">
        <v>598</v>
      </c>
      <c r="U482" s="25" t="s">
        <v>599</v>
      </c>
      <c r="V482" s="70" t="s">
        <v>600</v>
      </c>
      <c r="W482" s="72" t="s">
        <v>601</v>
      </c>
      <c r="X482" s="70" t="s">
        <v>602</v>
      </c>
      <c r="Y482" s="49" t="s">
        <v>603</v>
      </c>
      <c r="Z482" s="70" t="s">
        <v>604</v>
      </c>
      <c r="AA482" s="71" t="s">
        <v>605</v>
      </c>
      <c r="AB482" s="70" t="s">
        <v>606</v>
      </c>
      <c r="AC482" s="70" t="s">
        <v>607</v>
      </c>
      <c r="AD482" s="49" t="s">
        <v>608</v>
      </c>
      <c r="AE482" s="26" t="s">
        <v>609</v>
      </c>
      <c r="AF482" s="27" t="s">
        <v>610</v>
      </c>
      <c r="AG482" s="70" t="s">
        <v>611</v>
      </c>
      <c r="AH482" s="70" t="s">
        <v>612</v>
      </c>
      <c r="AI482" s="73" t="s">
        <v>613</v>
      </c>
      <c r="AJ482" s="70" t="s">
        <v>614</v>
      </c>
      <c r="AK482" s="74" t="s">
        <v>615</v>
      </c>
      <c r="AL482" s="75" t="s">
        <v>616</v>
      </c>
      <c r="AM482" s="76" t="s">
        <v>617</v>
      </c>
      <c r="AN482" s="50" t="s">
        <v>618</v>
      </c>
      <c r="AO482" s="77" t="s">
        <v>619</v>
      </c>
      <c r="AP482" s="34" t="s">
        <v>620</v>
      </c>
      <c r="AQ482" s="78" t="s">
        <v>621</v>
      </c>
      <c r="AR482" s="74" t="s">
        <v>622</v>
      </c>
      <c r="AS482" s="61" t="s">
        <v>623</v>
      </c>
      <c r="AT482" s="75" t="s">
        <v>624</v>
      </c>
      <c r="AU482" s="79" t="s">
        <v>625</v>
      </c>
      <c r="AV482" s="80" t="s">
        <v>626</v>
      </c>
      <c r="AW482" s="81" t="s">
        <v>627</v>
      </c>
      <c r="AX482" s="82" t="s">
        <v>628</v>
      </c>
      <c r="AY482" s="83" t="s">
        <v>629</v>
      </c>
      <c r="AZ482" s="80" t="s">
        <v>585</v>
      </c>
      <c r="BA482" s="41" t="s">
        <v>105</v>
      </c>
      <c r="BB482" s="591" t="str">
        <f t="shared" si="35"/>
        <v>DEEP</v>
      </c>
      <c r="BC482" s="591" t="str">
        <f t="shared" si="36"/>
        <v>17. Regional Health Clusters-NRHC-MOH-HIS</v>
      </c>
      <c r="BD482" s="591" t="str">
        <f t="shared" si="37"/>
        <v>NRHC-MOH-HIS</v>
      </c>
      <c r="BE482" s="591" t="str">
        <f t="shared" si="38"/>
        <v>NONE</v>
      </c>
      <c r="BF482" s="594">
        <f t="shared" si="39"/>
        <v>18</v>
      </c>
    </row>
    <row r="483" spans="1:58" ht="42" customHeight="1" x14ac:dyDescent="0.45">
      <c r="A483" s="42">
        <v>434</v>
      </c>
      <c r="B483" s="412" t="s">
        <v>2342</v>
      </c>
      <c r="C483" s="44" t="s">
        <v>2343</v>
      </c>
      <c r="D483" s="44" t="s">
        <v>2191</v>
      </c>
      <c r="E483" s="412" t="s">
        <v>630</v>
      </c>
      <c r="F483" s="45" t="s">
        <v>2193</v>
      </c>
      <c r="G483" s="44" t="s">
        <v>2194</v>
      </c>
      <c r="H483" s="44" t="s">
        <v>633</v>
      </c>
      <c r="I483" s="46" t="s">
        <v>590</v>
      </c>
      <c r="J483" s="46" t="s">
        <v>634</v>
      </c>
      <c r="K483" s="44" t="s">
        <v>558</v>
      </c>
      <c r="L483" s="66" t="s">
        <v>559</v>
      </c>
      <c r="M483" s="44" t="s">
        <v>2345</v>
      </c>
      <c r="N483" s="47" t="s">
        <v>66</v>
      </c>
      <c r="O483" s="48" t="s">
        <v>593</v>
      </c>
      <c r="P483" s="44" t="s">
        <v>2196</v>
      </c>
      <c r="Q483" s="70" t="s">
        <v>637</v>
      </c>
      <c r="R483" s="70" t="s">
        <v>638</v>
      </c>
      <c r="S483" s="71" t="s">
        <v>639</v>
      </c>
      <c r="T483" s="70" t="s">
        <v>640</v>
      </c>
      <c r="U483" s="25" t="s">
        <v>641</v>
      </c>
      <c r="V483" s="70" t="s">
        <v>642</v>
      </c>
      <c r="W483" s="72" t="s">
        <v>643</v>
      </c>
      <c r="X483" s="70" t="s">
        <v>644</v>
      </c>
      <c r="Y483" s="49" t="s">
        <v>645</v>
      </c>
      <c r="Z483" s="70" t="s">
        <v>646</v>
      </c>
      <c r="AA483" s="71" t="s">
        <v>647</v>
      </c>
      <c r="AB483" s="70" t="s">
        <v>648</v>
      </c>
      <c r="AC483" s="70" t="s">
        <v>649</v>
      </c>
      <c r="AD483" s="49" t="s">
        <v>650</v>
      </c>
      <c r="AE483" s="26" t="s">
        <v>651</v>
      </c>
      <c r="AF483" s="27" t="s">
        <v>652</v>
      </c>
      <c r="AG483" s="70" t="s">
        <v>653</v>
      </c>
      <c r="AH483" s="70" t="s">
        <v>654</v>
      </c>
      <c r="AI483" s="73" t="s">
        <v>215</v>
      </c>
      <c r="AJ483" s="70" t="s">
        <v>216</v>
      </c>
      <c r="AK483" s="74" t="s">
        <v>217</v>
      </c>
      <c r="AL483" s="75" t="s">
        <v>218</v>
      </c>
      <c r="AM483" s="76" t="s">
        <v>219</v>
      </c>
      <c r="AN483" s="50" t="s">
        <v>220</v>
      </c>
      <c r="AO483" s="77" t="s">
        <v>221</v>
      </c>
      <c r="AP483" s="51" t="s">
        <v>138</v>
      </c>
      <c r="AQ483" s="78" t="s">
        <v>139</v>
      </c>
      <c r="AR483" s="74" t="s">
        <v>140</v>
      </c>
      <c r="AS483" s="22" t="s">
        <v>141</v>
      </c>
      <c r="AT483" s="75" t="s">
        <v>142</v>
      </c>
      <c r="AU483" s="79" t="s">
        <v>143</v>
      </c>
      <c r="AV483" s="80" t="s">
        <v>144</v>
      </c>
      <c r="AW483" s="81" t="s">
        <v>145</v>
      </c>
      <c r="AX483" s="82" t="s">
        <v>146</v>
      </c>
      <c r="AY483" s="83" t="s">
        <v>147</v>
      </c>
      <c r="AZ483" s="80" t="s">
        <v>585</v>
      </c>
      <c r="BA483" s="41" t="s">
        <v>105</v>
      </c>
      <c r="BB483" s="591" t="str">
        <f t="shared" si="35"/>
        <v>TEMPLATE</v>
      </c>
      <c r="BC483" s="591" t="str">
        <f t="shared" si="36"/>
        <v>17. Regional Health Clusters-NRHC-MOH-EMR-NABIDH</v>
      </c>
      <c r="BD483" s="591" t="str">
        <f t="shared" si="37"/>
        <v>NRHC-MOH-EMR-NABIDH</v>
      </c>
      <c r="BE483" s="591" t="str">
        <f t="shared" si="38"/>
        <v>NONE</v>
      </c>
      <c r="BF483" s="594">
        <f t="shared" si="39"/>
        <v>11</v>
      </c>
    </row>
    <row r="484" spans="1:58" ht="42" customHeight="1" x14ac:dyDescent="0.45">
      <c r="A484" s="84">
        <v>435</v>
      </c>
      <c r="B484" s="411" t="s">
        <v>2342</v>
      </c>
      <c r="C484" s="70" t="s">
        <v>2343</v>
      </c>
      <c r="D484" s="70" t="s">
        <v>2191</v>
      </c>
      <c r="E484" s="411" t="s">
        <v>655</v>
      </c>
      <c r="F484" s="72" t="s">
        <v>656</v>
      </c>
      <c r="G484" s="70" t="s">
        <v>657</v>
      </c>
      <c r="H484" s="70" t="s">
        <v>589</v>
      </c>
      <c r="I484" s="71" t="s">
        <v>658</v>
      </c>
      <c r="J484" s="71" t="s">
        <v>659</v>
      </c>
      <c r="K484" s="70" t="s">
        <v>558</v>
      </c>
      <c r="L484" s="66" t="s">
        <v>559</v>
      </c>
      <c r="M484" s="70" t="s">
        <v>2346</v>
      </c>
      <c r="N484" s="86" t="s">
        <v>66</v>
      </c>
      <c r="O484" s="87" t="s">
        <v>593</v>
      </c>
      <c r="P484" s="70" t="s">
        <v>661</v>
      </c>
      <c r="Q484" s="70" t="s">
        <v>662</v>
      </c>
      <c r="R484" s="70" t="s">
        <v>663</v>
      </c>
      <c r="S484" s="71" t="s">
        <v>664</v>
      </c>
      <c r="T484" s="70" t="s">
        <v>665</v>
      </c>
      <c r="U484" s="25" t="s">
        <v>666</v>
      </c>
      <c r="V484" s="70" t="s">
        <v>667</v>
      </c>
      <c r="W484" s="72" t="s">
        <v>668</v>
      </c>
      <c r="X484" s="70" t="s">
        <v>669</v>
      </c>
      <c r="Y484" s="22" t="s">
        <v>205</v>
      </c>
      <c r="Z484" s="70" t="s">
        <v>670</v>
      </c>
      <c r="AA484" s="71" t="s">
        <v>671</v>
      </c>
      <c r="AB484" s="70" t="s">
        <v>672</v>
      </c>
      <c r="AC484" s="70" t="s">
        <v>673</v>
      </c>
      <c r="AD484" s="49" t="s">
        <v>674</v>
      </c>
      <c r="AE484" s="26" t="s">
        <v>675</v>
      </c>
      <c r="AF484" s="27" t="s">
        <v>676</v>
      </c>
      <c r="AG484" s="70" t="s">
        <v>677</v>
      </c>
      <c r="AH484" s="70" t="s">
        <v>678</v>
      </c>
      <c r="AI484" s="73" t="s">
        <v>215</v>
      </c>
      <c r="AJ484" s="70" t="s">
        <v>216</v>
      </c>
      <c r="AK484" s="74" t="s">
        <v>217</v>
      </c>
      <c r="AL484" s="75" t="s">
        <v>218</v>
      </c>
      <c r="AM484" s="76" t="s">
        <v>219</v>
      </c>
      <c r="AN484" s="50" t="s">
        <v>220</v>
      </c>
      <c r="AO484" s="77" t="s">
        <v>221</v>
      </c>
      <c r="AP484" s="51" t="s">
        <v>138</v>
      </c>
      <c r="AQ484" s="78" t="s">
        <v>139</v>
      </c>
      <c r="AR484" s="74" t="s">
        <v>140</v>
      </c>
      <c r="AS484" s="22" t="s">
        <v>141</v>
      </c>
      <c r="AT484" s="75" t="s">
        <v>142</v>
      </c>
      <c r="AU484" s="79" t="s">
        <v>143</v>
      </c>
      <c r="AV484" s="80" t="s">
        <v>144</v>
      </c>
      <c r="AW484" s="81" t="s">
        <v>145</v>
      </c>
      <c r="AX484" s="82" t="s">
        <v>146</v>
      </c>
      <c r="AY484" s="83" t="s">
        <v>147</v>
      </c>
      <c r="AZ484" s="80" t="s">
        <v>585</v>
      </c>
      <c r="BA484" s="41" t="s">
        <v>105</v>
      </c>
      <c r="BB484" s="591" t="str">
        <f t="shared" si="35"/>
        <v>TEMPLATE</v>
      </c>
      <c r="BC484" s="591" t="str">
        <f t="shared" si="36"/>
        <v>17. Regional Health Clusters-NRHC-MOH-PS</v>
      </c>
      <c r="BD484" s="591" t="str">
        <f t="shared" si="37"/>
        <v>NRHC-MOH-PS</v>
      </c>
      <c r="BE484" s="591" t="str">
        <f t="shared" si="38"/>
        <v>NONE</v>
      </c>
      <c r="BF484" s="594">
        <f t="shared" si="39"/>
        <v>11</v>
      </c>
    </row>
    <row r="485" spans="1:58" ht="42" customHeight="1" x14ac:dyDescent="0.45">
      <c r="A485" s="42">
        <v>436</v>
      </c>
      <c r="B485" s="412" t="s">
        <v>2342</v>
      </c>
      <c r="C485" s="44" t="s">
        <v>2343</v>
      </c>
      <c r="D485" s="44" t="s">
        <v>2191</v>
      </c>
      <c r="E485" s="412" t="s">
        <v>679</v>
      </c>
      <c r="F485" s="45" t="s">
        <v>680</v>
      </c>
      <c r="G485" s="44" t="s">
        <v>681</v>
      </c>
      <c r="H485" s="44" t="s">
        <v>225</v>
      </c>
      <c r="I485" s="46" t="s">
        <v>682</v>
      </c>
      <c r="J485" s="46" t="s">
        <v>386</v>
      </c>
      <c r="K485" s="44" t="s">
        <v>558</v>
      </c>
      <c r="L485" s="66" t="s">
        <v>559</v>
      </c>
      <c r="M485" s="44" t="s">
        <v>2347</v>
      </c>
      <c r="N485" s="54" t="s">
        <v>154</v>
      </c>
      <c r="O485" s="48" t="s">
        <v>593</v>
      </c>
      <c r="P485" s="44" t="s">
        <v>661</v>
      </c>
      <c r="Q485" s="70" t="s">
        <v>683</v>
      </c>
      <c r="R485" s="70" t="s">
        <v>684</v>
      </c>
      <c r="S485" s="71" t="s">
        <v>685</v>
      </c>
      <c r="T485" s="70" t="s">
        <v>686</v>
      </c>
      <c r="U485" s="25" t="s">
        <v>687</v>
      </c>
      <c r="V485" s="70" t="s">
        <v>282</v>
      </c>
      <c r="W485" s="72" t="s">
        <v>283</v>
      </c>
      <c r="X485" s="70" t="s">
        <v>284</v>
      </c>
      <c r="Y485" s="49" t="s">
        <v>285</v>
      </c>
      <c r="Z485" s="70" t="s">
        <v>286</v>
      </c>
      <c r="AA485" s="71" t="s">
        <v>286</v>
      </c>
      <c r="AB485" s="70" t="s">
        <v>287</v>
      </c>
      <c r="AC485" s="70" t="s">
        <v>288</v>
      </c>
      <c r="AD485" s="49" t="s">
        <v>289</v>
      </c>
      <c r="AE485" s="58" t="s">
        <v>290</v>
      </c>
      <c r="AF485" s="56" t="s">
        <v>291</v>
      </c>
      <c r="AG485" s="70" t="s">
        <v>292</v>
      </c>
      <c r="AH485" s="70" t="s">
        <v>293</v>
      </c>
      <c r="AI485" s="73" t="s">
        <v>215</v>
      </c>
      <c r="AJ485" s="70" t="s">
        <v>216</v>
      </c>
      <c r="AK485" s="74" t="s">
        <v>217</v>
      </c>
      <c r="AL485" s="75" t="s">
        <v>218</v>
      </c>
      <c r="AM485" s="76" t="s">
        <v>219</v>
      </c>
      <c r="AN485" s="50" t="s">
        <v>220</v>
      </c>
      <c r="AO485" s="77" t="s">
        <v>221</v>
      </c>
      <c r="AP485" s="51" t="s">
        <v>138</v>
      </c>
      <c r="AQ485" s="78" t="s">
        <v>139</v>
      </c>
      <c r="AR485" s="74" t="s">
        <v>140</v>
      </c>
      <c r="AS485" s="22" t="s">
        <v>141</v>
      </c>
      <c r="AT485" s="75" t="s">
        <v>142</v>
      </c>
      <c r="AU485" s="79" t="s">
        <v>143</v>
      </c>
      <c r="AV485" s="80" t="s">
        <v>144</v>
      </c>
      <c r="AW485" s="81" t="s">
        <v>145</v>
      </c>
      <c r="AX485" s="82" t="s">
        <v>146</v>
      </c>
      <c r="AY485" s="83" t="s">
        <v>147</v>
      </c>
      <c r="AZ485" s="80" t="s">
        <v>585</v>
      </c>
      <c r="BA485" s="41" t="s">
        <v>105</v>
      </c>
      <c r="BB485" s="591" t="str">
        <f t="shared" si="35"/>
        <v>TEMPLATE</v>
      </c>
      <c r="BC485" s="591" t="str">
        <f t="shared" si="36"/>
        <v>17. Regional Health Clusters-NRHC-MOH-PR</v>
      </c>
      <c r="BD485" s="591" t="str">
        <f t="shared" si="37"/>
        <v>NRHC-MOH-PR</v>
      </c>
      <c r="BE485" s="591" t="str">
        <f t="shared" si="38"/>
        <v>NONE</v>
      </c>
      <c r="BF485" s="594">
        <f t="shared" si="39"/>
        <v>9</v>
      </c>
    </row>
    <row r="486" spans="1:58" ht="42" customHeight="1" x14ac:dyDescent="0.45">
      <c r="A486" s="84">
        <v>437</v>
      </c>
      <c r="B486" s="411" t="s">
        <v>2342</v>
      </c>
      <c r="C486" s="70" t="s">
        <v>2343</v>
      </c>
      <c r="D486" s="70" t="s">
        <v>2191</v>
      </c>
      <c r="E486" s="411" t="s">
        <v>930</v>
      </c>
      <c r="F486" s="72" t="s">
        <v>2199</v>
      </c>
      <c r="G486" s="70" t="s">
        <v>932</v>
      </c>
      <c r="H486" s="70" t="s">
        <v>2200</v>
      </c>
      <c r="I486" s="71" t="s">
        <v>924</v>
      </c>
      <c r="J486" s="71" t="s">
        <v>934</v>
      </c>
      <c r="K486" s="70" t="s">
        <v>558</v>
      </c>
      <c r="L486" s="92" t="s">
        <v>935</v>
      </c>
      <c r="M486" s="70" t="s">
        <v>2348</v>
      </c>
      <c r="N486" s="86" t="s">
        <v>66</v>
      </c>
      <c r="O486" s="87" t="s">
        <v>937</v>
      </c>
      <c r="P486" s="70" t="s">
        <v>979</v>
      </c>
      <c r="Q486" s="70" t="s">
        <v>939</v>
      </c>
      <c r="R486" s="70" t="s">
        <v>940</v>
      </c>
      <c r="S486" s="71" t="s">
        <v>941</v>
      </c>
      <c r="T486" s="70" t="s">
        <v>942</v>
      </c>
      <c r="U486" s="25" t="s">
        <v>943</v>
      </c>
      <c r="V486" s="70" t="s">
        <v>944</v>
      </c>
      <c r="W486" s="72" t="s">
        <v>945</v>
      </c>
      <c r="X486" s="70" t="s">
        <v>946</v>
      </c>
      <c r="Y486" s="49" t="s">
        <v>947</v>
      </c>
      <c r="Z486" s="70" t="s">
        <v>948</v>
      </c>
      <c r="AA486" s="71" t="s">
        <v>949</v>
      </c>
      <c r="AB486" s="70" t="s">
        <v>950</v>
      </c>
      <c r="AC486" s="70" t="s">
        <v>951</v>
      </c>
      <c r="AD486" s="22" t="s">
        <v>82</v>
      </c>
      <c r="AE486" s="26" t="s">
        <v>952</v>
      </c>
      <c r="AF486" s="27" t="s">
        <v>953</v>
      </c>
      <c r="AG486" s="70" t="s">
        <v>954</v>
      </c>
      <c r="AH486" s="70" t="s">
        <v>955</v>
      </c>
      <c r="AI486" s="73" t="s">
        <v>956</v>
      </c>
      <c r="AJ486" s="70" t="s">
        <v>957</v>
      </c>
      <c r="AK486" s="74" t="s">
        <v>958</v>
      </c>
      <c r="AL486" s="75" t="s">
        <v>959</v>
      </c>
      <c r="AM486" s="76" t="s">
        <v>960</v>
      </c>
      <c r="AN486" s="50" t="s">
        <v>961</v>
      </c>
      <c r="AO486" s="77" t="s">
        <v>962</v>
      </c>
      <c r="AP486" s="51" t="s">
        <v>963</v>
      </c>
      <c r="AQ486" s="78" t="s">
        <v>964</v>
      </c>
      <c r="AR486" s="74" t="s">
        <v>965</v>
      </c>
      <c r="AS486" s="92" t="s">
        <v>966</v>
      </c>
      <c r="AT486" s="75" t="s">
        <v>967</v>
      </c>
      <c r="AU486" s="79" t="s">
        <v>968</v>
      </c>
      <c r="AV486" s="80" t="s">
        <v>969</v>
      </c>
      <c r="AW486" s="81" t="s">
        <v>970</v>
      </c>
      <c r="AX486" s="82" t="s">
        <v>971</v>
      </c>
      <c r="AY486" s="83" t="s">
        <v>972</v>
      </c>
      <c r="AZ486" s="80" t="s">
        <v>585</v>
      </c>
      <c r="BA486" s="41" t="s">
        <v>105</v>
      </c>
      <c r="BB486" s="591" t="str">
        <f t="shared" si="35"/>
        <v>DEEP</v>
      </c>
      <c r="BC486" s="591" t="str">
        <f t="shared" si="36"/>
        <v>17. Regional Health Clusters-NRHC-CBAHI-HAS-H</v>
      </c>
      <c r="BD486" s="591" t="str">
        <f t="shared" si="37"/>
        <v>NRHC-CBAHI-HAS-H</v>
      </c>
      <c r="BE486" s="591" t="str">
        <f t="shared" si="38"/>
        <v>NONE</v>
      </c>
      <c r="BF486" s="594">
        <f t="shared" si="39"/>
        <v>15</v>
      </c>
    </row>
    <row r="487" spans="1:58" ht="42" customHeight="1" x14ac:dyDescent="0.45">
      <c r="A487" s="42">
        <v>438</v>
      </c>
      <c r="B487" s="412" t="s">
        <v>2342</v>
      </c>
      <c r="C487" s="44" t="s">
        <v>2343</v>
      </c>
      <c r="D487" s="44" t="s">
        <v>2191</v>
      </c>
      <c r="E487" s="412" t="s">
        <v>557</v>
      </c>
      <c r="F487" s="45" t="s">
        <v>58</v>
      </c>
      <c r="G487" s="44" t="s">
        <v>59</v>
      </c>
      <c r="H487" s="44" t="s">
        <v>57</v>
      </c>
      <c r="I487" s="46" t="s">
        <v>61</v>
      </c>
      <c r="J487" s="46" t="s">
        <v>62</v>
      </c>
      <c r="K487" s="44" t="s">
        <v>558</v>
      </c>
      <c r="L487" s="66" t="s">
        <v>559</v>
      </c>
      <c r="M487" s="44" t="s">
        <v>2349</v>
      </c>
      <c r="N487" s="47" t="s">
        <v>66</v>
      </c>
      <c r="O487" s="48" t="s">
        <v>196</v>
      </c>
      <c r="P487" s="44" t="s">
        <v>561</v>
      </c>
      <c r="Q487" s="70" t="s">
        <v>562</v>
      </c>
      <c r="R487" s="70" t="s">
        <v>563</v>
      </c>
      <c r="S487" s="71" t="s">
        <v>564</v>
      </c>
      <c r="T487" s="70" t="s">
        <v>565</v>
      </c>
      <c r="U487" s="25" t="s">
        <v>566</v>
      </c>
      <c r="V487" s="70" t="s">
        <v>282</v>
      </c>
      <c r="W487" s="72" t="s">
        <v>283</v>
      </c>
      <c r="X487" s="70" t="s">
        <v>284</v>
      </c>
      <c r="Y487" s="49" t="s">
        <v>285</v>
      </c>
      <c r="Z487" s="70" t="s">
        <v>286</v>
      </c>
      <c r="AA487" s="71" t="s">
        <v>286</v>
      </c>
      <c r="AB487" s="70" t="s">
        <v>287</v>
      </c>
      <c r="AC487" s="70" t="s">
        <v>288</v>
      </c>
      <c r="AD487" s="49" t="s">
        <v>289</v>
      </c>
      <c r="AE487" s="58" t="s">
        <v>290</v>
      </c>
      <c r="AF487" s="56" t="s">
        <v>291</v>
      </c>
      <c r="AG487" s="70" t="s">
        <v>292</v>
      </c>
      <c r="AH487" s="70" t="s">
        <v>293</v>
      </c>
      <c r="AI487" s="73" t="s">
        <v>215</v>
      </c>
      <c r="AJ487" s="70" t="s">
        <v>216</v>
      </c>
      <c r="AK487" s="74" t="s">
        <v>217</v>
      </c>
      <c r="AL487" s="75" t="s">
        <v>218</v>
      </c>
      <c r="AM487" s="76" t="s">
        <v>219</v>
      </c>
      <c r="AN487" s="50" t="s">
        <v>220</v>
      </c>
      <c r="AO487" s="77" t="s">
        <v>221</v>
      </c>
      <c r="AP487" s="51" t="s">
        <v>138</v>
      </c>
      <c r="AQ487" s="78" t="s">
        <v>139</v>
      </c>
      <c r="AR487" s="74" t="s">
        <v>140</v>
      </c>
      <c r="AS487" s="22" t="s">
        <v>141</v>
      </c>
      <c r="AT487" s="75" t="s">
        <v>142</v>
      </c>
      <c r="AU487" s="79" t="s">
        <v>143</v>
      </c>
      <c r="AV487" s="80" t="s">
        <v>144</v>
      </c>
      <c r="AW487" s="81" t="s">
        <v>145</v>
      </c>
      <c r="AX487" s="82" t="s">
        <v>146</v>
      </c>
      <c r="AY487" s="83" t="s">
        <v>147</v>
      </c>
      <c r="AZ487" s="80" t="s">
        <v>567</v>
      </c>
      <c r="BA487" s="34" t="s">
        <v>320</v>
      </c>
      <c r="BB487" s="591" t="str">
        <f t="shared" si="35"/>
        <v>TEMPLATE</v>
      </c>
      <c r="BC487" s="591" t="str">
        <f t="shared" si="36"/>
        <v>17. Regional Health Clusters-NRHC-NCA-ECC-2:2024</v>
      </c>
      <c r="BD487" s="591" t="str">
        <f t="shared" si="37"/>
        <v>NRHC-NCA-ECC-2-2024</v>
      </c>
      <c r="BE487" s="591" t="str">
        <f t="shared" si="38"/>
        <v>NCA-ECC-2-2024</v>
      </c>
      <c r="BF487" s="594">
        <f t="shared" si="39"/>
        <v>11</v>
      </c>
    </row>
    <row r="488" spans="1:58" ht="42" customHeight="1" x14ac:dyDescent="0.45">
      <c r="A488" s="84">
        <v>439</v>
      </c>
      <c r="B488" s="411" t="s">
        <v>2342</v>
      </c>
      <c r="C488" s="70" t="s">
        <v>2343</v>
      </c>
      <c r="D488" s="70" t="s">
        <v>2191</v>
      </c>
      <c r="E488" s="411" t="s">
        <v>382</v>
      </c>
      <c r="F488" s="72" t="s">
        <v>383</v>
      </c>
      <c r="G488" s="70" t="s">
        <v>384</v>
      </c>
      <c r="H488" s="70" t="s">
        <v>765</v>
      </c>
      <c r="I488" s="71" t="s">
        <v>250</v>
      </c>
      <c r="J488" s="71" t="s">
        <v>386</v>
      </c>
      <c r="K488" s="70" t="s">
        <v>558</v>
      </c>
      <c r="L488" s="66" t="s">
        <v>559</v>
      </c>
      <c r="M488" s="70" t="s">
        <v>2350</v>
      </c>
      <c r="N488" s="86" t="s">
        <v>66</v>
      </c>
      <c r="O488" s="87" t="s">
        <v>540</v>
      </c>
      <c r="P488" s="70" t="s">
        <v>380</v>
      </c>
      <c r="Q488" s="70" t="s">
        <v>390</v>
      </c>
      <c r="R488" s="70" t="s">
        <v>391</v>
      </c>
      <c r="S488" s="71" t="s">
        <v>392</v>
      </c>
      <c r="T488" s="70" t="s">
        <v>393</v>
      </c>
      <c r="U488" s="25" t="s">
        <v>394</v>
      </c>
      <c r="V488" s="70" t="s">
        <v>395</v>
      </c>
      <c r="W488" s="72" t="s">
        <v>396</v>
      </c>
      <c r="X488" s="70" t="s">
        <v>397</v>
      </c>
      <c r="Y488" s="49" t="s">
        <v>398</v>
      </c>
      <c r="Z488" s="70" t="s">
        <v>399</v>
      </c>
      <c r="AA488" s="71" t="s">
        <v>400</v>
      </c>
      <c r="AB488" s="70" t="s">
        <v>401</v>
      </c>
      <c r="AC488" s="70" t="s">
        <v>402</v>
      </c>
      <c r="AD488" s="49" t="s">
        <v>403</v>
      </c>
      <c r="AE488" s="50" t="s">
        <v>404</v>
      </c>
      <c r="AF488" s="60" t="s">
        <v>405</v>
      </c>
      <c r="AG488" s="70" t="s">
        <v>406</v>
      </c>
      <c r="AH488" s="70" t="s">
        <v>407</v>
      </c>
      <c r="AI488" s="73" t="s">
        <v>408</v>
      </c>
      <c r="AJ488" s="70" t="s">
        <v>409</v>
      </c>
      <c r="AK488" s="74" t="s">
        <v>410</v>
      </c>
      <c r="AL488" s="75" t="s">
        <v>411</v>
      </c>
      <c r="AM488" s="76" t="s">
        <v>412</v>
      </c>
      <c r="AN488" s="50" t="s">
        <v>413</v>
      </c>
      <c r="AO488" s="77" t="s">
        <v>414</v>
      </c>
      <c r="AP488" s="51" t="s">
        <v>415</v>
      </c>
      <c r="AQ488" s="78" t="s">
        <v>416</v>
      </c>
      <c r="AR488" s="74" t="s">
        <v>417</v>
      </c>
      <c r="AS488" s="22" t="s">
        <v>418</v>
      </c>
      <c r="AT488" s="75" t="s">
        <v>419</v>
      </c>
      <c r="AU488" s="79" t="s">
        <v>420</v>
      </c>
      <c r="AV488" s="80" t="s">
        <v>421</v>
      </c>
      <c r="AW488" s="81" t="s">
        <v>422</v>
      </c>
      <c r="AX488" s="82" t="s">
        <v>423</v>
      </c>
      <c r="AY488" s="83" t="s">
        <v>424</v>
      </c>
      <c r="AZ488" s="80" t="s">
        <v>425</v>
      </c>
      <c r="BA488" s="34" t="s">
        <v>320</v>
      </c>
      <c r="BB488" s="591" t="str">
        <f t="shared" si="35"/>
        <v>DEEP</v>
      </c>
      <c r="BC488" s="591" t="str">
        <f t="shared" si="36"/>
        <v>17. Regional Health Clusters-NRHC-PDPL-2021</v>
      </c>
      <c r="BD488" s="591" t="str">
        <f t="shared" si="37"/>
        <v>NRHC-PDPL-2021</v>
      </c>
      <c r="BE488" s="591" t="str">
        <f t="shared" si="38"/>
        <v>NONE</v>
      </c>
      <c r="BF488" s="594">
        <f t="shared" si="39"/>
        <v>18</v>
      </c>
    </row>
    <row r="489" spans="1:58" ht="42" customHeight="1" x14ac:dyDescent="0.45">
      <c r="A489" s="42">
        <v>440</v>
      </c>
      <c r="B489" s="412" t="s">
        <v>2342</v>
      </c>
      <c r="C489" s="44" t="s">
        <v>2343</v>
      </c>
      <c r="D489" s="44" t="s">
        <v>2191</v>
      </c>
      <c r="E489" s="412" t="s">
        <v>688</v>
      </c>
      <c r="F489" s="45" t="s">
        <v>689</v>
      </c>
      <c r="G489" s="44" t="s">
        <v>690</v>
      </c>
      <c r="H489" s="44" t="s">
        <v>691</v>
      </c>
      <c r="I489" s="46" t="s">
        <v>151</v>
      </c>
      <c r="J489" s="46" t="s">
        <v>692</v>
      </c>
      <c r="K489" s="44" t="s">
        <v>558</v>
      </c>
      <c r="L489" s="66" t="s">
        <v>559</v>
      </c>
      <c r="M489" s="44" t="s">
        <v>2351</v>
      </c>
      <c r="N489" s="54" t="s">
        <v>154</v>
      </c>
      <c r="O489" s="48" t="s">
        <v>593</v>
      </c>
      <c r="P489" s="44" t="s">
        <v>636</v>
      </c>
      <c r="Q489" s="70" t="s">
        <v>695</v>
      </c>
      <c r="R489" s="70" t="s">
        <v>696</v>
      </c>
      <c r="S489" s="71" t="s">
        <v>697</v>
      </c>
      <c r="T489" s="70" t="s">
        <v>698</v>
      </c>
      <c r="U489" s="25" t="s">
        <v>699</v>
      </c>
      <c r="V489" s="70" t="s">
        <v>700</v>
      </c>
      <c r="W489" s="72" t="s">
        <v>701</v>
      </c>
      <c r="X489" s="70" t="s">
        <v>702</v>
      </c>
      <c r="Y489" s="22" t="s">
        <v>205</v>
      </c>
      <c r="Z489" s="70" t="s">
        <v>703</v>
      </c>
      <c r="AA489" s="71" t="s">
        <v>704</v>
      </c>
      <c r="AB489" s="70" t="s">
        <v>705</v>
      </c>
      <c r="AC489" s="70" t="s">
        <v>706</v>
      </c>
      <c r="AD489" s="49" t="s">
        <v>707</v>
      </c>
      <c r="AE489" s="26" t="s">
        <v>675</v>
      </c>
      <c r="AF489" s="60" t="s">
        <v>708</v>
      </c>
      <c r="AG489" s="70" t="s">
        <v>709</v>
      </c>
      <c r="AH489" s="70" t="s">
        <v>710</v>
      </c>
      <c r="AI489" s="73" t="s">
        <v>711</v>
      </c>
      <c r="AJ489" s="70" t="s">
        <v>712</v>
      </c>
      <c r="AK489" s="74" t="s">
        <v>713</v>
      </c>
      <c r="AL489" s="75" t="s">
        <v>714</v>
      </c>
      <c r="AM489" s="76" t="s">
        <v>715</v>
      </c>
      <c r="AN489" s="50" t="s">
        <v>716</v>
      </c>
      <c r="AO489" s="77" t="s">
        <v>717</v>
      </c>
      <c r="AP489" s="51" t="s">
        <v>718</v>
      </c>
      <c r="AQ489" s="78" t="s">
        <v>719</v>
      </c>
      <c r="AR489" s="74" t="s">
        <v>720</v>
      </c>
      <c r="AS489" s="61" t="s">
        <v>721</v>
      </c>
      <c r="AT489" s="75" t="s">
        <v>722</v>
      </c>
      <c r="AU489" s="79" t="s">
        <v>723</v>
      </c>
      <c r="AV489" s="80" t="s">
        <v>724</v>
      </c>
      <c r="AW489" s="81" t="s">
        <v>725</v>
      </c>
      <c r="AX489" s="82" t="s">
        <v>726</v>
      </c>
      <c r="AY489" s="83" t="s">
        <v>727</v>
      </c>
      <c r="AZ489" s="80" t="s">
        <v>728</v>
      </c>
      <c r="BA489" s="41" t="s">
        <v>105</v>
      </c>
      <c r="BB489" s="591" t="str">
        <f t="shared" si="35"/>
        <v>DEEP</v>
      </c>
      <c r="BC489" s="591" t="str">
        <f t="shared" si="36"/>
        <v>17. Regional Health Clusters-NRHC-MOH-TELE</v>
      </c>
      <c r="BD489" s="591" t="str">
        <f t="shared" si="37"/>
        <v>NRHC-MOH-TELE</v>
      </c>
      <c r="BE489" s="591" t="str">
        <f t="shared" si="38"/>
        <v>NONE</v>
      </c>
      <c r="BF489" s="594">
        <f t="shared" si="39"/>
        <v>16</v>
      </c>
    </row>
    <row r="490" spans="1:58" ht="42" customHeight="1" x14ac:dyDescent="0.45">
      <c r="A490" s="84">
        <v>441</v>
      </c>
      <c r="B490" s="411" t="s">
        <v>2342</v>
      </c>
      <c r="C490" s="70" t="s">
        <v>2343</v>
      </c>
      <c r="D490" s="70" t="s">
        <v>2191</v>
      </c>
      <c r="E490" s="411" t="s">
        <v>1246</v>
      </c>
      <c r="F490" s="72" t="s">
        <v>2205</v>
      </c>
      <c r="G490" s="70" t="s">
        <v>2206</v>
      </c>
      <c r="H490" s="70" t="s">
        <v>633</v>
      </c>
      <c r="I490" s="71" t="s">
        <v>61</v>
      </c>
      <c r="J490" s="71" t="s">
        <v>194</v>
      </c>
      <c r="K490" s="70" t="s">
        <v>558</v>
      </c>
      <c r="L490" s="66" t="s">
        <v>559</v>
      </c>
      <c r="M490" s="70" t="s">
        <v>2352</v>
      </c>
      <c r="N490" s="86" t="s">
        <v>66</v>
      </c>
      <c r="O490" s="87" t="s">
        <v>1250</v>
      </c>
      <c r="P490" s="70" t="s">
        <v>1244</v>
      </c>
      <c r="Q490" s="70" t="s">
        <v>1252</v>
      </c>
      <c r="R490" s="70" t="s">
        <v>1253</v>
      </c>
      <c r="S490" s="71" t="s">
        <v>1254</v>
      </c>
      <c r="T490" s="70" t="s">
        <v>1255</v>
      </c>
      <c r="U490" s="25" t="s">
        <v>1256</v>
      </c>
      <c r="V490" s="70" t="s">
        <v>1257</v>
      </c>
      <c r="W490" s="72" t="s">
        <v>1258</v>
      </c>
      <c r="X490" s="70" t="s">
        <v>1259</v>
      </c>
      <c r="Y490" s="22" t="s">
        <v>205</v>
      </c>
      <c r="Z490" s="70" t="s">
        <v>1260</v>
      </c>
      <c r="AA490" s="71" t="s">
        <v>1261</v>
      </c>
      <c r="AB490" s="70" t="s">
        <v>1262</v>
      </c>
      <c r="AC490" s="70" t="s">
        <v>1263</v>
      </c>
      <c r="AD490" s="49" t="s">
        <v>650</v>
      </c>
      <c r="AE490" s="37" t="s">
        <v>1264</v>
      </c>
      <c r="AF490" s="27" t="s">
        <v>1265</v>
      </c>
      <c r="AG490" s="70" t="s">
        <v>1266</v>
      </c>
      <c r="AH490" s="70" t="s">
        <v>1267</v>
      </c>
      <c r="AI490" s="73" t="s">
        <v>215</v>
      </c>
      <c r="AJ490" s="70" t="s">
        <v>216</v>
      </c>
      <c r="AK490" s="74" t="s">
        <v>217</v>
      </c>
      <c r="AL490" s="75" t="s">
        <v>218</v>
      </c>
      <c r="AM490" s="76" t="s">
        <v>219</v>
      </c>
      <c r="AN490" s="50" t="s">
        <v>220</v>
      </c>
      <c r="AO490" s="77" t="s">
        <v>221</v>
      </c>
      <c r="AP490" s="51" t="s">
        <v>138</v>
      </c>
      <c r="AQ490" s="78" t="s">
        <v>139</v>
      </c>
      <c r="AR490" s="74" t="s">
        <v>140</v>
      </c>
      <c r="AS490" s="22" t="s">
        <v>141</v>
      </c>
      <c r="AT490" s="75" t="s">
        <v>142</v>
      </c>
      <c r="AU490" s="79" t="s">
        <v>143</v>
      </c>
      <c r="AV490" s="80" t="s">
        <v>144</v>
      </c>
      <c r="AW490" s="81" t="s">
        <v>145</v>
      </c>
      <c r="AX490" s="82" t="s">
        <v>146</v>
      </c>
      <c r="AY490" s="83" t="s">
        <v>147</v>
      </c>
      <c r="AZ490" s="80" t="s">
        <v>585</v>
      </c>
      <c r="BA490" s="41" t="s">
        <v>105</v>
      </c>
      <c r="BB490" s="591" t="str">
        <f t="shared" si="35"/>
        <v>TEMPLATE</v>
      </c>
      <c r="BC490" s="591" t="str">
        <f t="shared" si="36"/>
        <v>17. Regional Health Clusters-NRHC-NHIC-NABIDH</v>
      </c>
      <c r="BD490" s="591" t="str">
        <f t="shared" si="37"/>
        <v>NRHC-NHIC-NABIDH</v>
      </c>
      <c r="BE490" s="591" t="str">
        <f t="shared" si="38"/>
        <v>NONE</v>
      </c>
      <c r="BF490" s="594">
        <f t="shared" si="39"/>
        <v>11</v>
      </c>
    </row>
    <row r="491" spans="1:58" ht="42" customHeight="1" x14ac:dyDescent="0.45">
      <c r="A491" s="42">
        <v>442</v>
      </c>
      <c r="B491" s="412" t="s">
        <v>2342</v>
      </c>
      <c r="C491" s="44" t="s">
        <v>2343</v>
      </c>
      <c r="D491" s="44" t="s">
        <v>2191</v>
      </c>
      <c r="E491" s="412" t="s">
        <v>770</v>
      </c>
      <c r="F491" s="45" t="s">
        <v>107</v>
      </c>
      <c r="G491" s="44" t="s">
        <v>108</v>
      </c>
      <c r="H491" s="44" t="s">
        <v>106</v>
      </c>
      <c r="I491" s="46" t="s">
        <v>109</v>
      </c>
      <c r="J491" s="46" t="s">
        <v>110</v>
      </c>
      <c r="K491" s="44" t="s">
        <v>558</v>
      </c>
      <c r="L491" s="66" t="s">
        <v>559</v>
      </c>
      <c r="M491" s="44" t="s">
        <v>2353</v>
      </c>
      <c r="N491" s="47" t="s">
        <v>66</v>
      </c>
      <c r="O491" s="48" t="s">
        <v>196</v>
      </c>
      <c r="P491" s="44" t="s">
        <v>2209</v>
      </c>
      <c r="Q491" s="70" t="s">
        <v>562</v>
      </c>
      <c r="R491" s="70" t="s">
        <v>563</v>
      </c>
      <c r="S491" s="71" t="s">
        <v>564</v>
      </c>
      <c r="T491" s="70" t="s">
        <v>565</v>
      </c>
      <c r="U491" s="25" t="s">
        <v>566</v>
      </c>
      <c r="V491" s="70" t="s">
        <v>282</v>
      </c>
      <c r="W491" s="72" t="s">
        <v>283</v>
      </c>
      <c r="X491" s="70" t="s">
        <v>284</v>
      </c>
      <c r="Y491" s="49" t="s">
        <v>285</v>
      </c>
      <c r="Z491" s="70" t="s">
        <v>286</v>
      </c>
      <c r="AA491" s="71" t="s">
        <v>286</v>
      </c>
      <c r="AB491" s="70" t="s">
        <v>287</v>
      </c>
      <c r="AC491" s="70" t="s">
        <v>288</v>
      </c>
      <c r="AD491" s="49" t="s">
        <v>289</v>
      </c>
      <c r="AE491" s="58" t="s">
        <v>290</v>
      </c>
      <c r="AF491" s="56" t="s">
        <v>291</v>
      </c>
      <c r="AG491" s="70" t="s">
        <v>292</v>
      </c>
      <c r="AH491" s="70" t="s">
        <v>293</v>
      </c>
      <c r="AI491" s="73" t="s">
        <v>215</v>
      </c>
      <c r="AJ491" s="70" t="s">
        <v>216</v>
      </c>
      <c r="AK491" s="74" t="s">
        <v>217</v>
      </c>
      <c r="AL491" s="75" t="s">
        <v>218</v>
      </c>
      <c r="AM491" s="76" t="s">
        <v>219</v>
      </c>
      <c r="AN491" s="50" t="s">
        <v>220</v>
      </c>
      <c r="AO491" s="77" t="s">
        <v>221</v>
      </c>
      <c r="AP491" s="53" t="s">
        <v>773</v>
      </c>
      <c r="AQ491" s="78" t="s">
        <v>774</v>
      </c>
      <c r="AR491" s="74" t="s">
        <v>775</v>
      </c>
      <c r="AS491" s="22" t="s">
        <v>776</v>
      </c>
      <c r="AT491" s="75" t="s">
        <v>777</v>
      </c>
      <c r="AU491" s="79" t="s">
        <v>778</v>
      </c>
      <c r="AV491" s="80" t="s">
        <v>779</v>
      </c>
      <c r="AW491" s="81" t="s">
        <v>780</v>
      </c>
      <c r="AX491" s="82" t="s">
        <v>781</v>
      </c>
      <c r="AY491" s="83" t="s">
        <v>782</v>
      </c>
      <c r="AZ491" s="80" t="s">
        <v>104</v>
      </c>
      <c r="BA491" s="41" t="s">
        <v>105</v>
      </c>
      <c r="BB491" s="591" t="str">
        <f t="shared" si="35"/>
        <v>TEMPLATE</v>
      </c>
      <c r="BC491" s="591" t="str">
        <f t="shared" si="36"/>
        <v>17. Regional Health Clusters-NRHC-NCA-OTCC</v>
      </c>
      <c r="BD491" s="591" t="str">
        <f t="shared" si="37"/>
        <v>NRHC-NCA-OTCC</v>
      </c>
      <c r="BE491" s="591" t="str">
        <f t="shared" si="38"/>
        <v>NCA-ECC-2-2024</v>
      </c>
      <c r="BF491" s="594">
        <f t="shared" si="39"/>
        <v>11</v>
      </c>
    </row>
    <row r="492" spans="1:58" ht="42" customHeight="1" x14ac:dyDescent="0.45">
      <c r="A492" s="84">
        <v>443</v>
      </c>
      <c r="B492" s="411" t="s">
        <v>2354</v>
      </c>
      <c r="C492" s="70" t="s">
        <v>2355</v>
      </c>
      <c r="D492" s="70" t="s">
        <v>2191</v>
      </c>
      <c r="E492" s="411" t="s">
        <v>586</v>
      </c>
      <c r="F492" s="72" t="s">
        <v>587</v>
      </c>
      <c r="G492" s="70" t="s">
        <v>588</v>
      </c>
      <c r="H492" s="70" t="s">
        <v>589</v>
      </c>
      <c r="I492" s="71" t="s">
        <v>590</v>
      </c>
      <c r="J492" s="71" t="s">
        <v>591</v>
      </c>
      <c r="K492" s="70" t="s">
        <v>558</v>
      </c>
      <c r="L492" s="66" t="s">
        <v>559</v>
      </c>
      <c r="M492" s="70" t="s">
        <v>2356</v>
      </c>
      <c r="N492" s="86" t="s">
        <v>66</v>
      </c>
      <c r="O492" s="87" t="s">
        <v>593</v>
      </c>
      <c r="P492" s="70" t="s">
        <v>661</v>
      </c>
      <c r="Q492" s="70" t="s">
        <v>595</v>
      </c>
      <c r="R492" s="70" t="s">
        <v>596</v>
      </c>
      <c r="S492" s="71" t="s">
        <v>597</v>
      </c>
      <c r="T492" s="70" t="s">
        <v>598</v>
      </c>
      <c r="U492" s="25" t="s">
        <v>599</v>
      </c>
      <c r="V492" s="70" t="s">
        <v>600</v>
      </c>
      <c r="W492" s="72" t="s">
        <v>601</v>
      </c>
      <c r="X492" s="70" t="s">
        <v>602</v>
      </c>
      <c r="Y492" s="49" t="s">
        <v>603</v>
      </c>
      <c r="Z492" s="70" t="s">
        <v>604</v>
      </c>
      <c r="AA492" s="71" t="s">
        <v>605</v>
      </c>
      <c r="AB492" s="70" t="s">
        <v>606</v>
      </c>
      <c r="AC492" s="70" t="s">
        <v>607</v>
      </c>
      <c r="AD492" s="49" t="s">
        <v>608</v>
      </c>
      <c r="AE492" s="26" t="s">
        <v>609</v>
      </c>
      <c r="AF492" s="27" t="s">
        <v>610</v>
      </c>
      <c r="AG492" s="70" t="s">
        <v>611</v>
      </c>
      <c r="AH492" s="70" t="s">
        <v>612</v>
      </c>
      <c r="AI492" s="73" t="s">
        <v>613</v>
      </c>
      <c r="AJ492" s="70" t="s">
        <v>614</v>
      </c>
      <c r="AK492" s="74" t="s">
        <v>615</v>
      </c>
      <c r="AL492" s="75" t="s">
        <v>616</v>
      </c>
      <c r="AM492" s="76" t="s">
        <v>617</v>
      </c>
      <c r="AN492" s="50" t="s">
        <v>618</v>
      </c>
      <c r="AO492" s="77" t="s">
        <v>619</v>
      </c>
      <c r="AP492" s="34" t="s">
        <v>620</v>
      </c>
      <c r="AQ492" s="78" t="s">
        <v>621</v>
      </c>
      <c r="AR492" s="74" t="s">
        <v>622</v>
      </c>
      <c r="AS492" s="61" t="s">
        <v>623</v>
      </c>
      <c r="AT492" s="75" t="s">
        <v>624</v>
      </c>
      <c r="AU492" s="79" t="s">
        <v>625</v>
      </c>
      <c r="AV492" s="80" t="s">
        <v>626</v>
      </c>
      <c r="AW492" s="81" t="s">
        <v>627</v>
      </c>
      <c r="AX492" s="82" t="s">
        <v>628</v>
      </c>
      <c r="AY492" s="83" t="s">
        <v>629</v>
      </c>
      <c r="AZ492" s="80" t="s">
        <v>585</v>
      </c>
      <c r="BA492" s="41" t="s">
        <v>105</v>
      </c>
      <c r="BB492" s="591" t="str">
        <f t="shared" si="35"/>
        <v>DEEP</v>
      </c>
      <c r="BC492" s="591" t="str">
        <f t="shared" si="36"/>
        <v>17. Regional Health Clusters-BHHC-MOH-HIS</v>
      </c>
      <c r="BD492" s="591" t="str">
        <f t="shared" si="37"/>
        <v>BHHC-MOH-HIS</v>
      </c>
      <c r="BE492" s="591" t="str">
        <f t="shared" si="38"/>
        <v>NONE</v>
      </c>
      <c r="BF492" s="594">
        <f t="shared" si="39"/>
        <v>18</v>
      </c>
    </row>
    <row r="493" spans="1:58" ht="42" customHeight="1" x14ac:dyDescent="0.45">
      <c r="A493" s="42">
        <v>444</v>
      </c>
      <c r="B493" s="412" t="s">
        <v>2354</v>
      </c>
      <c r="C493" s="44" t="s">
        <v>2355</v>
      </c>
      <c r="D493" s="44" t="s">
        <v>2191</v>
      </c>
      <c r="E493" s="412" t="s">
        <v>630</v>
      </c>
      <c r="F493" s="45" t="s">
        <v>2193</v>
      </c>
      <c r="G493" s="44" t="s">
        <v>2194</v>
      </c>
      <c r="H493" s="44" t="s">
        <v>633</v>
      </c>
      <c r="I493" s="46" t="s">
        <v>590</v>
      </c>
      <c r="J493" s="46" t="s">
        <v>634</v>
      </c>
      <c r="K493" s="44" t="s">
        <v>558</v>
      </c>
      <c r="L493" s="66" t="s">
        <v>559</v>
      </c>
      <c r="M493" s="44" t="s">
        <v>2357</v>
      </c>
      <c r="N493" s="47" t="s">
        <v>66</v>
      </c>
      <c r="O493" s="48" t="s">
        <v>593</v>
      </c>
      <c r="P493" s="44" t="s">
        <v>2196</v>
      </c>
      <c r="Q493" s="70" t="s">
        <v>637</v>
      </c>
      <c r="R493" s="70" t="s">
        <v>638</v>
      </c>
      <c r="S493" s="71" t="s">
        <v>639</v>
      </c>
      <c r="T493" s="70" t="s">
        <v>640</v>
      </c>
      <c r="U493" s="25" t="s">
        <v>641</v>
      </c>
      <c r="V493" s="70" t="s">
        <v>642</v>
      </c>
      <c r="W493" s="72" t="s">
        <v>643</v>
      </c>
      <c r="X493" s="70" t="s">
        <v>644</v>
      </c>
      <c r="Y493" s="49" t="s">
        <v>645</v>
      </c>
      <c r="Z493" s="70" t="s">
        <v>646</v>
      </c>
      <c r="AA493" s="71" t="s">
        <v>647</v>
      </c>
      <c r="AB493" s="70" t="s">
        <v>648</v>
      </c>
      <c r="AC493" s="70" t="s">
        <v>649</v>
      </c>
      <c r="AD493" s="49" t="s">
        <v>650</v>
      </c>
      <c r="AE493" s="26" t="s">
        <v>651</v>
      </c>
      <c r="AF493" s="27" t="s">
        <v>652</v>
      </c>
      <c r="AG493" s="70" t="s">
        <v>653</v>
      </c>
      <c r="AH493" s="70" t="s">
        <v>654</v>
      </c>
      <c r="AI493" s="73" t="s">
        <v>215</v>
      </c>
      <c r="AJ493" s="70" t="s">
        <v>216</v>
      </c>
      <c r="AK493" s="74" t="s">
        <v>217</v>
      </c>
      <c r="AL493" s="75" t="s">
        <v>218</v>
      </c>
      <c r="AM493" s="76" t="s">
        <v>219</v>
      </c>
      <c r="AN493" s="50" t="s">
        <v>220</v>
      </c>
      <c r="AO493" s="77" t="s">
        <v>221</v>
      </c>
      <c r="AP493" s="51" t="s">
        <v>138</v>
      </c>
      <c r="AQ493" s="78" t="s">
        <v>139</v>
      </c>
      <c r="AR493" s="74" t="s">
        <v>140</v>
      </c>
      <c r="AS493" s="22" t="s">
        <v>141</v>
      </c>
      <c r="AT493" s="75" t="s">
        <v>142</v>
      </c>
      <c r="AU493" s="79" t="s">
        <v>143</v>
      </c>
      <c r="AV493" s="80" t="s">
        <v>144</v>
      </c>
      <c r="AW493" s="81" t="s">
        <v>145</v>
      </c>
      <c r="AX493" s="82" t="s">
        <v>146</v>
      </c>
      <c r="AY493" s="83" t="s">
        <v>147</v>
      </c>
      <c r="AZ493" s="80" t="s">
        <v>585</v>
      </c>
      <c r="BA493" s="41" t="s">
        <v>105</v>
      </c>
      <c r="BB493" s="591" t="str">
        <f t="shared" si="35"/>
        <v>TEMPLATE</v>
      </c>
      <c r="BC493" s="591" t="str">
        <f t="shared" si="36"/>
        <v>17. Regional Health Clusters-BHHC-MOH-EMR-NABIDH</v>
      </c>
      <c r="BD493" s="591" t="str">
        <f t="shared" si="37"/>
        <v>BHHC-MOH-EMR-NABIDH</v>
      </c>
      <c r="BE493" s="591" t="str">
        <f t="shared" si="38"/>
        <v>NONE</v>
      </c>
      <c r="BF493" s="594">
        <f t="shared" si="39"/>
        <v>11</v>
      </c>
    </row>
    <row r="494" spans="1:58" ht="42" customHeight="1" x14ac:dyDescent="0.45">
      <c r="A494" s="84">
        <v>445</v>
      </c>
      <c r="B494" s="411" t="s">
        <v>2354</v>
      </c>
      <c r="C494" s="70" t="s">
        <v>2355</v>
      </c>
      <c r="D494" s="70" t="s">
        <v>2191</v>
      </c>
      <c r="E494" s="411" t="s">
        <v>655</v>
      </c>
      <c r="F494" s="72" t="s">
        <v>656</v>
      </c>
      <c r="G494" s="70" t="s">
        <v>657</v>
      </c>
      <c r="H494" s="70" t="s">
        <v>589</v>
      </c>
      <c r="I494" s="71" t="s">
        <v>658</v>
      </c>
      <c r="J494" s="71" t="s">
        <v>659</v>
      </c>
      <c r="K494" s="70" t="s">
        <v>558</v>
      </c>
      <c r="L494" s="66" t="s">
        <v>559</v>
      </c>
      <c r="M494" s="70" t="s">
        <v>2358</v>
      </c>
      <c r="N494" s="86" t="s">
        <v>66</v>
      </c>
      <c r="O494" s="87" t="s">
        <v>593</v>
      </c>
      <c r="P494" s="70" t="s">
        <v>661</v>
      </c>
      <c r="Q494" s="70" t="s">
        <v>662</v>
      </c>
      <c r="R494" s="70" t="s">
        <v>663</v>
      </c>
      <c r="S494" s="71" t="s">
        <v>664</v>
      </c>
      <c r="T494" s="70" t="s">
        <v>665</v>
      </c>
      <c r="U494" s="25" t="s">
        <v>666</v>
      </c>
      <c r="V494" s="70" t="s">
        <v>667</v>
      </c>
      <c r="W494" s="72" t="s">
        <v>668</v>
      </c>
      <c r="X494" s="70" t="s">
        <v>669</v>
      </c>
      <c r="Y494" s="22" t="s">
        <v>205</v>
      </c>
      <c r="Z494" s="70" t="s">
        <v>670</v>
      </c>
      <c r="AA494" s="71" t="s">
        <v>671</v>
      </c>
      <c r="AB494" s="70" t="s">
        <v>672</v>
      </c>
      <c r="AC494" s="70" t="s">
        <v>673</v>
      </c>
      <c r="AD494" s="49" t="s">
        <v>674</v>
      </c>
      <c r="AE494" s="26" t="s">
        <v>675</v>
      </c>
      <c r="AF494" s="27" t="s">
        <v>676</v>
      </c>
      <c r="AG494" s="70" t="s">
        <v>677</v>
      </c>
      <c r="AH494" s="70" t="s">
        <v>678</v>
      </c>
      <c r="AI494" s="73" t="s">
        <v>215</v>
      </c>
      <c r="AJ494" s="70" t="s">
        <v>216</v>
      </c>
      <c r="AK494" s="74" t="s">
        <v>217</v>
      </c>
      <c r="AL494" s="75" t="s">
        <v>218</v>
      </c>
      <c r="AM494" s="76" t="s">
        <v>219</v>
      </c>
      <c r="AN494" s="50" t="s">
        <v>220</v>
      </c>
      <c r="AO494" s="77" t="s">
        <v>221</v>
      </c>
      <c r="AP494" s="51" t="s">
        <v>138</v>
      </c>
      <c r="AQ494" s="78" t="s">
        <v>139</v>
      </c>
      <c r="AR494" s="74" t="s">
        <v>140</v>
      </c>
      <c r="AS494" s="22" t="s">
        <v>141</v>
      </c>
      <c r="AT494" s="75" t="s">
        <v>142</v>
      </c>
      <c r="AU494" s="79" t="s">
        <v>143</v>
      </c>
      <c r="AV494" s="80" t="s">
        <v>144</v>
      </c>
      <c r="AW494" s="81" t="s">
        <v>145</v>
      </c>
      <c r="AX494" s="82" t="s">
        <v>146</v>
      </c>
      <c r="AY494" s="83" t="s">
        <v>147</v>
      </c>
      <c r="AZ494" s="80" t="s">
        <v>585</v>
      </c>
      <c r="BA494" s="41" t="s">
        <v>105</v>
      </c>
      <c r="BB494" s="591" t="str">
        <f t="shared" si="35"/>
        <v>TEMPLATE</v>
      </c>
      <c r="BC494" s="591" t="str">
        <f t="shared" si="36"/>
        <v>17. Regional Health Clusters-BHHC-MOH-PS</v>
      </c>
      <c r="BD494" s="591" t="str">
        <f t="shared" si="37"/>
        <v>BHHC-MOH-PS</v>
      </c>
      <c r="BE494" s="591" t="str">
        <f t="shared" si="38"/>
        <v>NONE</v>
      </c>
      <c r="BF494" s="594">
        <f t="shared" si="39"/>
        <v>11</v>
      </c>
    </row>
    <row r="495" spans="1:58" ht="42" customHeight="1" x14ac:dyDescent="0.45">
      <c r="A495" s="42">
        <v>446</v>
      </c>
      <c r="B495" s="412" t="s">
        <v>2354</v>
      </c>
      <c r="C495" s="44" t="s">
        <v>2355</v>
      </c>
      <c r="D495" s="44" t="s">
        <v>2191</v>
      </c>
      <c r="E495" s="412" t="s">
        <v>679</v>
      </c>
      <c r="F495" s="45" t="s">
        <v>680</v>
      </c>
      <c r="G495" s="44" t="s">
        <v>681</v>
      </c>
      <c r="H495" s="44" t="s">
        <v>225</v>
      </c>
      <c r="I495" s="46" t="s">
        <v>682</v>
      </c>
      <c r="J495" s="46" t="s">
        <v>386</v>
      </c>
      <c r="K495" s="44" t="s">
        <v>558</v>
      </c>
      <c r="L495" s="66" t="s">
        <v>559</v>
      </c>
      <c r="M495" s="44" t="s">
        <v>2359</v>
      </c>
      <c r="N495" s="54" t="s">
        <v>154</v>
      </c>
      <c r="O495" s="48" t="s">
        <v>593</v>
      </c>
      <c r="P495" s="44" t="s">
        <v>661</v>
      </c>
      <c r="Q495" s="70" t="s">
        <v>683</v>
      </c>
      <c r="R495" s="70" t="s">
        <v>684</v>
      </c>
      <c r="S495" s="71" t="s">
        <v>685</v>
      </c>
      <c r="T495" s="70" t="s">
        <v>686</v>
      </c>
      <c r="U495" s="25" t="s">
        <v>687</v>
      </c>
      <c r="V495" s="70" t="s">
        <v>282</v>
      </c>
      <c r="W495" s="72" t="s">
        <v>283</v>
      </c>
      <c r="X495" s="70" t="s">
        <v>284</v>
      </c>
      <c r="Y495" s="49" t="s">
        <v>285</v>
      </c>
      <c r="Z495" s="70" t="s">
        <v>286</v>
      </c>
      <c r="AA495" s="71" t="s">
        <v>286</v>
      </c>
      <c r="AB495" s="70" t="s">
        <v>287</v>
      </c>
      <c r="AC495" s="70" t="s">
        <v>288</v>
      </c>
      <c r="AD495" s="49" t="s">
        <v>289</v>
      </c>
      <c r="AE495" s="58" t="s">
        <v>290</v>
      </c>
      <c r="AF495" s="56" t="s">
        <v>291</v>
      </c>
      <c r="AG495" s="70" t="s">
        <v>292</v>
      </c>
      <c r="AH495" s="70" t="s">
        <v>293</v>
      </c>
      <c r="AI495" s="73" t="s">
        <v>215</v>
      </c>
      <c r="AJ495" s="70" t="s">
        <v>216</v>
      </c>
      <c r="AK495" s="74" t="s">
        <v>217</v>
      </c>
      <c r="AL495" s="75" t="s">
        <v>218</v>
      </c>
      <c r="AM495" s="76" t="s">
        <v>219</v>
      </c>
      <c r="AN495" s="50" t="s">
        <v>220</v>
      </c>
      <c r="AO495" s="77" t="s">
        <v>221</v>
      </c>
      <c r="AP495" s="51" t="s">
        <v>138</v>
      </c>
      <c r="AQ495" s="78" t="s">
        <v>139</v>
      </c>
      <c r="AR495" s="74" t="s">
        <v>140</v>
      </c>
      <c r="AS495" s="22" t="s">
        <v>141</v>
      </c>
      <c r="AT495" s="75" t="s">
        <v>142</v>
      </c>
      <c r="AU495" s="79" t="s">
        <v>143</v>
      </c>
      <c r="AV495" s="80" t="s">
        <v>144</v>
      </c>
      <c r="AW495" s="81" t="s">
        <v>145</v>
      </c>
      <c r="AX495" s="82" t="s">
        <v>146</v>
      </c>
      <c r="AY495" s="83" t="s">
        <v>147</v>
      </c>
      <c r="AZ495" s="80" t="s">
        <v>585</v>
      </c>
      <c r="BA495" s="41" t="s">
        <v>105</v>
      </c>
      <c r="BB495" s="591" t="str">
        <f t="shared" si="35"/>
        <v>TEMPLATE</v>
      </c>
      <c r="BC495" s="591" t="str">
        <f t="shared" si="36"/>
        <v>17. Regional Health Clusters-BHHC-MOH-PR</v>
      </c>
      <c r="BD495" s="591" t="str">
        <f t="shared" si="37"/>
        <v>BHHC-MOH-PR</v>
      </c>
      <c r="BE495" s="591" t="str">
        <f t="shared" si="38"/>
        <v>NONE</v>
      </c>
      <c r="BF495" s="594">
        <f t="shared" si="39"/>
        <v>9</v>
      </c>
    </row>
    <row r="496" spans="1:58" ht="42" customHeight="1" x14ac:dyDescent="0.45">
      <c r="A496" s="84">
        <v>447</v>
      </c>
      <c r="B496" s="411" t="s">
        <v>2354</v>
      </c>
      <c r="C496" s="70" t="s">
        <v>2355</v>
      </c>
      <c r="D496" s="70" t="s">
        <v>2191</v>
      </c>
      <c r="E496" s="411" t="s">
        <v>930</v>
      </c>
      <c r="F496" s="72" t="s">
        <v>2199</v>
      </c>
      <c r="G496" s="70" t="s">
        <v>932</v>
      </c>
      <c r="H496" s="70" t="s">
        <v>2200</v>
      </c>
      <c r="I496" s="71" t="s">
        <v>924</v>
      </c>
      <c r="J496" s="71" t="s">
        <v>934</v>
      </c>
      <c r="K496" s="70" t="s">
        <v>558</v>
      </c>
      <c r="L496" s="92" t="s">
        <v>935</v>
      </c>
      <c r="M496" s="70" t="s">
        <v>2360</v>
      </c>
      <c r="N496" s="86" t="s">
        <v>66</v>
      </c>
      <c r="O496" s="87" t="s">
        <v>937</v>
      </c>
      <c r="P496" s="70" t="s">
        <v>979</v>
      </c>
      <c r="Q496" s="70" t="s">
        <v>939</v>
      </c>
      <c r="R496" s="70" t="s">
        <v>940</v>
      </c>
      <c r="S496" s="71" t="s">
        <v>941</v>
      </c>
      <c r="T496" s="70" t="s">
        <v>942</v>
      </c>
      <c r="U496" s="25" t="s">
        <v>943</v>
      </c>
      <c r="V496" s="70" t="s">
        <v>944</v>
      </c>
      <c r="W496" s="72" t="s">
        <v>945</v>
      </c>
      <c r="X496" s="70" t="s">
        <v>946</v>
      </c>
      <c r="Y496" s="49" t="s">
        <v>947</v>
      </c>
      <c r="Z496" s="70" t="s">
        <v>948</v>
      </c>
      <c r="AA496" s="71" t="s">
        <v>949</v>
      </c>
      <c r="AB496" s="70" t="s">
        <v>950</v>
      </c>
      <c r="AC496" s="70" t="s">
        <v>951</v>
      </c>
      <c r="AD496" s="22" t="s">
        <v>82</v>
      </c>
      <c r="AE496" s="26" t="s">
        <v>952</v>
      </c>
      <c r="AF496" s="27" t="s">
        <v>953</v>
      </c>
      <c r="AG496" s="70" t="s">
        <v>954</v>
      </c>
      <c r="AH496" s="70" t="s">
        <v>955</v>
      </c>
      <c r="AI496" s="73" t="s">
        <v>956</v>
      </c>
      <c r="AJ496" s="70" t="s">
        <v>957</v>
      </c>
      <c r="AK496" s="74" t="s">
        <v>958</v>
      </c>
      <c r="AL496" s="75" t="s">
        <v>959</v>
      </c>
      <c r="AM496" s="76" t="s">
        <v>960</v>
      </c>
      <c r="AN496" s="50" t="s">
        <v>961</v>
      </c>
      <c r="AO496" s="77" t="s">
        <v>962</v>
      </c>
      <c r="AP496" s="51" t="s">
        <v>963</v>
      </c>
      <c r="AQ496" s="78" t="s">
        <v>964</v>
      </c>
      <c r="AR496" s="74" t="s">
        <v>965</v>
      </c>
      <c r="AS496" s="92" t="s">
        <v>966</v>
      </c>
      <c r="AT496" s="75" t="s">
        <v>967</v>
      </c>
      <c r="AU496" s="79" t="s">
        <v>968</v>
      </c>
      <c r="AV496" s="80" t="s">
        <v>969</v>
      </c>
      <c r="AW496" s="81" t="s">
        <v>970</v>
      </c>
      <c r="AX496" s="82" t="s">
        <v>971</v>
      </c>
      <c r="AY496" s="83" t="s">
        <v>972</v>
      </c>
      <c r="AZ496" s="80" t="s">
        <v>585</v>
      </c>
      <c r="BA496" s="41" t="s">
        <v>105</v>
      </c>
      <c r="BB496" s="591" t="str">
        <f t="shared" si="35"/>
        <v>DEEP</v>
      </c>
      <c r="BC496" s="591" t="str">
        <f t="shared" si="36"/>
        <v>17. Regional Health Clusters-BHHC-CBAHI-HAS-H</v>
      </c>
      <c r="BD496" s="591" t="str">
        <f t="shared" si="37"/>
        <v>BHHC-CBAHI-HAS-H</v>
      </c>
      <c r="BE496" s="591" t="str">
        <f t="shared" si="38"/>
        <v>NONE</v>
      </c>
      <c r="BF496" s="594">
        <f t="shared" si="39"/>
        <v>15</v>
      </c>
    </row>
    <row r="497" spans="1:58" ht="42" customHeight="1" x14ac:dyDescent="0.45">
      <c r="A497" s="42">
        <v>448</v>
      </c>
      <c r="B497" s="412" t="s">
        <v>2354</v>
      </c>
      <c r="C497" s="44" t="s">
        <v>2355</v>
      </c>
      <c r="D497" s="44" t="s">
        <v>2191</v>
      </c>
      <c r="E497" s="412" t="s">
        <v>557</v>
      </c>
      <c r="F497" s="45" t="s">
        <v>58</v>
      </c>
      <c r="G497" s="44" t="s">
        <v>59</v>
      </c>
      <c r="H497" s="44" t="s">
        <v>57</v>
      </c>
      <c r="I497" s="46" t="s">
        <v>61</v>
      </c>
      <c r="J497" s="46" t="s">
        <v>62</v>
      </c>
      <c r="K497" s="44" t="s">
        <v>558</v>
      </c>
      <c r="L497" s="66" t="s">
        <v>559</v>
      </c>
      <c r="M497" s="44" t="s">
        <v>2361</v>
      </c>
      <c r="N497" s="47" t="s">
        <v>66</v>
      </c>
      <c r="O497" s="48" t="s">
        <v>196</v>
      </c>
      <c r="P497" s="44" t="s">
        <v>561</v>
      </c>
      <c r="Q497" s="70" t="s">
        <v>562</v>
      </c>
      <c r="R497" s="70" t="s">
        <v>563</v>
      </c>
      <c r="S497" s="71" t="s">
        <v>564</v>
      </c>
      <c r="T497" s="70" t="s">
        <v>565</v>
      </c>
      <c r="U497" s="25" t="s">
        <v>566</v>
      </c>
      <c r="V497" s="70" t="s">
        <v>282</v>
      </c>
      <c r="W497" s="72" t="s">
        <v>283</v>
      </c>
      <c r="X497" s="70" t="s">
        <v>284</v>
      </c>
      <c r="Y497" s="49" t="s">
        <v>285</v>
      </c>
      <c r="Z497" s="70" t="s">
        <v>286</v>
      </c>
      <c r="AA497" s="71" t="s">
        <v>286</v>
      </c>
      <c r="AB497" s="70" t="s">
        <v>287</v>
      </c>
      <c r="AC497" s="70" t="s">
        <v>288</v>
      </c>
      <c r="AD497" s="49" t="s">
        <v>289</v>
      </c>
      <c r="AE497" s="58" t="s">
        <v>290</v>
      </c>
      <c r="AF497" s="56" t="s">
        <v>291</v>
      </c>
      <c r="AG497" s="70" t="s">
        <v>292</v>
      </c>
      <c r="AH497" s="70" t="s">
        <v>293</v>
      </c>
      <c r="AI497" s="73" t="s">
        <v>215</v>
      </c>
      <c r="AJ497" s="70" t="s">
        <v>216</v>
      </c>
      <c r="AK497" s="74" t="s">
        <v>217</v>
      </c>
      <c r="AL497" s="75" t="s">
        <v>218</v>
      </c>
      <c r="AM497" s="76" t="s">
        <v>219</v>
      </c>
      <c r="AN497" s="50" t="s">
        <v>220</v>
      </c>
      <c r="AO497" s="77" t="s">
        <v>221</v>
      </c>
      <c r="AP497" s="51" t="s">
        <v>138</v>
      </c>
      <c r="AQ497" s="78" t="s">
        <v>139</v>
      </c>
      <c r="AR497" s="74" t="s">
        <v>140</v>
      </c>
      <c r="AS497" s="22" t="s">
        <v>141</v>
      </c>
      <c r="AT497" s="75" t="s">
        <v>142</v>
      </c>
      <c r="AU497" s="79" t="s">
        <v>143</v>
      </c>
      <c r="AV497" s="80" t="s">
        <v>144</v>
      </c>
      <c r="AW497" s="81" t="s">
        <v>145</v>
      </c>
      <c r="AX497" s="82" t="s">
        <v>146</v>
      </c>
      <c r="AY497" s="83" t="s">
        <v>147</v>
      </c>
      <c r="AZ497" s="80" t="s">
        <v>567</v>
      </c>
      <c r="BA497" s="34" t="s">
        <v>320</v>
      </c>
      <c r="BB497" s="591" t="str">
        <f t="shared" si="35"/>
        <v>TEMPLATE</v>
      </c>
      <c r="BC497" s="591" t="str">
        <f t="shared" si="36"/>
        <v>17. Regional Health Clusters-BHHC-NCA-ECC-2:2024</v>
      </c>
      <c r="BD497" s="591" t="str">
        <f t="shared" si="37"/>
        <v>BHHC-NCA-ECC-2-2024</v>
      </c>
      <c r="BE497" s="591" t="str">
        <f t="shared" si="38"/>
        <v>NCA-ECC-2-2024</v>
      </c>
      <c r="BF497" s="594">
        <f t="shared" si="39"/>
        <v>11</v>
      </c>
    </row>
    <row r="498" spans="1:58" ht="42" customHeight="1" x14ac:dyDescent="0.45">
      <c r="A498" s="84">
        <v>449</v>
      </c>
      <c r="B498" s="411" t="s">
        <v>2354</v>
      </c>
      <c r="C498" s="70" t="s">
        <v>2355</v>
      </c>
      <c r="D498" s="70" t="s">
        <v>2191</v>
      </c>
      <c r="E498" s="411" t="s">
        <v>382</v>
      </c>
      <c r="F498" s="72" t="s">
        <v>383</v>
      </c>
      <c r="G498" s="70" t="s">
        <v>384</v>
      </c>
      <c r="H498" s="70" t="s">
        <v>765</v>
      </c>
      <c r="I498" s="71" t="s">
        <v>250</v>
      </c>
      <c r="J498" s="71" t="s">
        <v>386</v>
      </c>
      <c r="K498" s="70" t="s">
        <v>558</v>
      </c>
      <c r="L498" s="66" t="s">
        <v>559</v>
      </c>
      <c r="M498" s="70" t="s">
        <v>2362</v>
      </c>
      <c r="N498" s="86" t="s">
        <v>66</v>
      </c>
      <c r="O498" s="87" t="s">
        <v>540</v>
      </c>
      <c r="P498" s="70" t="s">
        <v>380</v>
      </c>
      <c r="Q498" s="70" t="s">
        <v>390</v>
      </c>
      <c r="R498" s="70" t="s">
        <v>391</v>
      </c>
      <c r="S498" s="71" t="s">
        <v>392</v>
      </c>
      <c r="T498" s="70" t="s">
        <v>393</v>
      </c>
      <c r="U498" s="25" t="s">
        <v>394</v>
      </c>
      <c r="V498" s="70" t="s">
        <v>395</v>
      </c>
      <c r="W498" s="72" t="s">
        <v>396</v>
      </c>
      <c r="X498" s="70" t="s">
        <v>397</v>
      </c>
      <c r="Y498" s="49" t="s">
        <v>398</v>
      </c>
      <c r="Z498" s="70" t="s">
        <v>399</v>
      </c>
      <c r="AA498" s="71" t="s">
        <v>400</v>
      </c>
      <c r="AB498" s="70" t="s">
        <v>401</v>
      </c>
      <c r="AC498" s="70" t="s">
        <v>402</v>
      </c>
      <c r="AD498" s="49" t="s">
        <v>403</v>
      </c>
      <c r="AE498" s="50" t="s">
        <v>404</v>
      </c>
      <c r="AF498" s="60" t="s">
        <v>405</v>
      </c>
      <c r="AG498" s="70" t="s">
        <v>406</v>
      </c>
      <c r="AH498" s="70" t="s">
        <v>407</v>
      </c>
      <c r="AI498" s="73" t="s">
        <v>408</v>
      </c>
      <c r="AJ498" s="70" t="s">
        <v>409</v>
      </c>
      <c r="AK498" s="74" t="s">
        <v>410</v>
      </c>
      <c r="AL498" s="75" t="s">
        <v>411</v>
      </c>
      <c r="AM498" s="76" t="s">
        <v>412</v>
      </c>
      <c r="AN498" s="50" t="s">
        <v>413</v>
      </c>
      <c r="AO498" s="77" t="s">
        <v>414</v>
      </c>
      <c r="AP498" s="51" t="s">
        <v>415</v>
      </c>
      <c r="AQ498" s="78" t="s">
        <v>416</v>
      </c>
      <c r="AR498" s="74" t="s">
        <v>417</v>
      </c>
      <c r="AS498" s="22" t="s">
        <v>418</v>
      </c>
      <c r="AT498" s="75" t="s">
        <v>419</v>
      </c>
      <c r="AU498" s="79" t="s">
        <v>420</v>
      </c>
      <c r="AV498" s="80" t="s">
        <v>421</v>
      </c>
      <c r="AW498" s="81" t="s">
        <v>422</v>
      </c>
      <c r="AX498" s="82" t="s">
        <v>423</v>
      </c>
      <c r="AY498" s="83" t="s">
        <v>424</v>
      </c>
      <c r="AZ498" s="80" t="s">
        <v>425</v>
      </c>
      <c r="BA498" s="34" t="s">
        <v>320</v>
      </c>
      <c r="BB498" s="591" t="str">
        <f t="shared" si="35"/>
        <v>DEEP</v>
      </c>
      <c r="BC498" s="591" t="str">
        <f t="shared" si="36"/>
        <v>17. Regional Health Clusters-BHHC-PDPL-2021</v>
      </c>
      <c r="BD498" s="591" t="str">
        <f t="shared" si="37"/>
        <v>BHHC-PDPL-2021</v>
      </c>
      <c r="BE498" s="591" t="str">
        <f t="shared" si="38"/>
        <v>NONE</v>
      </c>
      <c r="BF498" s="594">
        <f t="shared" si="39"/>
        <v>18</v>
      </c>
    </row>
    <row r="499" spans="1:58" ht="42" customHeight="1" x14ac:dyDescent="0.45">
      <c r="A499" s="42">
        <v>450</v>
      </c>
      <c r="B499" s="412" t="s">
        <v>2354</v>
      </c>
      <c r="C499" s="44" t="s">
        <v>2355</v>
      </c>
      <c r="D499" s="44" t="s">
        <v>2191</v>
      </c>
      <c r="E499" s="412" t="s">
        <v>688</v>
      </c>
      <c r="F499" s="45" t="s">
        <v>689</v>
      </c>
      <c r="G499" s="44" t="s">
        <v>690</v>
      </c>
      <c r="H499" s="44" t="s">
        <v>691</v>
      </c>
      <c r="I499" s="46" t="s">
        <v>151</v>
      </c>
      <c r="J499" s="46" t="s">
        <v>692</v>
      </c>
      <c r="K499" s="44" t="s">
        <v>558</v>
      </c>
      <c r="L499" s="66" t="s">
        <v>559</v>
      </c>
      <c r="M499" s="44" t="s">
        <v>2363</v>
      </c>
      <c r="N499" s="54" t="s">
        <v>154</v>
      </c>
      <c r="O499" s="48" t="s">
        <v>593</v>
      </c>
      <c r="P499" s="44" t="s">
        <v>636</v>
      </c>
      <c r="Q499" s="70" t="s">
        <v>695</v>
      </c>
      <c r="R499" s="70" t="s">
        <v>696</v>
      </c>
      <c r="S499" s="71" t="s">
        <v>697</v>
      </c>
      <c r="T499" s="70" t="s">
        <v>698</v>
      </c>
      <c r="U499" s="25" t="s">
        <v>699</v>
      </c>
      <c r="V499" s="70" t="s">
        <v>700</v>
      </c>
      <c r="W499" s="72" t="s">
        <v>701</v>
      </c>
      <c r="X499" s="70" t="s">
        <v>702</v>
      </c>
      <c r="Y499" s="22" t="s">
        <v>205</v>
      </c>
      <c r="Z499" s="70" t="s">
        <v>703</v>
      </c>
      <c r="AA499" s="71" t="s">
        <v>704</v>
      </c>
      <c r="AB499" s="70" t="s">
        <v>705</v>
      </c>
      <c r="AC499" s="70" t="s">
        <v>706</v>
      </c>
      <c r="AD499" s="49" t="s">
        <v>707</v>
      </c>
      <c r="AE499" s="26" t="s">
        <v>675</v>
      </c>
      <c r="AF499" s="60" t="s">
        <v>708</v>
      </c>
      <c r="AG499" s="70" t="s">
        <v>709</v>
      </c>
      <c r="AH499" s="70" t="s">
        <v>710</v>
      </c>
      <c r="AI499" s="73" t="s">
        <v>711</v>
      </c>
      <c r="AJ499" s="70" t="s">
        <v>712</v>
      </c>
      <c r="AK499" s="74" t="s">
        <v>713</v>
      </c>
      <c r="AL499" s="75" t="s">
        <v>714</v>
      </c>
      <c r="AM499" s="76" t="s">
        <v>715</v>
      </c>
      <c r="AN499" s="50" t="s">
        <v>716</v>
      </c>
      <c r="AO499" s="77" t="s">
        <v>717</v>
      </c>
      <c r="AP499" s="51" t="s">
        <v>718</v>
      </c>
      <c r="AQ499" s="78" t="s">
        <v>719</v>
      </c>
      <c r="AR499" s="74" t="s">
        <v>720</v>
      </c>
      <c r="AS499" s="61" t="s">
        <v>721</v>
      </c>
      <c r="AT499" s="75" t="s">
        <v>722</v>
      </c>
      <c r="AU499" s="79" t="s">
        <v>723</v>
      </c>
      <c r="AV499" s="80" t="s">
        <v>724</v>
      </c>
      <c r="AW499" s="81" t="s">
        <v>725</v>
      </c>
      <c r="AX499" s="82" t="s">
        <v>726</v>
      </c>
      <c r="AY499" s="83" t="s">
        <v>727</v>
      </c>
      <c r="AZ499" s="80" t="s">
        <v>728</v>
      </c>
      <c r="BA499" s="41" t="s">
        <v>105</v>
      </c>
      <c r="BB499" s="591" t="str">
        <f t="shared" si="35"/>
        <v>DEEP</v>
      </c>
      <c r="BC499" s="591" t="str">
        <f t="shared" si="36"/>
        <v>17. Regional Health Clusters-BHHC-MOH-TELE</v>
      </c>
      <c r="BD499" s="591" t="str">
        <f t="shared" si="37"/>
        <v>BHHC-MOH-TELE</v>
      </c>
      <c r="BE499" s="591" t="str">
        <f t="shared" si="38"/>
        <v>NONE</v>
      </c>
      <c r="BF499" s="594">
        <f t="shared" si="39"/>
        <v>16</v>
      </c>
    </row>
    <row r="500" spans="1:58" ht="42" customHeight="1" x14ac:dyDescent="0.45">
      <c r="A500" s="84">
        <v>451</v>
      </c>
      <c r="B500" s="411" t="s">
        <v>2354</v>
      </c>
      <c r="C500" s="70" t="s">
        <v>2355</v>
      </c>
      <c r="D500" s="70" t="s">
        <v>2191</v>
      </c>
      <c r="E500" s="411" t="s">
        <v>1246</v>
      </c>
      <c r="F500" s="72" t="s">
        <v>2205</v>
      </c>
      <c r="G500" s="70" t="s">
        <v>2206</v>
      </c>
      <c r="H500" s="70" t="s">
        <v>633</v>
      </c>
      <c r="I500" s="71" t="s">
        <v>61</v>
      </c>
      <c r="J500" s="71" t="s">
        <v>194</v>
      </c>
      <c r="K500" s="70" t="s">
        <v>558</v>
      </c>
      <c r="L500" s="66" t="s">
        <v>559</v>
      </c>
      <c r="M500" s="70" t="s">
        <v>2364</v>
      </c>
      <c r="N500" s="86" t="s">
        <v>66</v>
      </c>
      <c r="O500" s="87" t="s">
        <v>1250</v>
      </c>
      <c r="P500" s="70" t="s">
        <v>1244</v>
      </c>
      <c r="Q500" s="70" t="s">
        <v>1252</v>
      </c>
      <c r="R500" s="70" t="s">
        <v>1253</v>
      </c>
      <c r="S500" s="71" t="s">
        <v>1254</v>
      </c>
      <c r="T500" s="70" t="s">
        <v>1255</v>
      </c>
      <c r="U500" s="25" t="s">
        <v>1256</v>
      </c>
      <c r="V500" s="70" t="s">
        <v>1257</v>
      </c>
      <c r="W500" s="72" t="s">
        <v>1258</v>
      </c>
      <c r="X500" s="70" t="s">
        <v>1259</v>
      </c>
      <c r="Y500" s="22" t="s">
        <v>205</v>
      </c>
      <c r="Z500" s="70" t="s">
        <v>1260</v>
      </c>
      <c r="AA500" s="71" t="s">
        <v>1261</v>
      </c>
      <c r="AB500" s="70" t="s">
        <v>1262</v>
      </c>
      <c r="AC500" s="70" t="s">
        <v>1263</v>
      </c>
      <c r="AD500" s="49" t="s">
        <v>650</v>
      </c>
      <c r="AE500" s="37" t="s">
        <v>1264</v>
      </c>
      <c r="AF500" s="27" t="s">
        <v>1265</v>
      </c>
      <c r="AG500" s="70" t="s">
        <v>1266</v>
      </c>
      <c r="AH500" s="70" t="s">
        <v>1267</v>
      </c>
      <c r="AI500" s="73" t="s">
        <v>215</v>
      </c>
      <c r="AJ500" s="70" t="s">
        <v>216</v>
      </c>
      <c r="AK500" s="74" t="s">
        <v>217</v>
      </c>
      <c r="AL500" s="75" t="s">
        <v>218</v>
      </c>
      <c r="AM500" s="76" t="s">
        <v>219</v>
      </c>
      <c r="AN500" s="50" t="s">
        <v>220</v>
      </c>
      <c r="AO500" s="77" t="s">
        <v>221</v>
      </c>
      <c r="AP500" s="51" t="s">
        <v>138</v>
      </c>
      <c r="AQ500" s="78" t="s">
        <v>139</v>
      </c>
      <c r="AR500" s="74" t="s">
        <v>140</v>
      </c>
      <c r="AS500" s="22" t="s">
        <v>141</v>
      </c>
      <c r="AT500" s="75" t="s">
        <v>142</v>
      </c>
      <c r="AU500" s="79" t="s">
        <v>143</v>
      </c>
      <c r="AV500" s="80" t="s">
        <v>144</v>
      </c>
      <c r="AW500" s="81" t="s">
        <v>145</v>
      </c>
      <c r="AX500" s="82" t="s">
        <v>146</v>
      </c>
      <c r="AY500" s="83" t="s">
        <v>147</v>
      </c>
      <c r="AZ500" s="80" t="s">
        <v>585</v>
      </c>
      <c r="BA500" s="41" t="s">
        <v>105</v>
      </c>
      <c r="BB500" s="591" t="str">
        <f t="shared" si="35"/>
        <v>TEMPLATE</v>
      </c>
      <c r="BC500" s="591" t="str">
        <f t="shared" si="36"/>
        <v>17. Regional Health Clusters-BHHC-NHIC-NABIDH</v>
      </c>
      <c r="BD500" s="591" t="str">
        <f t="shared" si="37"/>
        <v>BHHC-NHIC-NABIDH</v>
      </c>
      <c r="BE500" s="591" t="str">
        <f t="shared" si="38"/>
        <v>NONE</v>
      </c>
      <c r="BF500" s="594">
        <f t="shared" si="39"/>
        <v>11</v>
      </c>
    </row>
    <row r="501" spans="1:58" ht="42" customHeight="1" x14ac:dyDescent="0.45">
      <c r="A501" s="42">
        <v>452</v>
      </c>
      <c r="B501" s="412" t="s">
        <v>2354</v>
      </c>
      <c r="C501" s="44" t="s">
        <v>2355</v>
      </c>
      <c r="D501" s="44" t="s">
        <v>2191</v>
      </c>
      <c r="E501" s="412" t="s">
        <v>770</v>
      </c>
      <c r="F501" s="45" t="s">
        <v>107</v>
      </c>
      <c r="G501" s="44" t="s">
        <v>108</v>
      </c>
      <c r="H501" s="44" t="s">
        <v>106</v>
      </c>
      <c r="I501" s="46" t="s">
        <v>109</v>
      </c>
      <c r="J501" s="46" t="s">
        <v>110</v>
      </c>
      <c r="K501" s="44" t="s">
        <v>558</v>
      </c>
      <c r="L501" s="66" t="s">
        <v>559</v>
      </c>
      <c r="M501" s="44" t="s">
        <v>2365</v>
      </c>
      <c r="N501" s="47" t="s">
        <v>66</v>
      </c>
      <c r="O501" s="48" t="s">
        <v>196</v>
      </c>
      <c r="P501" s="44" t="s">
        <v>2209</v>
      </c>
      <c r="Q501" s="70" t="s">
        <v>562</v>
      </c>
      <c r="R501" s="70" t="s">
        <v>563</v>
      </c>
      <c r="S501" s="71" t="s">
        <v>564</v>
      </c>
      <c r="T501" s="70" t="s">
        <v>565</v>
      </c>
      <c r="U501" s="25" t="s">
        <v>566</v>
      </c>
      <c r="V501" s="70" t="s">
        <v>282</v>
      </c>
      <c r="W501" s="72" t="s">
        <v>283</v>
      </c>
      <c r="X501" s="70" t="s">
        <v>284</v>
      </c>
      <c r="Y501" s="49" t="s">
        <v>285</v>
      </c>
      <c r="Z501" s="70" t="s">
        <v>286</v>
      </c>
      <c r="AA501" s="71" t="s">
        <v>286</v>
      </c>
      <c r="AB501" s="70" t="s">
        <v>287</v>
      </c>
      <c r="AC501" s="70" t="s">
        <v>288</v>
      </c>
      <c r="AD501" s="49" t="s">
        <v>289</v>
      </c>
      <c r="AE501" s="58" t="s">
        <v>290</v>
      </c>
      <c r="AF501" s="56" t="s">
        <v>291</v>
      </c>
      <c r="AG501" s="70" t="s">
        <v>292</v>
      </c>
      <c r="AH501" s="70" t="s">
        <v>293</v>
      </c>
      <c r="AI501" s="73" t="s">
        <v>215</v>
      </c>
      <c r="AJ501" s="70" t="s">
        <v>216</v>
      </c>
      <c r="AK501" s="74" t="s">
        <v>217</v>
      </c>
      <c r="AL501" s="75" t="s">
        <v>218</v>
      </c>
      <c r="AM501" s="76" t="s">
        <v>219</v>
      </c>
      <c r="AN501" s="50" t="s">
        <v>220</v>
      </c>
      <c r="AO501" s="77" t="s">
        <v>221</v>
      </c>
      <c r="AP501" s="53" t="s">
        <v>773</v>
      </c>
      <c r="AQ501" s="78" t="s">
        <v>774</v>
      </c>
      <c r="AR501" s="74" t="s">
        <v>775</v>
      </c>
      <c r="AS501" s="22" t="s">
        <v>776</v>
      </c>
      <c r="AT501" s="75" t="s">
        <v>777</v>
      </c>
      <c r="AU501" s="79" t="s">
        <v>778</v>
      </c>
      <c r="AV501" s="80" t="s">
        <v>779</v>
      </c>
      <c r="AW501" s="81" t="s">
        <v>780</v>
      </c>
      <c r="AX501" s="82" t="s">
        <v>781</v>
      </c>
      <c r="AY501" s="83" t="s">
        <v>782</v>
      </c>
      <c r="AZ501" s="80" t="s">
        <v>104</v>
      </c>
      <c r="BA501" s="41" t="s">
        <v>105</v>
      </c>
    </row>
  </sheetData>
  <conditionalFormatting sqref="N4:N500">
    <cfRule type="containsText" dxfId="14" priority="1" operator="containsText" text="HIGHEST">
      <formula>NOT(ISERROR(SEARCH("HIGHEST",N4)))</formula>
    </cfRule>
  </conditionalFormatting>
  <conditionalFormatting sqref="N4:N500">
    <cfRule type="containsText" dxfId="13" priority="2" operator="containsText" text="HIGH">
      <formula>NOT(ISERROR(SEARCH("HIGH",N4)))</formula>
    </cfRule>
  </conditionalFormatting>
  <conditionalFormatting sqref="N4:N500">
    <cfRule type="containsText" dxfId="12" priority="3" operator="containsText" text="MODERATE">
      <formula>NOT(ISERROR(SEARCH("MODERATE",N4)))</formula>
    </cfRule>
  </conditionalFormatting>
  <conditionalFormatting sqref="N4:N500">
    <cfRule type="containsText" dxfId="11" priority="4" operator="containsText" text="LOW">
      <formula>NOT(ISERROR(SEARCH("LOW",N4)))</formula>
    </cfRule>
  </conditionalFormatting>
  <conditionalFormatting sqref="N4:N500">
    <cfRule type="containsText" dxfId="10" priority="5" operator="containsText" text="HIGHEST">
      <formula>NOT(ISERROR(SEARCH("HIGHEST",N4)))</formula>
    </cfRule>
  </conditionalFormatting>
  <conditionalFormatting sqref="N4:N500">
    <cfRule type="containsText" dxfId="9" priority="6" operator="containsText" text="HIGH">
      <formula>NOT(ISERROR(SEARCH("HIGH",N4)))</formula>
    </cfRule>
  </conditionalFormatting>
  <conditionalFormatting sqref="N4:N500">
    <cfRule type="containsText" dxfId="8" priority="7" operator="containsText" text="MODERATE">
      <formula>NOT(ISERROR(SEARCH("MODERATE",N4)))</formula>
    </cfRule>
  </conditionalFormatting>
  <conditionalFormatting sqref="N4:N500">
    <cfRule type="containsText" dxfId="7" priority="8" operator="containsText" text="LOW">
      <formula>NOT(ISERROR(SEARCH("LOW",N4)))</formula>
    </cfRule>
  </conditionalFormatting>
  <conditionalFormatting sqref="N4:N100">
    <cfRule type="containsText" dxfId="6" priority="9" operator="containsText" text="HIGHEST">
      <formula>NOT(ISERROR(SEARCH("HIGHEST",N4)))</formula>
    </cfRule>
  </conditionalFormatting>
  <conditionalFormatting sqref="N4:N100">
    <cfRule type="containsText" dxfId="5" priority="10" operator="containsText" text="LOW">
      <formula>NOT(ISERROR(SEARCH("LOW",N4)))</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8"/>
  <sheetViews>
    <sheetView zoomScaleNormal="100" workbookViewId="0">
      <pane ySplit="1" topLeftCell="A111" activePane="bottomLeft" state="frozen"/>
      <selection pane="bottomLeft" sqref="A1:XFD1048576"/>
    </sheetView>
  </sheetViews>
  <sheetFormatPr defaultColWidth="8.6640625" defaultRowHeight="14.25" x14ac:dyDescent="0.45"/>
  <cols>
    <col min="1" max="1" width="12" customWidth="1"/>
    <col min="2" max="2" width="34" customWidth="1"/>
    <col min="3" max="3" width="26" customWidth="1"/>
    <col min="4" max="5" width="10" customWidth="1"/>
    <col min="6" max="6" width="8" customWidth="1"/>
    <col min="7" max="7" width="9" customWidth="1"/>
    <col min="8" max="8" width="72" customWidth="1"/>
    <col min="9" max="9" width="34" customWidth="1"/>
  </cols>
  <sheetData>
    <row r="1" spans="1:16" ht="32.25" customHeight="1" x14ac:dyDescent="0.45">
      <c r="A1" s="5" t="s">
        <v>2366</v>
      </c>
      <c r="B1" s="5" t="s">
        <v>2</v>
      </c>
      <c r="C1" s="5" t="s">
        <v>3</v>
      </c>
      <c r="D1" s="5" t="s">
        <v>2367</v>
      </c>
      <c r="E1" s="5" t="s">
        <v>2368</v>
      </c>
      <c r="F1" s="5" t="s">
        <v>2369</v>
      </c>
      <c r="G1" s="5" t="s">
        <v>2370</v>
      </c>
      <c r="H1" s="5" t="s">
        <v>2371</v>
      </c>
      <c r="I1" s="5" t="s">
        <v>2372</v>
      </c>
      <c r="J1" s="674" t="s">
        <v>4124</v>
      </c>
      <c r="K1" s="674" t="s">
        <v>4032</v>
      </c>
      <c r="L1" s="674" t="s">
        <v>4770</v>
      </c>
      <c r="M1" s="674" t="s">
        <v>4771</v>
      </c>
      <c r="N1" s="674" t="s">
        <v>4772</v>
      </c>
      <c r="O1" s="674" t="s">
        <v>4773</v>
      </c>
      <c r="P1" s="674" t="s">
        <v>4774</v>
      </c>
    </row>
    <row r="2" spans="1:16" ht="36" customHeight="1" x14ac:dyDescent="0.45">
      <c r="A2" s="18" t="s">
        <v>54</v>
      </c>
      <c r="B2" s="20" t="s">
        <v>55</v>
      </c>
      <c r="C2" s="19" t="s">
        <v>56</v>
      </c>
      <c r="D2" s="19">
        <v>13</v>
      </c>
      <c r="E2" s="19">
        <v>0</v>
      </c>
      <c r="F2" s="19">
        <v>13</v>
      </c>
      <c r="G2" s="19">
        <v>3</v>
      </c>
      <c r="H2" s="19" t="s">
        <v>2373</v>
      </c>
      <c r="I2" s="19" t="s">
        <v>67</v>
      </c>
      <c r="J2" s="594">
        <f>(D2*3)+(G2*5)+(F2*1)</f>
        <v>67</v>
      </c>
      <c r="K2" s="591" t="str">
        <f>IF(J2&gt;=50,"🔴 TIER 1",IF(J2&gt;=25,"🟠 TIER 2",IF(J2&gt;=10,"🟡 TIER 3","🟢 TIER 4")))</f>
        <v>🔴 TIER 1</v>
      </c>
      <c r="L2" s="591">
        <f>COUNTIFS('All 108 Regulators - Frameworks'!B$4:B$500,A2,'All 108 Regulators - Frameworks'!BB$4:BB$500,"DEEP")</f>
        <v>4</v>
      </c>
      <c r="M2" s="591">
        <f>COUNTIFS('All 108 Regulators - Frameworks'!B$4:B$500,A2,'All 108 Regulators - Frameworks'!BB$4:BB$500,"TEMPLATE")</f>
        <v>9</v>
      </c>
      <c r="N2" s="675">
        <f>IFERROR(L2/(L2+M2),0)</f>
        <v>0.30769230769230771</v>
      </c>
      <c r="O2" s="675">
        <f>IFERROR(G2/F2,0)</f>
        <v>0.23076923076923078</v>
      </c>
      <c r="P2" s="608">
        <f>IFERROR(AVERAGEIFS('All 108 Regulators - Frameworks'!BF$4:BF$500,'All 108 Regulators - Frameworks'!B$4:B$500,A2),0)</f>
        <v>10.384615384615385</v>
      </c>
    </row>
    <row r="3" spans="1:16" ht="36" customHeight="1" x14ac:dyDescent="0.45">
      <c r="A3" s="18" t="s">
        <v>380</v>
      </c>
      <c r="B3" s="20" t="s">
        <v>381</v>
      </c>
      <c r="C3" s="19" t="s">
        <v>56</v>
      </c>
      <c r="D3" s="19">
        <v>11</v>
      </c>
      <c r="E3" s="19">
        <v>1</v>
      </c>
      <c r="F3" s="19">
        <v>12</v>
      </c>
      <c r="G3" s="19">
        <v>5</v>
      </c>
      <c r="H3" s="19" t="s">
        <v>2374</v>
      </c>
      <c r="I3" s="19" t="s">
        <v>388</v>
      </c>
      <c r="J3" s="594">
        <f t="shared" ref="J3:J66" si="0">(D3*3)+(G3*5)+(F3*1)</f>
        <v>70</v>
      </c>
      <c r="K3" s="591" t="str">
        <f t="shared" ref="K3:K66" si="1">IF(J3&gt;=50,"🔴 TIER 1",IF(J3&gt;=25,"🟠 TIER 2",IF(J3&gt;=10,"🟡 TIER 3","🟢 TIER 4")))</f>
        <v>🔴 TIER 1</v>
      </c>
      <c r="L3" s="591">
        <f>COUNTIFS('All 108 Regulators - Frameworks'!B$4:B$500,A3,'All 108 Regulators - Frameworks'!BB$4:BB$500,"DEEP")</f>
        <v>5</v>
      </c>
      <c r="M3" s="591">
        <f>COUNTIFS('All 108 Regulators - Frameworks'!B$4:B$500,A3,'All 108 Regulators - Frameworks'!BB$4:BB$500,"TEMPLATE")</f>
        <v>7</v>
      </c>
      <c r="N3" s="675">
        <f t="shared" ref="N3:N66" si="2">IFERROR(L3/(L3+M3),0)</f>
        <v>0.41666666666666669</v>
      </c>
      <c r="O3" s="675">
        <f t="shared" ref="O3:O66" si="3">IFERROR(G3/F3,0)</f>
        <v>0.41666666666666669</v>
      </c>
      <c r="P3" s="608">
        <f>IFERROR(AVERAGEIFS('All 108 Regulators - Frameworks'!BF$4:BF$500,'All 108 Regulators - Frameworks'!B$4:B$500,A3),0)</f>
        <v>11.25</v>
      </c>
    </row>
    <row r="4" spans="1:16" ht="36" customHeight="1" x14ac:dyDescent="0.45">
      <c r="A4" s="85" t="s">
        <v>569</v>
      </c>
      <c r="B4" s="72" t="s">
        <v>570</v>
      </c>
      <c r="C4" s="70" t="s">
        <v>571</v>
      </c>
      <c r="D4" s="70">
        <v>9</v>
      </c>
      <c r="E4" s="70">
        <v>4</v>
      </c>
      <c r="F4" s="70">
        <v>13</v>
      </c>
      <c r="G4" s="70">
        <v>8</v>
      </c>
      <c r="H4" s="70" t="s">
        <v>2375</v>
      </c>
      <c r="I4" s="70" t="s">
        <v>578</v>
      </c>
      <c r="J4" s="594">
        <f t="shared" si="0"/>
        <v>80</v>
      </c>
      <c r="K4" s="591" t="str">
        <f t="shared" si="1"/>
        <v>🔴 TIER 1</v>
      </c>
      <c r="L4" s="591">
        <f>COUNTIFS('All 108 Regulators - Frameworks'!B$4:B$500,A4,'All 108 Regulators - Frameworks'!BB$4:BB$500,"DEEP")</f>
        <v>8</v>
      </c>
      <c r="M4" s="591">
        <f>COUNTIFS('All 108 Regulators - Frameworks'!B$4:B$500,A4,'All 108 Regulators - Frameworks'!BB$4:BB$500,"TEMPLATE")</f>
        <v>5</v>
      </c>
      <c r="N4" s="675">
        <f t="shared" si="2"/>
        <v>0.61538461538461542</v>
      </c>
      <c r="O4" s="675">
        <f t="shared" si="3"/>
        <v>0.61538461538461542</v>
      </c>
      <c r="P4" s="608">
        <f>IFERROR(AVERAGEIFS('All 108 Regulators - Frameworks'!BF$4:BF$500,'All 108 Regulators - Frameworks'!B$4:B$500,A4),0)</f>
        <v>14.538461538461538</v>
      </c>
    </row>
    <row r="5" spans="1:16" ht="36" customHeight="1" x14ac:dyDescent="0.45">
      <c r="A5" s="85" t="s">
        <v>783</v>
      </c>
      <c r="B5" s="72" t="s">
        <v>784</v>
      </c>
      <c r="C5" s="70" t="s">
        <v>571</v>
      </c>
      <c r="D5" s="70">
        <v>9</v>
      </c>
      <c r="E5" s="70">
        <v>2</v>
      </c>
      <c r="F5" s="70">
        <v>11</v>
      </c>
      <c r="G5" s="70">
        <v>5</v>
      </c>
      <c r="H5" s="70" t="s">
        <v>2376</v>
      </c>
      <c r="I5" s="70" t="s">
        <v>792</v>
      </c>
      <c r="J5" s="594">
        <f t="shared" si="0"/>
        <v>63</v>
      </c>
      <c r="K5" s="591" t="str">
        <f t="shared" si="1"/>
        <v>🔴 TIER 1</v>
      </c>
      <c r="L5" s="591">
        <f>COUNTIFS('All 108 Regulators - Frameworks'!B$4:B$500,A5,'All 108 Regulators - Frameworks'!BB$4:BB$500,"DEEP")</f>
        <v>6</v>
      </c>
      <c r="M5" s="591">
        <f>COUNTIFS('All 108 Regulators - Frameworks'!B$4:B$500,A5,'All 108 Regulators - Frameworks'!BB$4:BB$500,"TEMPLATE")</f>
        <v>5</v>
      </c>
      <c r="N5" s="675">
        <f t="shared" si="2"/>
        <v>0.54545454545454541</v>
      </c>
      <c r="O5" s="675">
        <f t="shared" si="3"/>
        <v>0.45454545454545453</v>
      </c>
      <c r="P5" s="608">
        <f>IFERROR(AVERAGEIFS('All 108 Regulators - Frameworks'!BF$4:BF$500,'All 108 Regulators - Frameworks'!B$4:B$500,A5),0)</f>
        <v>12.909090909090908</v>
      </c>
    </row>
    <row r="6" spans="1:16" ht="36" customHeight="1" x14ac:dyDescent="0.45">
      <c r="A6" s="85" t="s">
        <v>928</v>
      </c>
      <c r="B6" s="72" t="s">
        <v>929</v>
      </c>
      <c r="C6" s="70" t="s">
        <v>571</v>
      </c>
      <c r="D6" s="70">
        <v>5</v>
      </c>
      <c r="E6" s="70">
        <v>2</v>
      </c>
      <c r="F6" s="70">
        <v>7</v>
      </c>
      <c r="G6" s="70">
        <v>1</v>
      </c>
      <c r="H6" s="70" t="s">
        <v>2377</v>
      </c>
      <c r="I6" s="70" t="s">
        <v>937</v>
      </c>
      <c r="J6" s="594">
        <f t="shared" si="0"/>
        <v>27</v>
      </c>
      <c r="K6" s="591" t="str">
        <f t="shared" si="1"/>
        <v>🟠 TIER 2</v>
      </c>
      <c r="L6" s="591">
        <f>COUNTIFS('All 108 Regulators - Frameworks'!B$4:B$500,A6,'All 108 Regulators - Frameworks'!BB$4:BB$500,"DEEP")</f>
        <v>2</v>
      </c>
      <c r="M6" s="591">
        <f>COUNTIFS('All 108 Regulators - Frameworks'!B$4:B$500,A6,'All 108 Regulators - Frameworks'!BB$4:BB$500,"TEMPLATE")</f>
        <v>5</v>
      </c>
      <c r="N6" s="675">
        <f t="shared" si="2"/>
        <v>0.2857142857142857</v>
      </c>
      <c r="O6" s="675">
        <f t="shared" si="3"/>
        <v>0.14285714285714285</v>
      </c>
      <c r="P6" s="608">
        <f>IFERROR(AVERAGEIFS('All 108 Regulators - Frameworks'!BF$4:BF$500,'All 108 Regulators - Frameworks'!B$4:B$500,A6),0)</f>
        <v>9.1428571428571423</v>
      </c>
    </row>
    <row r="7" spans="1:16" ht="36" customHeight="1" x14ac:dyDescent="0.45">
      <c r="A7" s="85" t="s">
        <v>1018</v>
      </c>
      <c r="B7" s="72" t="s">
        <v>1019</v>
      </c>
      <c r="C7" s="70" t="s">
        <v>571</v>
      </c>
      <c r="D7" s="70">
        <v>5</v>
      </c>
      <c r="E7" s="70">
        <v>2</v>
      </c>
      <c r="F7" s="70">
        <v>7</v>
      </c>
      <c r="G7" s="70">
        <v>0</v>
      </c>
      <c r="H7" s="70" t="s">
        <v>2378</v>
      </c>
      <c r="I7" s="70" t="s">
        <v>1026</v>
      </c>
      <c r="J7" s="594">
        <f t="shared" si="0"/>
        <v>22</v>
      </c>
      <c r="K7" s="591" t="str">
        <f t="shared" si="1"/>
        <v>🟡 TIER 3</v>
      </c>
      <c r="L7" s="591">
        <f>COUNTIFS('All 108 Regulators - Frameworks'!B$4:B$500,A7,'All 108 Regulators - Frameworks'!BB$4:BB$500,"DEEP")</f>
        <v>1</v>
      </c>
      <c r="M7" s="591">
        <f>COUNTIFS('All 108 Regulators - Frameworks'!B$4:B$500,A7,'All 108 Regulators - Frameworks'!BB$4:BB$500,"TEMPLATE")</f>
        <v>6</v>
      </c>
      <c r="N7" s="675">
        <f t="shared" si="2"/>
        <v>0.14285714285714285</v>
      </c>
      <c r="O7" s="675">
        <f t="shared" si="3"/>
        <v>0</v>
      </c>
      <c r="P7" s="608">
        <f>IFERROR(AVERAGEIFS('All 108 Regulators - Frameworks'!BF$4:BF$500,'All 108 Regulators - Frameworks'!B$4:B$500,A7),0)</f>
        <v>8.5714285714285712</v>
      </c>
    </row>
    <row r="8" spans="1:16" ht="36" customHeight="1" x14ac:dyDescent="0.45">
      <c r="A8" s="85" t="s">
        <v>1083</v>
      </c>
      <c r="B8" s="72" t="s">
        <v>1084</v>
      </c>
      <c r="C8" s="70" t="s">
        <v>571</v>
      </c>
      <c r="D8" s="70">
        <v>5</v>
      </c>
      <c r="E8" s="70">
        <v>3</v>
      </c>
      <c r="F8" s="70">
        <v>8</v>
      </c>
      <c r="G8" s="70">
        <v>0</v>
      </c>
      <c r="H8" s="70" t="s">
        <v>2379</v>
      </c>
      <c r="I8" s="70" t="s">
        <v>1091</v>
      </c>
      <c r="J8" s="594">
        <f t="shared" si="0"/>
        <v>23</v>
      </c>
      <c r="K8" s="591" t="str">
        <f t="shared" si="1"/>
        <v>🟡 TIER 3</v>
      </c>
      <c r="L8" s="591">
        <f>COUNTIFS('All 108 Regulators - Frameworks'!B$4:B$500,A8,'All 108 Regulators - Frameworks'!BB$4:BB$500,"DEEP")</f>
        <v>2</v>
      </c>
      <c r="M8" s="591">
        <f>COUNTIFS('All 108 Regulators - Frameworks'!B$4:B$500,A8,'All 108 Regulators - Frameworks'!BB$4:BB$500,"TEMPLATE")</f>
        <v>6</v>
      </c>
      <c r="N8" s="675">
        <f t="shared" si="2"/>
        <v>0.25</v>
      </c>
      <c r="O8" s="675">
        <f t="shared" si="3"/>
        <v>0</v>
      </c>
      <c r="P8" s="608">
        <f>IFERROR(AVERAGEIFS('All 108 Regulators - Frameworks'!BF$4:BF$500,'All 108 Regulators - Frameworks'!B$4:B$500,A8),0)</f>
        <v>10</v>
      </c>
    </row>
    <row r="9" spans="1:16" ht="36" customHeight="1" x14ac:dyDescent="0.45">
      <c r="A9" s="85" t="s">
        <v>1196</v>
      </c>
      <c r="B9" s="72" t="s">
        <v>1197</v>
      </c>
      <c r="C9" s="70" t="s">
        <v>571</v>
      </c>
      <c r="D9" s="70">
        <v>4</v>
      </c>
      <c r="E9" s="70">
        <v>1</v>
      </c>
      <c r="F9" s="70">
        <v>5</v>
      </c>
      <c r="G9" s="70">
        <v>1</v>
      </c>
      <c r="H9" s="70" t="s">
        <v>2380</v>
      </c>
      <c r="I9" s="70" t="s">
        <v>1204</v>
      </c>
      <c r="J9" s="594">
        <f t="shared" si="0"/>
        <v>22</v>
      </c>
      <c r="K9" s="591" t="str">
        <f t="shared" si="1"/>
        <v>🟡 TIER 3</v>
      </c>
      <c r="L9" s="591">
        <f>COUNTIFS('All 108 Regulators - Frameworks'!B$4:B$500,A9,'All 108 Regulators - Frameworks'!BB$4:BB$500,"DEEP")</f>
        <v>1</v>
      </c>
      <c r="M9" s="591">
        <f>COUNTIFS('All 108 Regulators - Frameworks'!B$4:B$500,A9,'All 108 Regulators - Frameworks'!BB$4:BB$500,"TEMPLATE")</f>
        <v>4</v>
      </c>
      <c r="N9" s="675">
        <f t="shared" si="2"/>
        <v>0.2</v>
      </c>
      <c r="O9" s="675">
        <f t="shared" si="3"/>
        <v>0.2</v>
      </c>
      <c r="P9" s="608">
        <f>IFERROR(AVERAGEIFS('All 108 Regulators - Frameworks'!BF$4:BF$500,'All 108 Regulators - Frameworks'!B$4:B$500,A9),0)</f>
        <v>8.6</v>
      </c>
    </row>
    <row r="10" spans="1:16" ht="36" customHeight="1" x14ac:dyDescent="0.45">
      <c r="A10" s="85" t="s">
        <v>1244</v>
      </c>
      <c r="B10" s="72" t="s">
        <v>1245</v>
      </c>
      <c r="C10" s="70" t="s">
        <v>571</v>
      </c>
      <c r="D10" s="70">
        <v>4</v>
      </c>
      <c r="E10" s="70">
        <v>2</v>
      </c>
      <c r="F10" s="70">
        <v>6</v>
      </c>
      <c r="G10" s="70">
        <v>4</v>
      </c>
      <c r="H10" s="70" t="s">
        <v>2381</v>
      </c>
      <c r="I10" s="70" t="s">
        <v>1250</v>
      </c>
      <c r="J10" s="594">
        <f t="shared" si="0"/>
        <v>38</v>
      </c>
      <c r="K10" s="591" t="str">
        <f t="shared" si="1"/>
        <v>🟠 TIER 2</v>
      </c>
      <c r="L10" s="591">
        <f>COUNTIFS('All 108 Regulators - Frameworks'!B$4:B$500,A10,'All 108 Regulators - Frameworks'!BB$4:BB$500,"DEEP")</f>
        <v>4</v>
      </c>
      <c r="M10" s="591">
        <f>COUNTIFS('All 108 Regulators - Frameworks'!B$4:B$500,A10,'All 108 Regulators - Frameworks'!BB$4:BB$500,"TEMPLATE")</f>
        <v>2</v>
      </c>
      <c r="N10" s="675">
        <f t="shared" si="2"/>
        <v>0.66666666666666663</v>
      </c>
      <c r="O10" s="675">
        <f t="shared" si="3"/>
        <v>0.66666666666666663</v>
      </c>
      <c r="P10" s="608">
        <f>IFERROR(AVERAGEIFS('All 108 Regulators - Frameworks'!BF$4:BF$500,'All 108 Regulators - Frameworks'!B$4:B$500,A10),0)</f>
        <v>15</v>
      </c>
    </row>
    <row r="11" spans="1:16" ht="36" customHeight="1" x14ac:dyDescent="0.45">
      <c r="A11" s="97" t="s">
        <v>1286</v>
      </c>
      <c r="B11" s="99" t="s">
        <v>1287</v>
      </c>
      <c r="C11" s="98" t="s">
        <v>1288</v>
      </c>
      <c r="D11" s="98">
        <v>8</v>
      </c>
      <c r="E11" s="98">
        <v>2</v>
      </c>
      <c r="F11" s="98">
        <v>10</v>
      </c>
      <c r="G11" s="98">
        <v>0</v>
      </c>
      <c r="H11" s="98" t="s">
        <v>2382</v>
      </c>
      <c r="I11" s="98" t="s">
        <v>1292</v>
      </c>
      <c r="J11" s="594">
        <f t="shared" si="0"/>
        <v>34</v>
      </c>
      <c r="K11" s="591" t="str">
        <f t="shared" si="1"/>
        <v>🟠 TIER 2</v>
      </c>
      <c r="L11" s="591">
        <f>COUNTIFS('All 108 Regulators - Frameworks'!B$4:B$500,A11,'All 108 Regulators - Frameworks'!BB$4:BB$500,"DEEP")</f>
        <v>2</v>
      </c>
      <c r="M11" s="591">
        <f>COUNTIFS('All 108 Regulators - Frameworks'!B$4:B$500,A11,'All 108 Regulators - Frameworks'!BB$4:BB$500,"TEMPLATE")</f>
        <v>8</v>
      </c>
      <c r="N11" s="675">
        <f t="shared" si="2"/>
        <v>0.2</v>
      </c>
      <c r="O11" s="675">
        <f t="shared" si="3"/>
        <v>0</v>
      </c>
      <c r="P11" s="608">
        <f>IFERROR(AVERAGEIFS('All 108 Regulators - Frameworks'!BF$4:BF$500,'All 108 Regulators - Frameworks'!B$4:B$500,A11),0)</f>
        <v>8</v>
      </c>
    </row>
    <row r="12" spans="1:16" ht="36" customHeight="1" x14ac:dyDescent="0.45">
      <c r="A12" s="120" t="s">
        <v>1340</v>
      </c>
      <c r="B12" s="122" t="s">
        <v>1341</v>
      </c>
      <c r="C12" s="121" t="s">
        <v>1342</v>
      </c>
      <c r="D12" s="121">
        <v>9</v>
      </c>
      <c r="E12" s="121">
        <v>1</v>
      </c>
      <c r="F12" s="121">
        <v>10</v>
      </c>
      <c r="G12" s="121">
        <v>1</v>
      </c>
      <c r="H12" s="121" t="s">
        <v>2383</v>
      </c>
      <c r="I12" s="121" t="s">
        <v>1348</v>
      </c>
      <c r="J12" s="594">
        <f t="shared" si="0"/>
        <v>42</v>
      </c>
      <c r="K12" s="591" t="str">
        <f t="shared" si="1"/>
        <v>🟠 TIER 2</v>
      </c>
      <c r="L12" s="591">
        <f>COUNTIFS('All 108 Regulators - Frameworks'!B$4:B$500,A12,'All 108 Regulators - Frameworks'!BB$4:BB$500,"DEEP")</f>
        <v>1</v>
      </c>
      <c r="M12" s="591">
        <f>COUNTIFS('All 108 Regulators - Frameworks'!B$4:B$500,A12,'All 108 Regulators - Frameworks'!BB$4:BB$500,"TEMPLATE")</f>
        <v>9</v>
      </c>
      <c r="N12" s="675">
        <f t="shared" si="2"/>
        <v>0.1</v>
      </c>
      <c r="O12" s="675">
        <f t="shared" si="3"/>
        <v>0.1</v>
      </c>
      <c r="P12" s="608">
        <f>IFERROR(AVERAGEIFS('All 108 Regulators - Frameworks'!BF$4:BF$500,'All 108 Regulators - Frameworks'!B$4:B$500,A12),0)</f>
        <v>9.4</v>
      </c>
    </row>
    <row r="13" spans="1:16" ht="36" customHeight="1" x14ac:dyDescent="0.45">
      <c r="A13" s="120" t="s">
        <v>1429</v>
      </c>
      <c r="B13" s="122" t="s">
        <v>1430</v>
      </c>
      <c r="C13" s="121" t="s">
        <v>1342</v>
      </c>
      <c r="D13" s="121">
        <v>5</v>
      </c>
      <c r="E13" s="121">
        <v>1</v>
      </c>
      <c r="F13" s="121">
        <v>6</v>
      </c>
      <c r="G13" s="121">
        <v>0</v>
      </c>
      <c r="H13" s="121" t="s">
        <v>2384</v>
      </c>
      <c r="I13" s="121" t="s">
        <v>1435</v>
      </c>
      <c r="J13" s="594">
        <f t="shared" si="0"/>
        <v>21</v>
      </c>
      <c r="K13" s="591" t="str">
        <f t="shared" si="1"/>
        <v>🟡 TIER 3</v>
      </c>
      <c r="L13" s="591">
        <f>COUNTIFS('All 108 Regulators - Frameworks'!B$4:B$500,A13,'All 108 Regulators - Frameworks'!BB$4:BB$500,"DEEP")</f>
        <v>0</v>
      </c>
      <c r="M13" s="591">
        <f>COUNTIFS('All 108 Regulators - Frameworks'!B$4:B$500,A13,'All 108 Regulators - Frameworks'!BB$4:BB$500,"TEMPLATE")</f>
        <v>6</v>
      </c>
      <c r="N13" s="675">
        <f t="shared" si="2"/>
        <v>0</v>
      </c>
      <c r="O13" s="675">
        <f t="shared" si="3"/>
        <v>0</v>
      </c>
      <c r="P13" s="608">
        <f>IFERROR(AVERAGEIFS('All 108 Regulators - Frameworks'!BF$4:BF$500,'All 108 Regulators - Frameworks'!B$4:B$500,A13),0)</f>
        <v>7.666666666666667</v>
      </c>
    </row>
    <row r="14" spans="1:16" ht="36" customHeight="1" x14ac:dyDescent="0.45">
      <c r="A14" s="144" t="s">
        <v>1465</v>
      </c>
      <c r="B14" s="146" t="s">
        <v>1466</v>
      </c>
      <c r="C14" s="145" t="s">
        <v>1467</v>
      </c>
      <c r="D14" s="145">
        <v>5</v>
      </c>
      <c r="E14" s="145">
        <v>1</v>
      </c>
      <c r="F14" s="145">
        <v>6</v>
      </c>
      <c r="G14" s="145">
        <v>0</v>
      </c>
      <c r="H14" s="145" t="s">
        <v>2385</v>
      </c>
      <c r="I14" s="145" t="s">
        <v>1473</v>
      </c>
      <c r="J14" s="594">
        <f t="shared" si="0"/>
        <v>21</v>
      </c>
      <c r="K14" s="591" t="str">
        <f t="shared" si="1"/>
        <v>🟡 TIER 3</v>
      </c>
      <c r="L14" s="591">
        <f>COUNTIFS('All 108 Regulators - Frameworks'!B$4:B$500,A14,'All 108 Regulators - Frameworks'!BB$4:BB$500,"DEEP")</f>
        <v>0</v>
      </c>
      <c r="M14" s="591">
        <f>COUNTIFS('All 108 Regulators - Frameworks'!B$4:B$500,A14,'All 108 Regulators - Frameworks'!BB$4:BB$500,"TEMPLATE")</f>
        <v>6</v>
      </c>
      <c r="N14" s="675">
        <f t="shared" si="2"/>
        <v>0</v>
      </c>
      <c r="O14" s="675">
        <f t="shared" si="3"/>
        <v>0</v>
      </c>
      <c r="P14" s="608">
        <f>IFERROR(AVERAGEIFS('All 108 Regulators - Frameworks'!BF$4:BF$500,'All 108 Regulators - Frameworks'!B$4:B$500,A14),0)</f>
        <v>6.666666666666667</v>
      </c>
    </row>
    <row r="15" spans="1:16" ht="36" customHeight="1" x14ac:dyDescent="0.45">
      <c r="A15" s="167" t="s">
        <v>1510</v>
      </c>
      <c r="B15" s="169" t="s">
        <v>1511</v>
      </c>
      <c r="C15" s="168" t="s">
        <v>1512</v>
      </c>
      <c r="D15" s="168">
        <v>4</v>
      </c>
      <c r="E15" s="168">
        <v>1</v>
      </c>
      <c r="F15" s="168">
        <v>5</v>
      </c>
      <c r="G15" s="168">
        <v>0</v>
      </c>
      <c r="H15" s="168" t="s">
        <v>2386</v>
      </c>
      <c r="I15" s="168" t="s">
        <v>1520</v>
      </c>
      <c r="J15" s="594">
        <f t="shared" si="0"/>
        <v>17</v>
      </c>
      <c r="K15" s="591" t="str">
        <f t="shared" si="1"/>
        <v>🟡 TIER 3</v>
      </c>
      <c r="L15" s="591">
        <f>COUNTIFS('All 108 Regulators - Frameworks'!B$4:B$500,A15,'All 108 Regulators - Frameworks'!BB$4:BB$500,"DEEP")</f>
        <v>0</v>
      </c>
      <c r="M15" s="591">
        <f>COUNTIFS('All 108 Regulators - Frameworks'!B$4:B$500,A15,'All 108 Regulators - Frameworks'!BB$4:BB$500,"TEMPLATE")</f>
        <v>5</v>
      </c>
      <c r="N15" s="675">
        <f t="shared" si="2"/>
        <v>0</v>
      </c>
      <c r="O15" s="675">
        <f t="shared" si="3"/>
        <v>0</v>
      </c>
      <c r="P15" s="608">
        <f>IFERROR(AVERAGEIFS('All 108 Regulators - Frameworks'!BF$4:BF$500,'All 108 Regulators - Frameworks'!B$4:B$500,A15),0)</f>
        <v>8</v>
      </c>
    </row>
    <row r="16" spans="1:16" ht="36" customHeight="1" x14ac:dyDescent="0.45">
      <c r="A16" s="205" t="s">
        <v>1560</v>
      </c>
      <c r="B16" s="192" t="s">
        <v>1561</v>
      </c>
      <c r="C16" s="190" t="s">
        <v>1562</v>
      </c>
      <c r="D16" s="190">
        <v>4</v>
      </c>
      <c r="E16" s="190">
        <v>1</v>
      </c>
      <c r="F16" s="190">
        <v>5</v>
      </c>
      <c r="G16" s="190">
        <v>0</v>
      </c>
      <c r="H16" s="190" t="s">
        <v>2387</v>
      </c>
      <c r="I16" s="190" t="s">
        <v>1568</v>
      </c>
      <c r="J16" s="594">
        <f t="shared" si="0"/>
        <v>17</v>
      </c>
      <c r="K16" s="591" t="str">
        <f t="shared" si="1"/>
        <v>🟡 TIER 3</v>
      </c>
      <c r="L16" s="591">
        <f>COUNTIFS('All 108 Regulators - Frameworks'!B$4:B$500,A16,'All 108 Regulators - Frameworks'!BB$4:BB$500,"DEEP")</f>
        <v>0</v>
      </c>
      <c r="M16" s="591">
        <f>COUNTIFS('All 108 Regulators - Frameworks'!B$4:B$500,A16,'All 108 Regulators - Frameworks'!BB$4:BB$500,"TEMPLATE")</f>
        <v>5</v>
      </c>
      <c r="N16" s="675">
        <f t="shared" si="2"/>
        <v>0</v>
      </c>
      <c r="O16" s="675">
        <f t="shared" si="3"/>
        <v>0</v>
      </c>
      <c r="P16" s="608">
        <f>IFERROR(AVERAGEIFS('All 108 Regulators - Frameworks'!BF$4:BF$500,'All 108 Regulators - Frameworks'!B$4:B$500,A16),0)</f>
        <v>7.6</v>
      </c>
    </row>
    <row r="17" spans="1:16" ht="36" customHeight="1" x14ac:dyDescent="0.45">
      <c r="A17" s="205" t="s">
        <v>1624</v>
      </c>
      <c r="B17" s="192" t="s">
        <v>1625</v>
      </c>
      <c r="C17" s="190" t="s">
        <v>1562</v>
      </c>
      <c r="D17" s="190">
        <v>3</v>
      </c>
      <c r="E17" s="190">
        <v>1</v>
      </c>
      <c r="F17" s="190">
        <v>4</v>
      </c>
      <c r="G17" s="190">
        <v>0</v>
      </c>
      <c r="H17" s="190" t="s">
        <v>2388</v>
      </c>
      <c r="I17" s="190" t="s">
        <v>1633</v>
      </c>
      <c r="J17" s="594">
        <f t="shared" si="0"/>
        <v>13</v>
      </c>
      <c r="K17" s="591" t="str">
        <f t="shared" si="1"/>
        <v>🟡 TIER 3</v>
      </c>
      <c r="L17" s="591">
        <f>COUNTIFS('All 108 Regulators - Frameworks'!B$4:B$500,A17,'All 108 Regulators - Frameworks'!BB$4:BB$500,"DEEP")</f>
        <v>0</v>
      </c>
      <c r="M17" s="591">
        <f>COUNTIFS('All 108 Regulators - Frameworks'!B$4:B$500,A17,'All 108 Regulators - Frameworks'!BB$4:BB$500,"TEMPLATE")</f>
        <v>4</v>
      </c>
      <c r="N17" s="675">
        <f t="shared" si="2"/>
        <v>0</v>
      </c>
      <c r="O17" s="675">
        <f t="shared" si="3"/>
        <v>0</v>
      </c>
      <c r="P17" s="608">
        <f>IFERROR(AVERAGEIFS('All 108 Regulators - Frameworks'!BF$4:BF$500,'All 108 Regulators - Frameworks'!B$4:B$500,A17),0)</f>
        <v>6.75</v>
      </c>
    </row>
    <row r="18" spans="1:16" ht="36" customHeight="1" x14ac:dyDescent="0.45">
      <c r="A18" s="205" t="s">
        <v>1651</v>
      </c>
      <c r="B18" s="192" t="s">
        <v>1652</v>
      </c>
      <c r="C18" s="190" t="s">
        <v>1562</v>
      </c>
      <c r="D18" s="190">
        <v>3</v>
      </c>
      <c r="E18" s="190">
        <v>1</v>
      </c>
      <c r="F18" s="190">
        <v>4</v>
      </c>
      <c r="G18" s="190">
        <v>0</v>
      </c>
      <c r="H18" s="190" t="s">
        <v>2389</v>
      </c>
      <c r="I18" s="190" t="s">
        <v>1658</v>
      </c>
      <c r="J18" s="594">
        <f t="shared" si="0"/>
        <v>13</v>
      </c>
      <c r="K18" s="591" t="str">
        <f t="shared" si="1"/>
        <v>🟡 TIER 3</v>
      </c>
      <c r="L18" s="591">
        <f>COUNTIFS('All 108 Regulators - Frameworks'!B$4:B$500,A18,'All 108 Regulators - Frameworks'!BB$4:BB$500,"DEEP")</f>
        <v>0</v>
      </c>
      <c r="M18" s="591">
        <f>COUNTIFS('All 108 Regulators - Frameworks'!B$4:B$500,A18,'All 108 Regulators - Frameworks'!BB$4:BB$500,"TEMPLATE")</f>
        <v>4</v>
      </c>
      <c r="N18" s="675">
        <f t="shared" si="2"/>
        <v>0</v>
      </c>
      <c r="O18" s="675">
        <f t="shared" si="3"/>
        <v>0</v>
      </c>
      <c r="P18" s="608">
        <f>IFERROR(AVERAGEIFS('All 108 Regulators - Frameworks'!BF$4:BF$500,'All 108 Regulators - Frameworks'!B$4:B$500,A18),0)</f>
        <v>5.5</v>
      </c>
    </row>
    <row r="19" spans="1:16" ht="36" customHeight="1" x14ac:dyDescent="0.45">
      <c r="A19" s="97" t="s">
        <v>1674</v>
      </c>
      <c r="B19" s="99" t="s">
        <v>1675</v>
      </c>
      <c r="C19" s="98" t="s">
        <v>1288</v>
      </c>
      <c r="D19" s="98">
        <v>4</v>
      </c>
      <c r="E19" s="98">
        <v>1</v>
      </c>
      <c r="F19" s="98">
        <v>5</v>
      </c>
      <c r="G19" s="98">
        <v>0</v>
      </c>
      <c r="H19" s="98" t="s">
        <v>2390</v>
      </c>
      <c r="I19" s="98" t="s">
        <v>1680</v>
      </c>
      <c r="J19" s="594">
        <f t="shared" si="0"/>
        <v>17</v>
      </c>
      <c r="K19" s="591" t="str">
        <f t="shared" si="1"/>
        <v>🟡 TIER 3</v>
      </c>
      <c r="L19" s="591">
        <f>COUNTIFS('All 108 Regulators - Frameworks'!B$4:B$500,A19,'All 108 Regulators - Frameworks'!BB$4:BB$500,"DEEP")</f>
        <v>0</v>
      </c>
      <c r="M19" s="591">
        <f>COUNTIFS('All 108 Regulators - Frameworks'!B$4:B$500,A19,'All 108 Regulators - Frameworks'!BB$4:BB$500,"TEMPLATE")</f>
        <v>5</v>
      </c>
      <c r="N19" s="675">
        <f t="shared" si="2"/>
        <v>0</v>
      </c>
      <c r="O19" s="675">
        <f t="shared" si="3"/>
        <v>0</v>
      </c>
      <c r="P19" s="608">
        <f>IFERROR(AVERAGEIFS('All 108 Regulators - Frameworks'!BF$4:BF$500,'All 108 Regulators - Frameworks'!B$4:B$500,A19),0)</f>
        <v>6</v>
      </c>
    </row>
    <row r="20" spans="1:16" ht="36" customHeight="1" x14ac:dyDescent="0.45">
      <c r="A20" s="97" t="s">
        <v>1704</v>
      </c>
      <c r="B20" s="99" t="s">
        <v>1705</v>
      </c>
      <c r="C20" s="98" t="s">
        <v>1288</v>
      </c>
      <c r="D20" s="98">
        <v>2</v>
      </c>
      <c r="E20" s="98">
        <v>3</v>
      </c>
      <c r="F20" s="98">
        <v>5</v>
      </c>
      <c r="G20" s="98">
        <v>0</v>
      </c>
      <c r="H20" s="98" t="s">
        <v>2391</v>
      </c>
      <c r="I20" s="98" t="s">
        <v>1710</v>
      </c>
      <c r="J20" s="594">
        <f t="shared" si="0"/>
        <v>11</v>
      </c>
      <c r="K20" s="591" t="str">
        <f t="shared" si="1"/>
        <v>🟡 TIER 3</v>
      </c>
      <c r="L20" s="591">
        <f>COUNTIFS('All 108 Regulators - Frameworks'!B$4:B$500,A20,'All 108 Regulators - Frameworks'!BB$4:BB$500,"DEEP")</f>
        <v>2</v>
      </c>
      <c r="M20" s="591">
        <f>COUNTIFS('All 108 Regulators - Frameworks'!B$4:B$500,A20,'All 108 Regulators - Frameworks'!BB$4:BB$500,"TEMPLATE")</f>
        <v>3</v>
      </c>
      <c r="N20" s="675">
        <f t="shared" si="2"/>
        <v>0.4</v>
      </c>
      <c r="O20" s="675">
        <f t="shared" si="3"/>
        <v>0</v>
      </c>
      <c r="P20" s="608">
        <f>IFERROR(AVERAGEIFS('All 108 Regulators - Frameworks'!BF$4:BF$500,'All 108 Regulators - Frameworks'!B$4:B$500,A20),0)</f>
        <v>10.199999999999999</v>
      </c>
    </row>
    <row r="21" spans="1:16" ht="36" customHeight="1" x14ac:dyDescent="0.45">
      <c r="A21" s="97" t="s">
        <v>1722</v>
      </c>
      <c r="B21" s="99" t="s">
        <v>1723</v>
      </c>
      <c r="C21" s="98" t="s">
        <v>1288</v>
      </c>
      <c r="D21" s="98">
        <v>2</v>
      </c>
      <c r="E21" s="98">
        <v>2</v>
      </c>
      <c r="F21" s="98">
        <v>4</v>
      </c>
      <c r="G21" s="98">
        <v>0</v>
      </c>
      <c r="H21" s="98" t="s">
        <v>2392</v>
      </c>
      <c r="I21" s="98" t="s">
        <v>1729</v>
      </c>
      <c r="J21" s="594">
        <f t="shared" si="0"/>
        <v>10</v>
      </c>
      <c r="K21" s="591" t="str">
        <f t="shared" si="1"/>
        <v>🟡 TIER 3</v>
      </c>
      <c r="L21" s="591">
        <f>COUNTIFS('All 108 Regulators - Frameworks'!B$4:B$500,A21,'All 108 Regulators - Frameworks'!BB$4:BB$500,"DEEP")</f>
        <v>1</v>
      </c>
      <c r="M21" s="591">
        <f>COUNTIFS('All 108 Regulators - Frameworks'!B$4:B$500,A21,'All 108 Regulators - Frameworks'!BB$4:BB$500,"TEMPLATE")</f>
        <v>3</v>
      </c>
      <c r="N21" s="675">
        <f t="shared" si="2"/>
        <v>0.25</v>
      </c>
      <c r="O21" s="675">
        <f t="shared" si="3"/>
        <v>0</v>
      </c>
      <c r="P21" s="608">
        <f>IFERROR(AVERAGEIFS('All 108 Regulators - Frameworks'!BF$4:BF$500,'All 108 Regulators - Frameworks'!B$4:B$500,A21),0)</f>
        <v>8.75</v>
      </c>
    </row>
    <row r="22" spans="1:16" ht="36" customHeight="1" x14ac:dyDescent="0.45">
      <c r="A22" s="205" t="s">
        <v>1741</v>
      </c>
      <c r="B22" s="192" t="s">
        <v>1742</v>
      </c>
      <c r="C22" s="190" t="s">
        <v>1562</v>
      </c>
      <c r="D22" s="190">
        <v>1</v>
      </c>
      <c r="E22" s="190">
        <v>2</v>
      </c>
      <c r="F22" s="190">
        <v>3</v>
      </c>
      <c r="G22" s="190">
        <v>0</v>
      </c>
      <c r="H22" s="190" t="s">
        <v>2393</v>
      </c>
      <c r="I22" s="190" t="s">
        <v>1749</v>
      </c>
      <c r="J22" s="594">
        <f t="shared" si="0"/>
        <v>6</v>
      </c>
      <c r="K22" s="591" t="str">
        <f t="shared" si="1"/>
        <v>🟢 TIER 4</v>
      </c>
      <c r="L22" s="591">
        <f>COUNTIFS('All 108 Regulators - Frameworks'!B$4:B$500,A22,'All 108 Regulators - Frameworks'!BB$4:BB$500,"DEEP")</f>
        <v>1</v>
      </c>
      <c r="M22" s="591">
        <f>COUNTIFS('All 108 Regulators - Frameworks'!B$4:B$500,A22,'All 108 Regulators - Frameworks'!BB$4:BB$500,"TEMPLATE")</f>
        <v>2</v>
      </c>
      <c r="N22" s="675">
        <f t="shared" si="2"/>
        <v>0.33333333333333331</v>
      </c>
      <c r="O22" s="675">
        <f t="shared" si="3"/>
        <v>0</v>
      </c>
      <c r="P22" s="608">
        <f>IFERROR(AVERAGEIFS('All 108 Regulators - Frameworks'!BF$4:BF$500,'All 108 Regulators - Frameworks'!B$4:B$500,A22),0)</f>
        <v>8.6666666666666661</v>
      </c>
    </row>
    <row r="23" spans="1:16" ht="36" customHeight="1" x14ac:dyDescent="0.45">
      <c r="A23" s="205" t="s">
        <v>1753</v>
      </c>
      <c r="B23" s="192" t="s">
        <v>1754</v>
      </c>
      <c r="C23" s="190" t="s">
        <v>1562</v>
      </c>
      <c r="D23" s="190">
        <v>1</v>
      </c>
      <c r="E23" s="190">
        <v>2</v>
      </c>
      <c r="F23" s="190">
        <v>3</v>
      </c>
      <c r="G23" s="190">
        <v>0</v>
      </c>
      <c r="H23" s="190" t="s">
        <v>2394</v>
      </c>
      <c r="I23" s="190" t="s">
        <v>1758</v>
      </c>
      <c r="J23" s="594">
        <f t="shared" si="0"/>
        <v>6</v>
      </c>
      <c r="K23" s="591" t="str">
        <f t="shared" si="1"/>
        <v>🟢 TIER 4</v>
      </c>
      <c r="L23" s="591">
        <f>COUNTIFS('All 108 Regulators - Frameworks'!B$4:B$500,A23,'All 108 Regulators - Frameworks'!BB$4:BB$500,"DEEP")</f>
        <v>1</v>
      </c>
      <c r="M23" s="591">
        <f>COUNTIFS('All 108 Regulators - Frameworks'!B$4:B$500,A23,'All 108 Regulators - Frameworks'!BB$4:BB$500,"TEMPLATE")</f>
        <v>2</v>
      </c>
      <c r="N23" s="675">
        <f t="shared" si="2"/>
        <v>0.33333333333333331</v>
      </c>
      <c r="O23" s="675">
        <f t="shared" si="3"/>
        <v>0</v>
      </c>
      <c r="P23" s="608">
        <f>IFERROR(AVERAGEIFS('All 108 Regulators - Frameworks'!BF$4:BF$500,'All 108 Regulators - Frameworks'!B$4:B$500,A23),0)</f>
        <v>8.6666666666666661</v>
      </c>
    </row>
    <row r="24" spans="1:16" ht="36" customHeight="1" x14ac:dyDescent="0.45">
      <c r="A24" s="205" t="s">
        <v>1761</v>
      </c>
      <c r="B24" s="192" t="s">
        <v>1762</v>
      </c>
      <c r="C24" s="190" t="s">
        <v>1562</v>
      </c>
      <c r="D24" s="190">
        <v>1</v>
      </c>
      <c r="E24" s="190">
        <v>2</v>
      </c>
      <c r="F24" s="190">
        <v>3</v>
      </c>
      <c r="G24" s="190">
        <v>0</v>
      </c>
      <c r="H24" s="190" t="s">
        <v>2395</v>
      </c>
      <c r="I24" s="190" t="s">
        <v>1766</v>
      </c>
      <c r="J24" s="594">
        <f t="shared" si="0"/>
        <v>6</v>
      </c>
      <c r="K24" s="591" t="str">
        <f t="shared" si="1"/>
        <v>🟢 TIER 4</v>
      </c>
      <c r="L24" s="591">
        <f>COUNTIFS('All 108 Regulators - Frameworks'!B$4:B$500,A24,'All 108 Regulators - Frameworks'!BB$4:BB$500,"DEEP")</f>
        <v>1</v>
      </c>
      <c r="M24" s="591">
        <f>COUNTIFS('All 108 Regulators - Frameworks'!B$4:B$500,A24,'All 108 Regulators - Frameworks'!BB$4:BB$500,"TEMPLATE")</f>
        <v>2</v>
      </c>
      <c r="N24" s="675">
        <f t="shared" si="2"/>
        <v>0.33333333333333331</v>
      </c>
      <c r="O24" s="675">
        <f t="shared" si="3"/>
        <v>0</v>
      </c>
      <c r="P24" s="608">
        <f>IFERROR(AVERAGEIFS('All 108 Regulators - Frameworks'!BF$4:BF$500,'All 108 Regulators - Frameworks'!B$4:B$500,A24),0)</f>
        <v>8.6666666666666661</v>
      </c>
    </row>
    <row r="25" spans="1:16" ht="36" customHeight="1" x14ac:dyDescent="0.45">
      <c r="A25" s="205" t="s">
        <v>1769</v>
      </c>
      <c r="B25" s="192" t="s">
        <v>1770</v>
      </c>
      <c r="C25" s="190" t="s">
        <v>1562</v>
      </c>
      <c r="D25" s="190">
        <v>1</v>
      </c>
      <c r="E25" s="190">
        <v>2</v>
      </c>
      <c r="F25" s="190">
        <v>3</v>
      </c>
      <c r="G25" s="190">
        <v>0</v>
      </c>
      <c r="H25" s="190" t="s">
        <v>2396</v>
      </c>
      <c r="I25" s="190" t="s">
        <v>1773</v>
      </c>
      <c r="J25" s="594">
        <f t="shared" si="0"/>
        <v>6</v>
      </c>
      <c r="K25" s="591" t="str">
        <f t="shared" si="1"/>
        <v>🟢 TIER 4</v>
      </c>
      <c r="L25" s="591">
        <f>COUNTIFS('All 108 Regulators - Frameworks'!B$4:B$500,A25,'All 108 Regulators - Frameworks'!BB$4:BB$500,"DEEP")</f>
        <v>1</v>
      </c>
      <c r="M25" s="591">
        <f>COUNTIFS('All 108 Regulators - Frameworks'!B$4:B$500,A25,'All 108 Regulators - Frameworks'!BB$4:BB$500,"TEMPLATE")</f>
        <v>2</v>
      </c>
      <c r="N25" s="675">
        <f t="shared" si="2"/>
        <v>0.33333333333333331</v>
      </c>
      <c r="O25" s="675">
        <f t="shared" si="3"/>
        <v>0</v>
      </c>
      <c r="P25" s="608">
        <f>IFERROR(AVERAGEIFS('All 108 Regulators - Frameworks'!BF$4:BF$500,'All 108 Regulators - Frameworks'!B$4:B$500,A25),0)</f>
        <v>8.6666666666666661</v>
      </c>
    </row>
    <row r="26" spans="1:16" ht="36" customHeight="1" x14ac:dyDescent="0.45">
      <c r="A26" s="205" t="s">
        <v>1776</v>
      </c>
      <c r="B26" s="192" t="s">
        <v>1777</v>
      </c>
      <c r="C26" s="190" t="s">
        <v>1562</v>
      </c>
      <c r="D26" s="190">
        <v>1</v>
      </c>
      <c r="E26" s="190">
        <v>2</v>
      </c>
      <c r="F26" s="190">
        <v>3</v>
      </c>
      <c r="G26" s="190">
        <v>0</v>
      </c>
      <c r="H26" s="190" t="s">
        <v>2397</v>
      </c>
      <c r="I26" s="190" t="s">
        <v>1781</v>
      </c>
      <c r="J26" s="594">
        <f t="shared" si="0"/>
        <v>6</v>
      </c>
      <c r="K26" s="591" t="str">
        <f t="shared" si="1"/>
        <v>🟢 TIER 4</v>
      </c>
      <c r="L26" s="591">
        <f>COUNTIFS('All 108 Regulators - Frameworks'!B$4:B$500,A26,'All 108 Regulators - Frameworks'!BB$4:BB$500,"DEEP")</f>
        <v>1</v>
      </c>
      <c r="M26" s="591">
        <f>COUNTIFS('All 108 Regulators - Frameworks'!B$4:B$500,A26,'All 108 Regulators - Frameworks'!BB$4:BB$500,"TEMPLATE")</f>
        <v>2</v>
      </c>
      <c r="N26" s="675">
        <f t="shared" si="2"/>
        <v>0.33333333333333331</v>
      </c>
      <c r="O26" s="675">
        <f t="shared" si="3"/>
        <v>0</v>
      </c>
      <c r="P26" s="608">
        <f>IFERROR(AVERAGEIFS('All 108 Regulators - Frameworks'!BF$4:BF$500,'All 108 Regulators - Frameworks'!B$4:B$500,A26),0)</f>
        <v>8.6666666666666661</v>
      </c>
    </row>
    <row r="27" spans="1:16" ht="36" customHeight="1" x14ac:dyDescent="0.45">
      <c r="A27" s="205" t="s">
        <v>1784</v>
      </c>
      <c r="B27" s="192" t="s">
        <v>1785</v>
      </c>
      <c r="C27" s="190" t="s">
        <v>1562</v>
      </c>
      <c r="D27" s="190">
        <v>1</v>
      </c>
      <c r="E27" s="190">
        <v>2</v>
      </c>
      <c r="F27" s="190">
        <v>3</v>
      </c>
      <c r="G27" s="190">
        <v>0</v>
      </c>
      <c r="H27" s="190" t="s">
        <v>2398</v>
      </c>
      <c r="I27" s="190" t="s">
        <v>1789</v>
      </c>
      <c r="J27" s="594">
        <f t="shared" si="0"/>
        <v>6</v>
      </c>
      <c r="K27" s="591" t="str">
        <f t="shared" si="1"/>
        <v>🟢 TIER 4</v>
      </c>
      <c r="L27" s="591">
        <f>COUNTIFS('All 108 Regulators - Frameworks'!B$4:B$500,A27,'All 108 Regulators - Frameworks'!BB$4:BB$500,"DEEP")</f>
        <v>1</v>
      </c>
      <c r="M27" s="591">
        <f>COUNTIFS('All 108 Regulators - Frameworks'!B$4:B$500,A27,'All 108 Regulators - Frameworks'!BB$4:BB$500,"TEMPLATE")</f>
        <v>2</v>
      </c>
      <c r="N27" s="675">
        <f t="shared" si="2"/>
        <v>0.33333333333333331</v>
      </c>
      <c r="O27" s="675">
        <f t="shared" si="3"/>
        <v>0</v>
      </c>
      <c r="P27" s="608">
        <f>IFERROR(AVERAGEIFS('All 108 Regulators - Frameworks'!BF$4:BF$500,'All 108 Regulators - Frameworks'!B$4:B$500,A27),0)</f>
        <v>8.6666666666666661</v>
      </c>
    </row>
    <row r="28" spans="1:16" ht="36" customHeight="1" x14ac:dyDescent="0.45">
      <c r="A28" s="205" t="s">
        <v>1792</v>
      </c>
      <c r="B28" s="192" t="s">
        <v>1793</v>
      </c>
      <c r="C28" s="190" t="s">
        <v>1562</v>
      </c>
      <c r="D28" s="190">
        <v>1</v>
      </c>
      <c r="E28" s="190">
        <v>2</v>
      </c>
      <c r="F28" s="190">
        <v>3</v>
      </c>
      <c r="G28" s="190">
        <v>0</v>
      </c>
      <c r="H28" s="190" t="s">
        <v>2399</v>
      </c>
      <c r="I28" s="190" t="s">
        <v>1797</v>
      </c>
      <c r="J28" s="594">
        <f t="shared" si="0"/>
        <v>6</v>
      </c>
      <c r="K28" s="591" t="str">
        <f t="shared" si="1"/>
        <v>🟢 TIER 4</v>
      </c>
      <c r="L28" s="591">
        <f>COUNTIFS('All 108 Regulators - Frameworks'!B$4:B$500,A28,'All 108 Regulators - Frameworks'!BB$4:BB$500,"DEEP")</f>
        <v>1</v>
      </c>
      <c r="M28" s="591">
        <f>COUNTIFS('All 108 Regulators - Frameworks'!B$4:B$500,A28,'All 108 Regulators - Frameworks'!BB$4:BB$500,"TEMPLATE")</f>
        <v>2</v>
      </c>
      <c r="N28" s="675">
        <f t="shared" si="2"/>
        <v>0.33333333333333331</v>
      </c>
      <c r="O28" s="675">
        <f t="shared" si="3"/>
        <v>0</v>
      </c>
      <c r="P28" s="608">
        <f>IFERROR(AVERAGEIFS('All 108 Regulators - Frameworks'!BF$4:BF$500,'All 108 Regulators - Frameworks'!B$4:B$500,A28),0)</f>
        <v>8.6666666666666661</v>
      </c>
    </row>
    <row r="29" spans="1:16" ht="36" customHeight="1" x14ac:dyDescent="0.45">
      <c r="A29" s="205" t="s">
        <v>1800</v>
      </c>
      <c r="B29" s="192" t="s">
        <v>1801</v>
      </c>
      <c r="C29" s="190" t="s">
        <v>1562</v>
      </c>
      <c r="D29" s="190">
        <v>1</v>
      </c>
      <c r="E29" s="190">
        <v>2</v>
      </c>
      <c r="F29" s="190">
        <v>3</v>
      </c>
      <c r="G29" s="190">
        <v>0</v>
      </c>
      <c r="H29" s="190" t="s">
        <v>2400</v>
      </c>
      <c r="I29" s="190" t="s">
        <v>1804</v>
      </c>
      <c r="J29" s="594">
        <f t="shared" si="0"/>
        <v>6</v>
      </c>
      <c r="K29" s="591" t="str">
        <f t="shared" si="1"/>
        <v>🟢 TIER 4</v>
      </c>
      <c r="L29" s="591">
        <f>COUNTIFS('All 108 Regulators - Frameworks'!B$4:B$500,A29,'All 108 Regulators - Frameworks'!BB$4:BB$500,"DEEP")</f>
        <v>1</v>
      </c>
      <c r="M29" s="591">
        <f>COUNTIFS('All 108 Regulators - Frameworks'!B$4:B$500,A29,'All 108 Regulators - Frameworks'!BB$4:BB$500,"TEMPLATE")</f>
        <v>2</v>
      </c>
      <c r="N29" s="675">
        <f t="shared" si="2"/>
        <v>0.33333333333333331</v>
      </c>
      <c r="O29" s="675">
        <f t="shared" si="3"/>
        <v>0</v>
      </c>
      <c r="P29" s="608">
        <f>IFERROR(AVERAGEIFS('All 108 Regulators - Frameworks'!BF$4:BF$500,'All 108 Regulators - Frameworks'!B$4:B$500,A29),0)</f>
        <v>8.6666666666666661</v>
      </c>
    </row>
    <row r="30" spans="1:16" ht="36" customHeight="1" x14ac:dyDescent="0.45">
      <c r="A30" s="205" t="s">
        <v>1807</v>
      </c>
      <c r="B30" s="192" t="s">
        <v>1808</v>
      </c>
      <c r="C30" s="190" t="s">
        <v>1562</v>
      </c>
      <c r="D30" s="190">
        <v>1</v>
      </c>
      <c r="E30" s="190">
        <v>2</v>
      </c>
      <c r="F30" s="190">
        <v>3</v>
      </c>
      <c r="G30" s="190">
        <v>0</v>
      </c>
      <c r="H30" s="190" t="s">
        <v>2401</v>
      </c>
      <c r="I30" s="190" t="s">
        <v>1811</v>
      </c>
      <c r="J30" s="594">
        <f t="shared" si="0"/>
        <v>6</v>
      </c>
      <c r="K30" s="591" t="str">
        <f t="shared" si="1"/>
        <v>🟢 TIER 4</v>
      </c>
      <c r="L30" s="591">
        <f>COUNTIFS('All 108 Regulators - Frameworks'!B$4:B$500,A30,'All 108 Regulators - Frameworks'!BB$4:BB$500,"DEEP")</f>
        <v>1</v>
      </c>
      <c r="M30" s="591">
        <f>COUNTIFS('All 108 Regulators - Frameworks'!B$4:B$500,A30,'All 108 Regulators - Frameworks'!BB$4:BB$500,"TEMPLATE")</f>
        <v>2</v>
      </c>
      <c r="N30" s="675">
        <f t="shared" si="2"/>
        <v>0.33333333333333331</v>
      </c>
      <c r="O30" s="675">
        <f t="shared" si="3"/>
        <v>0</v>
      </c>
      <c r="P30" s="608">
        <f>IFERROR(AVERAGEIFS('All 108 Regulators - Frameworks'!BF$4:BF$500,'All 108 Regulators - Frameworks'!B$4:B$500,A30),0)</f>
        <v>8.6666666666666661</v>
      </c>
    </row>
    <row r="31" spans="1:16" ht="36" customHeight="1" x14ac:dyDescent="0.45">
      <c r="A31" s="205" t="s">
        <v>1814</v>
      </c>
      <c r="B31" s="192" t="s">
        <v>1815</v>
      </c>
      <c r="C31" s="190" t="s">
        <v>1562</v>
      </c>
      <c r="D31" s="190">
        <v>1</v>
      </c>
      <c r="E31" s="190">
        <v>2</v>
      </c>
      <c r="F31" s="190">
        <v>3</v>
      </c>
      <c r="G31" s="190">
        <v>0</v>
      </c>
      <c r="H31" s="190" t="s">
        <v>2402</v>
      </c>
      <c r="I31" s="190" t="s">
        <v>1819</v>
      </c>
      <c r="J31" s="594">
        <f t="shared" si="0"/>
        <v>6</v>
      </c>
      <c r="K31" s="591" t="str">
        <f t="shared" si="1"/>
        <v>🟢 TIER 4</v>
      </c>
      <c r="L31" s="591">
        <f>COUNTIFS('All 108 Regulators - Frameworks'!B$4:B$500,A31,'All 108 Regulators - Frameworks'!BB$4:BB$500,"DEEP")</f>
        <v>1</v>
      </c>
      <c r="M31" s="591">
        <f>COUNTIFS('All 108 Regulators - Frameworks'!B$4:B$500,A31,'All 108 Regulators - Frameworks'!BB$4:BB$500,"TEMPLATE")</f>
        <v>2</v>
      </c>
      <c r="N31" s="675">
        <f t="shared" si="2"/>
        <v>0.33333333333333331</v>
      </c>
      <c r="O31" s="675">
        <f t="shared" si="3"/>
        <v>0</v>
      </c>
      <c r="P31" s="608">
        <f>IFERROR(AVERAGEIFS('All 108 Regulators - Frameworks'!BF$4:BF$500,'All 108 Regulators - Frameworks'!B$4:B$500,A31),0)</f>
        <v>8.6666666666666661</v>
      </c>
    </row>
    <row r="32" spans="1:16" ht="36" customHeight="1" x14ac:dyDescent="0.45">
      <c r="A32" s="205" t="s">
        <v>1822</v>
      </c>
      <c r="B32" s="192" t="s">
        <v>1823</v>
      </c>
      <c r="C32" s="190" t="s">
        <v>1562</v>
      </c>
      <c r="D32" s="190">
        <v>1</v>
      </c>
      <c r="E32" s="190">
        <v>2</v>
      </c>
      <c r="F32" s="190">
        <v>3</v>
      </c>
      <c r="G32" s="190">
        <v>0</v>
      </c>
      <c r="H32" s="190" t="s">
        <v>2403</v>
      </c>
      <c r="I32" s="190" t="s">
        <v>1826</v>
      </c>
      <c r="J32" s="594">
        <f t="shared" si="0"/>
        <v>6</v>
      </c>
      <c r="K32" s="591" t="str">
        <f t="shared" si="1"/>
        <v>🟢 TIER 4</v>
      </c>
      <c r="L32" s="591">
        <f>COUNTIFS('All 108 Regulators - Frameworks'!B$4:B$500,A32,'All 108 Regulators - Frameworks'!BB$4:BB$500,"DEEP")</f>
        <v>1</v>
      </c>
      <c r="M32" s="591">
        <f>COUNTIFS('All 108 Regulators - Frameworks'!B$4:B$500,A32,'All 108 Regulators - Frameworks'!BB$4:BB$500,"TEMPLATE")</f>
        <v>2</v>
      </c>
      <c r="N32" s="675">
        <f t="shared" si="2"/>
        <v>0.33333333333333331</v>
      </c>
      <c r="O32" s="675">
        <f t="shared" si="3"/>
        <v>0</v>
      </c>
      <c r="P32" s="608">
        <f>IFERROR(AVERAGEIFS('All 108 Regulators - Frameworks'!BF$4:BF$500,'All 108 Regulators - Frameworks'!B$4:B$500,A32),0)</f>
        <v>8.6666666666666661</v>
      </c>
    </row>
    <row r="33" spans="1:16" ht="36" customHeight="1" x14ac:dyDescent="0.45">
      <c r="A33" s="205" t="s">
        <v>1829</v>
      </c>
      <c r="B33" s="192" t="s">
        <v>1830</v>
      </c>
      <c r="C33" s="190" t="s">
        <v>1562</v>
      </c>
      <c r="D33" s="190">
        <v>1</v>
      </c>
      <c r="E33" s="190">
        <v>2</v>
      </c>
      <c r="F33" s="190">
        <v>3</v>
      </c>
      <c r="G33" s="190">
        <v>0</v>
      </c>
      <c r="H33" s="190" t="s">
        <v>2404</v>
      </c>
      <c r="I33" s="190" t="s">
        <v>1834</v>
      </c>
      <c r="J33" s="594">
        <f t="shared" si="0"/>
        <v>6</v>
      </c>
      <c r="K33" s="591" t="str">
        <f t="shared" si="1"/>
        <v>🟢 TIER 4</v>
      </c>
      <c r="L33" s="591">
        <f>COUNTIFS('All 108 Regulators - Frameworks'!B$4:B$500,A33,'All 108 Regulators - Frameworks'!BB$4:BB$500,"DEEP")</f>
        <v>1</v>
      </c>
      <c r="M33" s="591">
        <f>COUNTIFS('All 108 Regulators - Frameworks'!B$4:B$500,A33,'All 108 Regulators - Frameworks'!BB$4:BB$500,"TEMPLATE")</f>
        <v>2</v>
      </c>
      <c r="N33" s="675">
        <f t="shared" si="2"/>
        <v>0.33333333333333331</v>
      </c>
      <c r="O33" s="675">
        <f t="shared" si="3"/>
        <v>0</v>
      </c>
      <c r="P33" s="608">
        <f>IFERROR(AVERAGEIFS('All 108 Regulators - Frameworks'!BF$4:BF$500,'All 108 Regulators - Frameworks'!B$4:B$500,A33),0)</f>
        <v>8.6666666666666661</v>
      </c>
    </row>
    <row r="34" spans="1:16" ht="36" customHeight="1" x14ac:dyDescent="0.45">
      <c r="A34" s="205" t="s">
        <v>1837</v>
      </c>
      <c r="B34" s="192" t="s">
        <v>1838</v>
      </c>
      <c r="C34" s="190" t="s">
        <v>1562</v>
      </c>
      <c r="D34" s="190">
        <v>1</v>
      </c>
      <c r="E34" s="190">
        <v>2</v>
      </c>
      <c r="F34" s="190">
        <v>3</v>
      </c>
      <c r="G34" s="190">
        <v>0</v>
      </c>
      <c r="H34" s="190" t="s">
        <v>2405</v>
      </c>
      <c r="I34" s="190" t="s">
        <v>1841</v>
      </c>
      <c r="J34" s="594">
        <f t="shared" si="0"/>
        <v>6</v>
      </c>
      <c r="K34" s="591" t="str">
        <f t="shared" si="1"/>
        <v>🟢 TIER 4</v>
      </c>
      <c r="L34" s="591">
        <f>COUNTIFS('All 108 Regulators - Frameworks'!B$4:B$500,A34,'All 108 Regulators - Frameworks'!BB$4:BB$500,"DEEP")</f>
        <v>1</v>
      </c>
      <c r="M34" s="591">
        <f>COUNTIFS('All 108 Regulators - Frameworks'!B$4:B$500,A34,'All 108 Regulators - Frameworks'!BB$4:BB$500,"TEMPLATE")</f>
        <v>2</v>
      </c>
      <c r="N34" s="675">
        <f t="shared" si="2"/>
        <v>0.33333333333333331</v>
      </c>
      <c r="O34" s="675">
        <f t="shared" si="3"/>
        <v>0</v>
      </c>
      <c r="P34" s="608">
        <f>IFERROR(AVERAGEIFS('All 108 Regulators - Frameworks'!BF$4:BF$500,'All 108 Regulators - Frameworks'!B$4:B$500,A34),0)</f>
        <v>8.6666666666666661</v>
      </c>
    </row>
    <row r="35" spans="1:16" ht="36" customHeight="1" x14ac:dyDescent="0.45">
      <c r="A35" s="205" t="s">
        <v>1844</v>
      </c>
      <c r="B35" s="192" t="s">
        <v>1845</v>
      </c>
      <c r="C35" s="190" t="s">
        <v>1562</v>
      </c>
      <c r="D35" s="190">
        <v>1</v>
      </c>
      <c r="E35" s="190">
        <v>2</v>
      </c>
      <c r="F35" s="190">
        <v>3</v>
      </c>
      <c r="G35" s="190">
        <v>0</v>
      </c>
      <c r="H35" s="190" t="s">
        <v>2406</v>
      </c>
      <c r="I35" s="190" t="s">
        <v>1848</v>
      </c>
      <c r="J35" s="594">
        <f t="shared" si="0"/>
        <v>6</v>
      </c>
      <c r="K35" s="591" t="str">
        <f t="shared" si="1"/>
        <v>🟢 TIER 4</v>
      </c>
      <c r="L35" s="591">
        <f>COUNTIFS('All 108 Regulators - Frameworks'!B$4:B$500,A35,'All 108 Regulators - Frameworks'!BB$4:BB$500,"DEEP")</f>
        <v>1</v>
      </c>
      <c r="M35" s="591">
        <f>COUNTIFS('All 108 Regulators - Frameworks'!B$4:B$500,A35,'All 108 Regulators - Frameworks'!BB$4:BB$500,"TEMPLATE")</f>
        <v>2</v>
      </c>
      <c r="N35" s="675">
        <f t="shared" si="2"/>
        <v>0.33333333333333331</v>
      </c>
      <c r="O35" s="675">
        <f t="shared" si="3"/>
        <v>0</v>
      </c>
      <c r="P35" s="608">
        <f>IFERROR(AVERAGEIFS('All 108 Regulators - Frameworks'!BF$4:BF$500,'All 108 Regulators - Frameworks'!B$4:B$500,A35),0)</f>
        <v>8.6666666666666661</v>
      </c>
    </row>
    <row r="36" spans="1:16" ht="36" customHeight="1" x14ac:dyDescent="0.45">
      <c r="A36" s="205" t="s">
        <v>1851</v>
      </c>
      <c r="B36" s="192" t="s">
        <v>1852</v>
      </c>
      <c r="C36" s="190" t="s">
        <v>1562</v>
      </c>
      <c r="D36" s="190">
        <v>1</v>
      </c>
      <c r="E36" s="190">
        <v>2</v>
      </c>
      <c r="F36" s="190">
        <v>3</v>
      </c>
      <c r="G36" s="190">
        <v>0</v>
      </c>
      <c r="H36" s="190" t="s">
        <v>2407</v>
      </c>
      <c r="I36" s="190" t="s">
        <v>1855</v>
      </c>
      <c r="J36" s="594">
        <f t="shared" si="0"/>
        <v>6</v>
      </c>
      <c r="K36" s="591" t="str">
        <f t="shared" si="1"/>
        <v>🟢 TIER 4</v>
      </c>
      <c r="L36" s="591">
        <f>COUNTIFS('All 108 Regulators - Frameworks'!B$4:B$500,A36,'All 108 Regulators - Frameworks'!BB$4:BB$500,"DEEP")</f>
        <v>1</v>
      </c>
      <c r="M36" s="591">
        <f>COUNTIFS('All 108 Regulators - Frameworks'!B$4:B$500,A36,'All 108 Regulators - Frameworks'!BB$4:BB$500,"TEMPLATE")</f>
        <v>2</v>
      </c>
      <c r="N36" s="675">
        <f t="shared" si="2"/>
        <v>0.33333333333333331</v>
      </c>
      <c r="O36" s="675">
        <f t="shared" si="3"/>
        <v>0</v>
      </c>
      <c r="P36" s="608">
        <f>IFERROR(AVERAGEIFS('All 108 Regulators - Frameworks'!BF$4:BF$500,'All 108 Regulators - Frameworks'!B$4:B$500,A36),0)</f>
        <v>8.6666666666666661</v>
      </c>
    </row>
    <row r="37" spans="1:16" ht="36" customHeight="1" x14ac:dyDescent="0.45">
      <c r="A37" s="205" t="s">
        <v>1858</v>
      </c>
      <c r="B37" s="192" t="s">
        <v>1859</v>
      </c>
      <c r="C37" s="190" t="s">
        <v>1562</v>
      </c>
      <c r="D37" s="190">
        <v>1</v>
      </c>
      <c r="E37" s="190">
        <v>2</v>
      </c>
      <c r="F37" s="190">
        <v>3</v>
      </c>
      <c r="G37" s="190">
        <v>0</v>
      </c>
      <c r="H37" s="190" t="s">
        <v>2408</v>
      </c>
      <c r="I37" s="190" t="s">
        <v>1863</v>
      </c>
      <c r="J37" s="594">
        <f t="shared" si="0"/>
        <v>6</v>
      </c>
      <c r="K37" s="591" t="str">
        <f t="shared" si="1"/>
        <v>🟢 TIER 4</v>
      </c>
      <c r="L37" s="591">
        <f>COUNTIFS('All 108 Regulators - Frameworks'!B$4:B$500,A37,'All 108 Regulators - Frameworks'!BB$4:BB$500,"DEEP")</f>
        <v>1</v>
      </c>
      <c r="M37" s="591">
        <f>COUNTIFS('All 108 Regulators - Frameworks'!B$4:B$500,A37,'All 108 Regulators - Frameworks'!BB$4:BB$500,"TEMPLATE")</f>
        <v>2</v>
      </c>
      <c r="N37" s="675">
        <f t="shared" si="2"/>
        <v>0.33333333333333331</v>
      </c>
      <c r="O37" s="675">
        <f t="shared" si="3"/>
        <v>0</v>
      </c>
      <c r="P37" s="608">
        <f>IFERROR(AVERAGEIFS('All 108 Regulators - Frameworks'!BF$4:BF$500,'All 108 Regulators - Frameworks'!B$4:B$500,A37),0)</f>
        <v>8.6666666666666661</v>
      </c>
    </row>
    <row r="38" spans="1:16" ht="36" customHeight="1" x14ac:dyDescent="0.45">
      <c r="A38" s="205" t="s">
        <v>1866</v>
      </c>
      <c r="B38" s="192" t="s">
        <v>1867</v>
      </c>
      <c r="C38" s="190" t="s">
        <v>1562</v>
      </c>
      <c r="D38" s="190">
        <v>1</v>
      </c>
      <c r="E38" s="190">
        <v>2</v>
      </c>
      <c r="F38" s="190">
        <v>3</v>
      </c>
      <c r="G38" s="190">
        <v>0</v>
      </c>
      <c r="H38" s="190" t="s">
        <v>2409</v>
      </c>
      <c r="I38" s="190" t="s">
        <v>1870</v>
      </c>
      <c r="J38" s="594">
        <f t="shared" si="0"/>
        <v>6</v>
      </c>
      <c r="K38" s="591" t="str">
        <f t="shared" si="1"/>
        <v>🟢 TIER 4</v>
      </c>
      <c r="L38" s="591">
        <f>COUNTIFS('All 108 Regulators - Frameworks'!B$4:B$500,A38,'All 108 Regulators - Frameworks'!BB$4:BB$500,"DEEP")</f>
        <v>1</v>
      </c>
      <c r="M38" s="591">
        <f>COUNTIFS('All 108 Regulators - Frameworks'!B$4:B$500,A38,'All 108 Regulators - Frameworks'!BB$4:BB$500,"TEMPLATE")</f>
        <v>2</v>
      </c>
      <c r="N38" s="675">
        <f t="shared" si="2"/>
        <v>0.33333333333333331</v>
      </c>
      <c r="O38" s="675">
        <f t="shared" si="3"/>
        <v>0</v>
      </c>
      <c r="P38" s="608">
        <f>IFERROR(AVERAGEIFS('All 108 Regulators - Frameworks'!BF$4:BF$500,'All 108 Regulators - Frameworks'!B$4:B$500,A38),0)</f>
        <v>8.6666666666666661</v>
      </c>
    </row>
    <row r="39" spans="1:16" ht="36" customHeight="1" x14ac:dyDescent="0.45">
      <c r="A39" s="205" t="s">
        <v>1873</v>
      </c>
      <c r="B39" s="192" t="s">
        <v>1874</v>
      </c>
      <c r="C39" s="190" t="s">
        <v>1562</v>
      </c>
      <c r="D39" s="190">
        <v>1</v>
      </c>
      <c r="E39" s="190">
        <v>2</v>
      </c>
      <c r="F39" s="190">
        <v>3</v>
      </c>
      <c r="G39" s="190">
        <v>0</v>
      </c>
      <c r="H39" s="190" t="s">
        <v>2410</v>
      </c>
      <c r="I39" s="190" t="s">
        <v>1877</v>
      </c>
      <c r="J39" s="594">
        <f t="shared" si="0"/>
        <v>6</v>
      </c>
      <c r="K39" s="591" t="str">
        <f t="shared" si="1"/>
        <v>🟢 TIER 4</v>
      </c>
      <c r="L39" s="591">
        <f>COUNTIFS('All 108 Regulators - Frameworks'!B$4:B$500,A39,'All 108 Regulators - Frameworks'!BB$4:BB$500,"DEEP")</f>
        <v>1</v>
      </c>
      <c r="M39" s="591">
        <f>COUNTIFS('All 108 Regulators - Frameworks'!B$4:B$500,A39,'All 108 Regulators - Frameworks'!BB$4:BB$500,"TEMPLATE")</f>
        <v>2</v>
      </c>
      <c r="N39" s="675">
        <f t="shared" si="2"/>
        <v>0.33333333333333331</v>
      </c>
      <c r="O39" s="675">
        <f t="shared" si="3"/>
        <v>0</v>
      </c>
      <c r="P39" s="608">
        <f>IFERROR(AVERAGEIFS('All 108 Regulators - Frameworks'!BF$4:BF$500,'All 108 Regulators - Frameworks'!B$4:B$500,A39),0)</f>
        <v>8.6666666666666661</v>
      </c>
    </row>
    <row r="40" spans="1:16" ht="36" customHeight="1" x14ac:dyDescent="0.45">
      <c r="A40" s="205" t="s">
        <v>1880</v>
      </c>
      <c r="B40" s="192" t="s">
        <v>1881</v>
      </c>
      <c r="C40" s="190" t="s">
        <v>1562</v>
      </c>
      <c r="D40" s="190">
        <v>1</v>
      </c>
      <c r="E40" s="190">
        <v>2</v>
      </c>
      <c r="F40" s="190">
        <v>3</v>
      </c>
      <c r="G40" s="190">
        <v>0</v>
      </c>
      <c r="H40" s="190" t="s">
        <v>2411</v>
      </c>
      <c r="I40" s="190" t="s">
        <v>1884</v>
      </c>
      <c r="J40" s="594">
        <f t="shared" si="0"/>
        <v>6</v>
      </c>
      <c r="K40" s="591" t="str">
        <f t="shared" si="1"/>
        <v>🟢 TIER 4</v>
      </c>
      <c r="L40" s="591">
        <f>COUNTIFS('All 108 Regulators - Frameworks'!B$4:B$500,A40,'All 108 Regulators - Frameworks'!BB$4:BB$500,"DEEP")</f>
        <v>1</v>
      </c>
      <c r="M40" s="591">
        <f>COUNTIFS('All 108 Regulators - Frameworks'!B$4:B$500,A40,'All 108 Regulators - Frameworks'!BB$4:BB$500,"TEMPLATE")</f>
        <v>2</v>
      </c>
      <c r="N40" s="675">
        <f t="shared" si="2"/>
        <v>0.33333333333333331</v>
      </c>
      <c r="O40" s="675">
        <f t="shared" si="3"/>
        <v>0</v>
      </c>
      <c r="P40" s="608">
        <f>IFERROR(AVERAGEIFS('All 108 Regulators - Frameworks'!BF$4:BF$500,'All 108 Regulators - Frameworks'!B$4:B$500,A40),0)</f>
        <v>8.6666666666666661</v>
      </c>
    </row>
    <row r="41" spans="1:16" ht="36" customHeight="1" x14ac:dyDescent="0.45">
      <c r="A41" s="205" t="s">
        <v>1887</v>
      </c>
      <c r="B41" s="192" t="s">
        <v>1888</v>
      </c>
      <c r="C41" s="190" t="s">
        <v>1562</v>
      </c>
      <c r="D41" s="190">
        <v>1</v>
      </c>
      <c r="E41" s="190">
        <v>2</v>
      </c>
      <c r="F41" s="190">
        <v>3</v>
      </c>
      <c r="G41" s="190">
        <v>0</v>
      </c>
      <c r="H41" s="190" t="s">
        <v>2412</v>
      </c>
      <c r="I41" s="190" t="s">
        <v>1891</v>
      </c>
      <c r="J41" s="594">
        <f t="shared" si="0"/>
        <v>6</v>
      </c>
      <c r="K41" s="591" t="str">
        <f t="shared" si="1"/>
        <v>🟢 TIER 4</v>
      </c>
      <c r="L41" s="591">
        <f>COUNTIFS('All 108 Regulators - Frameworks'!B$4:B$500,A41,'All 108 Regulators - Frameworks'!BB$4:BB$500,"DEEP")</f>
        <v>1</v>
      </c>
      <c r="M41" s="591">
        <f>COUNTIFS('All 108 Regulators - Frameworks'!B$4:B$500,A41,'All 108 Regulators - Frameworks'!BB$4:BB$500,"TEMPLATE")</f>
        <v>2</v>
      </c>
      <c r="N41" s="675">
        <f t="shared" si="2"/>
        <v>0.33333333333333331</v>
      </c>
      <c r="O41" s="675">
        <f t="shared" si="3"/>
        <v>0</v>
      </c>
      <c r="P41" s="608">
        <f>IFERROR(AVERAGEIFS('All 108 Regulators - Frameworks'!BF$4:BF$500,'All 108 Regulators - Frameworks'!B$4:B$500,A41),0)</f>
        <v>8.6666666666666661</v>
      </c>
    </row>
    <row r="42" spans="1:16" ht="36" customHeight="1" x14ac:dyDescent="0.45">
      <c r="A42" s="97" t="s">
        <v>1894</v>
      </c>
      <c r="B42" s="99" t="s">
        <v>1895</v>
      </c>
      <c r="C42" s="98" t="s">
        <v>1288</v>
      </c>
      <c r="D42" s="98">
        <v>1</v>
      </c>
      <c r="E42" s="98">
        <v>1</v>
      </c>
      <c r="F42" s="98">
        <v>2</v>
      </c>
      <c r="G42" s="98">
        <v>0</v>
      </c>
      <c r="H42" s="98" t="s">
        <v>2413</v>
      </c>
      <c r="I42" s="98" t="s">
        <v>1901</v>
      </c>
      <c r="J42" s="594">
        <f t="shared" si="0"/>
        <v>5</v>
      </c>
      <c r="K42" s="591" t="str">
        <f t="shared" si="1"/>
        <v>🟢 TIER 4</v>
      </c>
      <c r="L42" s="591">
        <f>COUNTIFS('All 108 Regulators - Frameworks'!B$4:B$500,A42,'All 108 Regulators - Frameworks'!BB$4:BB$500,"DEEP")</f>
        <v>0</v>
      </c>
      <c r="M42" s="591">
        <f>COUNTIFS('All 108 Regulators - Frameworks'!B$4:B$500,A42,'All 108 Regulators - Frameworks'!BB$4:BB$500,"TEMPLATE")</f>
        <v>2</v>
      </c>
      <c r="N42" s="675">
        <f t="shared" si="2"/>
        <v>0</v>
      </c>
      <c r="O42" s="675">
        <f t="shared" si="3"/>
        <v>0</v>
      </c>
      <c r="P42" s="608">
        <f>IFERROR(AVERAGEIFS('All 108 Regulators - Frameworks'!BF$4:BF$500,'All 108 Regulators - Frameworks'!B$4:B$500,A42),0)</f>
        <v>6.5</v>
      </c>
    </row>
    <row r="43" spans="1:16" ht="36" customHeight="1" x14ac:dyDescent="0.45">
      <c r="A43" s="97" t="s">
        <v>1904</v>
      </c>
      <c r="B43" s="99" t="s">
        <v>1905</v>
      </c>
      <c r="C43" s="98" t="s">
        <v>1288</v>
      </c>
      <c r="D43" s="98">
        <v>1</v>
      </c>
      <c r="E43" s="98">
        <v>1</v>
      </c>
      <c r="F43" s="98">
        <v>2</v>
      </c>
      <c r="G43" s="98">
        <v>0</v>
      </c>
      <c r="H43" s="98" t="s">
        <v>2414</v>
      </c>
      <c r="I43" s="98" t="s">
        <v>1901</v>
      </c>
      <c r="J43" s="594">
        <f t="shared" si="0"/>
        <v>5</v>
      </c>
      <c r="K43" s="591" t="str">
        <f t="shared" si="1"/>
        <v>🟢 TIER 4</v>
      </c>
      <c r="L43" s="591">
        <f>COUNTIFS('All 108 Regulators - Frameworks'!B$4:B$500,A43,'All 108 Regulators - Frameworks'!BB$4:BB$500,"DEEP")</f>
        <v>0</v>
      </c>
      <c r="M43" s="591">
        <f>COUNTIFS('All 108 Regulators - Frameworks'!B$4:B$500,A43,'All 108 Regulators - Frameworks'!BB$4:BB$500,"TEMPLATE")</f>
        <v>2</v>
      </c>
      <c r="N43" s="675">
        <f t="shared" si="2"/>
        <v>0</v>
      </c>
      <c r="O43" s="675">
        <f t="shared" si="3"/>
        <v>0</v>
      </c>
      <c r="P43" s="608">
        <f>IFERROR(AVERAGEIFS('All 108 Regulators - Frameworks'!BF$4:BF$500,'All 108 Regulators - Frameworks'!B$4:B$500,A43),0)</f>
        <v>6.5</v>
      </c>
    </row>
    <row r="44" spans="1:16" ht="36" customHeight="1" x14ac:dyDescent="0.45">
      <c r="A44" s="97" t="s">
        <v>1909</v>
      </c>
      <c r="B44" s="99" t="s">
        <v>1910</v>
      </c>
      <c r="C44" s="98" t="s">
        <v>1288</v>
      </c>
      <c r="D44" s="98">
        <v>1</v>
      </c>
      <c r="E44" s="98">
        <v>1</v>
      </c>
      <c r="F44" s="98">
        <v>2</v>
      </c>
      <c r="G44" s="98">
        <v>0</v>
      </c>
      <c r="H44" s="98" t="s">
        <v>2415</v>
      </c>
      <c r="I44" s="98" t="s">
        <v>1901</v>
      </c>
      <c r="J44" s="594">
        <f t="shared" si="0"/>
        <v>5</v>
      </c>
      <c r="K44" s="591" t="str">
        <f t="shared" si="1"/>
        <v>🟢 TIER 4</v>
      </c>
      <c r="L44" s="591">
        <f>COUNTIFS('All 108 Regulators - Frameworks'!B$4:B$500,A44,'All 108 Regulators - Frameworks'!BB$4:BB$500,"DEEP")</f>
        <v>0</v>
      </c>
      <c r="M44" s="591">
        <f>COUNTIFS('All 108 Regulators - Frameworks'!B$4:B$500,A44,'All 108 Regulators - Frameworks'!BB$4:BB$500,"TEMPLATE")</f>
        <v>2</v>
      </c>
      <c r="N44" s="675">
        <f t="shared" si="2"/>
        <v>0</v>
      </c>
      <c r="O44" s="675">
        <f t="shared" si="3"/>
        <v>0</v>
      </c>
      <c r="P44" s="608">
        <f>IFERROR(AVERAGEIFS('All 108 Regulators - Frameworks'!BF$4:BF$500,'All 108 Regulators - Frameworks'!B$4:B$500,A44),0)</f>
        <v>6.5</v>
      </c>
    </row>
    <row r="45" spans="1:16" ht="36" customHeight="1" x14ac:dyDescent="0.45">
      <c r="A45" s="97" t="s">
        <v>1914</v>
      </c>
      <c r="B45" s="99" t="s">
        <v>1915</v>
      </c>
      <c r="C45" s="98" t="s">
        <v>1288</v>
      </c>
      <c r="D45" s="98">
        <v>1</v>
      </c>
      <c r="E45" s="98">
        <v>1</v>
      </c>
      <c r="F45" s="98">
        <v>2</v>
      </c>
      <c r="G45" s="98">
        <v>0</v>
      </c>
      <c r="H45" s="98" t="s">
        <v>2416</v>
      </c>
      <c r="I45" s="98" t="s">
        <v>1901</v>
      </c>
      <c r="J45" s="594">
        <f t="shared" si="0"/>
        <v>5</v>
      </c>
      <c r="K45" s="591" t="str">
        <f t="shared" si="1"/>
        <v>🟢 TIER 4</v>
      </c>
      <c r="L45" s="591">
        <f>COUNTIFS('All 108 Regulators - Frameworks'!B$4:B$500,A45,'All 108 Regulators - Frameworks'!BB$4:BB$500,"DEEP")</f>
        <v>0</v>
      </c>
      <c r="M45" s="591">
        <f>COUNTIFS('All 108 Regulators - Frameworks'!B$4:B$500,A45,'All 108 Regulators - Frameworks'!BB$4:BB$500,"TEMPLATE")</f>
        <v>2</v>
      </c>
      <c r="N45" s="675">
        <f t="shared" si="2"/>
        <v>0</v>
      </c>
      <c r="O45" s="675">
        <f t="shared" si="3"/>
        <v>0</v>
      </c>
      <c r="P45" s="608">
        <f>IFERROR(AVERAGEIFS('All 108 Regulators - Frameworks'!BF$4:BF$500,'All 108 Regulators - Frameworks'!B$4:B$500,A45),0)</f>
        <v>6.5</v>
      </c>
    </row>
    <row r="46" spans="1:16" ht="36" customHeight="1" x14ac:dyDescent="0.45">
      <c r="A46" s="97" t="s">
        <v>1919</v>
      </c>
      <c r="B46" s="99" t="s">
        <v>1920</v>
      </c>
      <c r="C46" s="98" t="s">
        <v>1288</v>
      </c>
      <c r="D46" s="98">
        <v>1</v>
      </c>
      <c r="E46" s="98">
        <v>1</v>
      </c>
      <c r="F46" s="98">
        <v>2</v>
      </c>
      <c r="G46" s="98">
        <v>0</v>
      </c>
      <c r="H46" s="98" t="s">
        <v>2417</v>
      </c>
      <c r="I46" s="98" t="s">
        <v>1901</v>
      </c>
      <c r="J46" s="594">
        <f t="shared" si="0"/>
        <v>5</v>
      </c>
      <c r="K46" s="591" t="str">
        <f t="shared" si="1"/>
        <v>🟢 TIER 4</v>
      </c>
      <c r="L46" s="591">
        <f>COUNTIFS('All 108 Regulators - Frameworks'!B$4:B$500,A46,'All 108 Regulators - Frameworks'!BB$4:BB$500,"DEEP")</f>
        <v>0</v>
      </c>
      <c r="M46" s="591">
        <f>COUNTIFS('All 108 Regulators - Frameworks'!B$4:B$500,A46,'All 108 Regulators - Frameworks'!BB$4:BB$500,"TEMPLATE")</f>
        <v>2</v>
      </c>
      <c r="N46" s="675">
        <f t="shared" si="2"/>
        <v>0</v>
      </c>
      <c r="O46" s="675">
        <f t="shared" si="3"/>
        <v>0</v>
      </c>
      <c r="P46" s="608">
        <f>IFERROR(AVERAGEIFS('All 108 Regulators - Frameworks'!BF$4:BF$500,'All 108 Regulators - Frameworks'!B$4:B$500,A46),0)</f>
        <v>6.5</v>
      </c>
    </row>
    <row r="47" spans="1:16" ht="36" customHeight="1" x14ac:dyDescent="0.45">
      <c r="A47" s="97" t="s">
        <v>1924</v>
      </c>
      <c r="B47" s="99" t="s">
        <v>1925</v>
      </c>
      <c r="C47" s="98" t="s">
        <v>1288</v>
      </c>
      <c r="D47" s="98">
        <v>1</v>
      </c>
      <c r="E47" s="98">
        <v>1</v>
      </c>
      <c r="F47" s="98">
        <v>2</v>
      </c>
      <c r="G47" s="98">
        <v>0</v>
      </c>
      <c r="H47" s="98" t="s">
        <v>2418</v>
      </c>
      <c r="I47" s="98" t="s">
        <v>1901</v>
      </c>
      <c r="J47" s="594">
        <f t="shared" si="0"/>
        <v>5</v>
      </c>
      <c r="K47" s="591" t="str">
        <f t="shared" si="1"/>
        <v>🟢 TIER 4</v>
      </c>
      <c r="L47" s="591">
        <f>COUNTIFS('All 108 Regulators - Frameworks'!B$4:B$500,A47,'All 108 Regulators - Frameworks'!BB$4:BB$500,"DEEP")</f>
        <v>0</v>
      </c>
      <c r="M47" s="591">
        <f>COUNTIFS('All 108 Regulators - Frameworks'!B$4:B$500,A47,'All 108 Regulators - Frameworks'!BB$4:BB$500,"TEMPLATE")</f>
        <v>2</v>
      </c>
      <c r="N47" s="675">
        <f t="shared" si="2"/>
        <v>0</v>
      </c>
      <c r="O47" s="675">
        <f t="shared" si="3"/>
        <v>0</v>
      </c>
      <c r="P47" s="608">
        <f>IFERROR(AVERAGEIFS('All 108 Regulators - Frameworks'!BF$4:BF$500,'All 108 Regulators - Frameworks'!B$4:B$500,A47),0)</f>
        <v>6.5</v>
      </c>
    </row>
    <row r="48" spans="1:16" ht="36" customHeight="1" x14ac:dyDescent="0.45">
      <c r="A48" s="97" t="s">
        <v>1929</v>
      </c>
      <c r="B48" s="99" t="s">
        <v>1930</v>
      </c>
      <c r="C48" s="98" t="s">
        <v>1288</v>
      </c>
      <c r="D48" s="98">
        <v>1</v>
      </c>
      <c r="E48" s="98">
        <v>1</v>
      </c>
      <c r="F48" s="98">
        <v>2</v>
      </c>
      <c r="G48" s="98">
        <v>0</v>
      </c>
      <c r="H48" s="98" t="s">
        <v>2419</v>
      </c>
      <c r="I48" s="98" t="s">
        <v>1901</v>
      </c>
      <c r="J48" s="594">
        <f t="shared" si="0"/>
        <v>5</v>
      </c>
      <c r="K48" s="591" t="str">
        <f t="shared" si="1"/>
        <v>🟢 TIER 4</v>
      </c>
      <c r="L48" s="591">
        <f>COUNTIFS('All 108 Regulators - Frameworks'!B$4:B$500,A48,'All 108 Regulators - Frameworks'!BB$4:BB$500,"DEEP")</f>
        <v>0</v>
      </c>
      <c r="M48" s="591">
        <f>COUNTIFS('All 108 Regulators - Frameworks'!B$4:B$500,A48,'All 108 Regulators - Frameworks'!BB$4:BB$500,"TEMPLATE")</f>
        <v>2</v>
      </c>
      <c r="N48" s="675">
        <f t="shared" si="2"/>
        <v>0</v>
      </c>
      <c r="O48" s="675">
        <f t="shared" si="3"/>
        <v>0</v>
      </c>
      <c r="P48" s="608">
        <f>IFERROR(AVERAGEIFS('All 108 Regulators - Frameworks'!BF$4:BF$500,'All 108 Regulators - Frameworks'!B$4:B$500,A48),0)</f>
        <v>6.5</v>
      </c>
    </row>
    <row r="49" spans="1:16" ht="36" customHeight="1" x14ac:dyDescent="0.45">
      <c r="A49" s="97" t="s">
        <v>1934</v>
      </c>
      <c r="B49" s="99" t="s">
        <v>1935</v>
      </c>
      <c r="C49" s="98" t="s">
        <v>1288</v>
      </c>
      <c r="D49" s="98">
        <v>1</v>
      </c>
      <c r="E49" s="98">
        <v>1</v>
      </c>
      <c r="F49" s="98">
        <v>2</v>
      </c>
      <c r="G49" s="98">
        <v>0</v>
      </c>
      <c r="H49" s="98" t="s">
        <v>2420</v>
      </c>
      <c r="I49" s="98" t="s">
        <v>1901</v>
      </c>
      <c r="J49" s="594">
        <f t="shared" si="0"/>
        <v>5</v>
      </c>
      <c r="K49" s="591" t="str">
        <f t="shared" si="1"/>
        <v>🟢 TIER 4</v>
      </c>
      <c r="L49" s="591">
        <f>COUNTIFS('All 108 Regulators - Frameworks'!B$4:B$500,A49,'All 108 Regulators - Frameworks'!BB$4:BB$500,"DEEP")</f>
        <v>0</v>
      </c>
      <c r="M49" s="591">
        <f>COUNTIFS('All 108 Regulators - Frameworks'!B$4:B$500,A49,'All 108 Regulators - Frameworks'!BB$4:BB$500,"TEMPLATE")</f>
        <v>2</v>
      </c>
      <c r="N49" s="675">
        <f t="shared" si="2"/>
        <v>0</v>
      </c>
      <c r="O49" s="675">
        <f t="shared" si="3"/>
        <v>0</v>
      </c>
      <c r="P49" s="608">
        <f>IFERROR(AVERAGEIFS('All 108 Regulators - Frameworks'!BF$4:BF$500,'All 108 Regulators - Frameworks'!B$4:B$500,A49),0)</f>
        <v>6.5</v>
      </c>
    </row>
    <row r="50" spans="1:16" ht="36" customHeight="1" x14ac:dyDescent="0.45">
      <c r="A50" s="144" t="s">
        <v>1939</v>
      </c>
      <c r="B50" s="146" t="s">
        <v>1940</v>
      </c>
      <c r="C50" s="145" t="s">
        <v>1467</v>
      </c>
      <c r="D50" s="145">
        <v>1</v>
      </c>
      <c r="E50" s="145">
        <v>1</v>
      </c>
      <c r="F50" s="145">
        <v>2</v>
      </c>
      <c r="G50" s="145">
        <v>0</v>
      </c>
      <c r="H50" s="145" t="s">
        <v>2421</v>
      </c>
      <c r="I50" s="145" t="s">
        <v>1901</v>
      </c>
      <c r="J50" s="594">
        <f t="shared" si="0"/>
        <v>5</v>
      </c>
      <c r="K50" s="591" t="str">
        <f t="shared" si="1"/>
        <v>🟢 TIER 4</v>
      </c>
      <c r="L50" s="591">
        <f>COUNTIFS('All 108 Regulators - Frameworks'!B$4:B$500,A50,'All 108 Regulators - Frameworks'!BB$4:BB$500,"DEEP")</f>
        <v>0</v>
      </c>
      <c r="M50" s="591">
        <f>COUNTIFS('All 108 Regulators - Frameworks'!B$4:B$500,A50,'All 108 Regulators - Frameworks'!BB$4:BB$500,"TEMPLATE")</f>
        <v>2</v>
      </c>
      <c r="N50" s="675">
        <f t="shared" si="2"/>
        <v>0</v>
      </c>
      <c r="O50" s="675">
        <f t="shared" si="3"/>
        <v>0</v>
      </c>
      <c r="P50" s="608">
        <f>IFERROR(AVERAGEIFS('All 108 Regulators - Frameworks'!BF$4:BF$500,'All 108 Regulators - Frameworks'!B$4:B$500,A50),0)</f>
        <v>6.5</v>
      </c>
    </row>
    <row r="51" spans="1:16" ht="36" customHeight="1" x14ac:dyDescent="0.45">
      <c r="A51" s="167" t="s">
        <v>1944</v>
      </c>
      <c r="B51" s="169" t="s">
        <v>1945</v>
      </c>
      <c r="C51" s="168" t="s">
        <v>1512</v>
      </c>
      <c r="D51" s="168">
        <v>1</v>
      </c>
      <c r="E51" s="168">
        <v>1</v>
      </c>
      <c r="F51" s="168">
        <v>2</v>
      </c>
      <c r="G51" s="168">
        <v>0</v>
      </c>
      <c r="H51" s="168" t="s">
        <v>2422</v>
      </c>
      <c r="I51" s="168" t="s">
        <v>1901</v>
      </c>
      <c r="J51" s="594">
        <f t="shared" si="0"/>
        <v>5</v>
      </c>
      <c r="K51" s="591" t="str">
        <f t="shared" si="1"/>
        <v>🟢 TIER 4</v>
      </c>
      <c r="L51" s="591">
        <f>COUNTIFS('All 108 Regulators - Frameworks'!B$4:B$500,A51,'All 108 Regulators - Frameworks'!BB$4:BB$500,"DEEP")</f>
        <v>0</v>
      </c>
      <c r="M51" s="591">
        <f>COUNTIFS('All 108 Regulators - Frameworks'!B$4:B$500,A51,'All 108 Regulators - Frameworks'!BB$4:BB$500,"TEMPLATE")</f>
        <v>2</v>
      </c>
      <c r="N51" s="675">
        <f t="shared" si="2"/>
        <v>0</v>
      </c>
      <c r="O51" s="675">
        <f t="shared" si="3"/>
        <v>0</v>
      </c>
      <c r="P51" s="608">
        <f>IFERROR(AVERAGEIFS('All 108 Regulators - Frameworks'!BF$4:BF$500,'All 108 Regulators - Frameworks'!B$4:B$500,A51),0)</f>
        <v>6.5</v>
      </c>
    </row>
    <row r="52" spans="1:16" ht="36" customHeight="1" x14ac:dyDescent="0.45">
      <c r="A52" s="167" t="s">
        <v>1949</v>
      </c>
      <c r="B52" s="169" t="s">
        <v>1950</v>
      </c>
      <c r="C52" s="168" t="s">
        <v>1512</v>
      </c>
      <c r="D52" s="168">
        <v>1</v>
      </c>
      <c r="E52" s="168">
        <v>1</v>
      </c>
      <c r="F52" s="168">
        <v>2</v>
      </c>
      <c r="G52" s="168">
        <v>0</v>
      </c>
      <c r="H52" s="168" t="s">
        <v>2423</v>
      </c>
      <c r="I52" s="168" t="s">
        <v>1901</v>
      </c>
      <c r="J52" s="594">
        <f t="shared" si="0"/>
        <v>5</v>
      </c>
      <c r="K52" s="591" t="str">
        <f t="shared" si="1"/>
        <v>🟢 TIER 4</v>
      </c>
      <c r="L52" s="591">
        <f>COUNTIFS('All 108 Regulators - Frameworks'!B$4:B$500,A52,'All 108 Regulators - Frameworks'!BB$4:BB$500,"DEEP")</f>
        <v>0</v>
      </c>
      <c r="M52" s="591">
        <f>COUNTIFS('All 108 Regulators - Frameworks'!B$4:B$500,A52,'All 108 Regulators - Frameworks'!BB$4:BB$500,"TEMPLATE")</f>
        <v>2</v>
      </c>
      <c r="N52" s="675">
        <f t="shared" si="2"/>
        <v>0</v>
      </c>
      <c r="O52" s="675">
        <f t="shared" si="3"/>
        <v>0</v>
      </c>
      <c r="P52" s="608">
        <f>IFERROR(AVERAGEIFS('All 108 Regulators - Frameworks'!BF$4:BF$500,'All 108 Regulators - Frameworks'!B$4:B$500,A52),0)</f>
        <v>6.5</v>
      </c>
    </row>
    <row r="53" spans="1:16" ht="36" customHeight="1" x14ac:dyDescent="0.45">
      <c r="A53" s="167" t="s">
        <v>1954</v>
      </c>
      <c r="B53" s="169" t="s">
        <v>1955</v>
      </c>
      <c r="C53" s="168" t="s">
        <v>1512</v>
      </c>
      <c r="D53" s="168">
        <v>1</v>
      </c>
      <c r="E53" s="168">
        <v>1</v>
      </c>
      <c r="F53" s="168">
        <v>2</v>
      </c>
      <c r="G53" s="168">
        <v>0</v>
      </c>
      <c r="H53" s="168" t="s">
        <v>2424</v>
      </c>
      <c r="I53" s="168" t="s">
        <v>1901</v>
      </c>
      <c r="J53" s="594">
        <f t="shared" si="0"/>
        <v>5</v>
      </c>
      <c r="K53" s="591" t="str">
        <f t="shared" si="1"/>
        <v>🟢 TIER 4</v>
      </c>
      <c r="L53" s="591">
        <f>COUNTIFS('All 108 Regulators - Frameworks'!B$4:B$500,A53,'All 108 Regulators - Frameworks'!BB$4:BB$500,"DEEP")</f>
        <v>0</v>
      </c>
      <c r="M53" s="591">
        <f>COUNTIFS('All 108 Regulators - Frameworks'!B$4:B$500,A53,'All 108 Regulators - Frameworks'!BB$4:BB$500,"TEMPLATE")</f>
        <v>2</v>
      </c>
      <c r="N53" s="675">
        <f t="shared" si="2"/>
        <v>0</v>
      </c>
      <c r="O53" s="675">
        <f t="shared" si="3"/>
        <v>0</v>
      </c>
      <c r="P53" s="608">
        <f>IFERROR(AVERAGEIFS('All 108 Regulators - Frameworks'!BF$4:BF$500,'All 108 Regulators - Frameworks'!B$4:B$500,A53),0)</f>
        <v>6.5</v>
      </c>
    </row>
    <row r="54" spans="1:16" ht="36" customHeight="1" x14ac:dyDescent="0.45">
      <c r="A54" s="213" t="s">
        <v>1960</v>
      </c>
      <c r="B54" s="215" t="s">
        <v>1961</v>
      </c>
      <c r="C54" s="214" t="s">
        <v>1962</v>
      </c>
      <c r="D54" s="214">
        <v>1</v>
      </c>
      <c r="E54" s="214">
        <v>1</v>
      </c>
      <c r="F54" s="214">
        <v>2</v>
      </c>
      <c r="G54" s="214">
        <v>0</v>
      </c>
      <c r="H54" s="214" t="s">
        <v>2425</v>
      </c>
      <c r="I54" s="214" t="s">
        <v>1901</v>
      </c>
      <c r="J54" s="594">
        <f t="shared" si="0"/>
        <v>5</v>
      </c>
      <c r="K54" s="591" t="str">
        <f t="shared" si="1"/>
        <v>🟢 TIER 4</v>
      </c>
      <c r="L54" s="591">
        <f>COUNTIFS('All 108 Regulators - Frameworks'!B$4:B$500,A54,'All 108 Regulators - Frameworks'!BB$4:BB$500,"DEEP")</f>
        <v>0</v>
      </c>
      <c r="M54" s="591">
        <f>COUNTIFS('All 108 Regulators - Frameworks'!B$4:B$500,A54,'All 108 Regulators - Frameworks'!BB$4:BB$500,"TEMPLATE")</f>
        <v>2</v>
      </c>
      <c r="N54" s="675">
        <f t="shared" si="2"/>
        <v>0</v>
      </c>
      <c r="O54" s="675">
        <f t="shared" si="3"/>
        <v>0</v>
      </c>
      <c r="P54" s="608">
        <f>IFERROR(AVERAGEIFS('All 108 Regulators - Frameworks'!BF$4:BF$500,'All 108 Regulators - Frameworks'!B$4:B$500,A54),0)</f>
        <v>6.5</v>
      </c>
    </row>
    <row r="55" spans="1:16" ht="36" customHeight="1" x14ac:dyDescent="0.45">
      <c r="A55" s="213" t="s">
        <v>1966</v>
      </c>
      <c r="B55" s="215" t="s">
        <v>1967</v>
      </c>
      <c r="C55" s="214" t="s">
        <v>1962</v>
      </c>
      <c r="D55" s="214">
        <v>1</v>
      </c>
      <c r="E55" s="214">
        <v>1</v>
      </c>
      <c r="F55" s="214">
        <v>2</v>
      </c>
      <c r="G55" s="214">
        <v>0</v>
      </c>
      <c r="H55" s="214" t="s">
        <v>2426</v>
      </c>
      <c r="I55" s="214" t="s">
        <v>1901</v>
      </c>
      <c r="J55" s="594">
        <f t="shared" si="0"/>
        <v>5</v>
      </c>
      <c r="K55" s="591" t="str">
        <f t="shared" si="1"/>
        <v>🟢 TIER 4</v>
      </c>
      <c r="L55" s="591">
        <f>COUNTIFS('All 108 Regulators - Frameworks'!B$4:B$500,A55,'All 108 Regulators - Frameworks'!BB$4:BB$500,"DEEP")</f>
        <v>0</v>
      </c>
      <c r="M55" s="591">
        <f>COUNTIFS('All 108 Regulators - Frameworks'!B$4:B$500,A55,'All 108 Regulators - Frameworks'!BB$4:BB$500,"TEMPLATE")</f>
        <v>2</v>
      </c>
      <c r="N55" s="675">
        <f t="shared" si="2"/>
        <v>0</v>
      </c>
      <c r="O55" s="675">
        <f t="shared" si="3"/>
        <v>0</v>
      </c>
      <c r="P55" s="608">
        <f>IFERROR(AVERAGEIFS('All 108 Regulators - Frameworks'!BF$4:BF$500,'All 108 Regulators - Frameworks'!B$4:B$500,A55),0)</f>
        <v>6.5</v>
      </c>
    </row>
    <row r="56" spans="1:16" ht="36" customHeight="1" x14ac:dyDescent="0.45">
      <c r="A56" s="213" t="s">
        <v>1971</v>
      </c>
      <c r="B56" s="215" t="s">
        <v>1972</v>
      </c>
      <c r="C56" s="214" t="s">
        <v>1962</v>
      </c>
      <c r="D56" s="214">
        <v>1</v>
      </c>
      <c r="E56" s="214">
        <v>1</v>
      </c>
      <c r="F56" s="214">
        <v>2</v>
      </c>
      <c r="G56" s="214">
        <v>0</v>
      </c>
      <c r="H56" s="214" t="s">
        <v>2427</v>
      </c>
      <c r="I56" s="214" t="s">
        <v>1901</v>
      </c>
      <c r="J56" s="594">
        <f t="shared" si="0"/>
        <v>5</v>
      </c>
      <c r="K56" s="591" t="str">
        <f t="shared" si="1"/>
        <v>🟢 TIER 4</v>
      </c>
      <c r="L56" s="591">
        <f>COUNTIFS('All 108 Regulators - Frameworks'!B$4:B$500,A56,'All 108 Regulators - Frameworks'!BB$4:BB$500,"DEEP")</f>
        <v>0</v>
      </c>
      <c r="M56" s="591">
        <f>COUNTIFS('All 108 Regulators - Frameworks'!B$4:B$500,A56,'All 108 Regulators - Frameworks'!BB$4:BB$500,"TEMPLATE")</f>
        <v>2</v>
      </c>
      <c r="N56" s="675">
        <f t="shared" si="2"/>
        <v>0</v>
      </c>
      <c r="O56" s="675">
        <f t="shared" si="3"/>
        <v>0</v>
      </c>
      <c r="P56" s="608">
        <f>IFERROR(AVERAGEIFS('All 108 Regulators - Frameworks'!BF$4:BF$500,'All 108 Regulators - Frameworks'!B$4:B$500,A56),0)</f>
        <v>6.5</v>
      </c>
    </row>
    <row r="57" spans="1:16" ht="36" customHeight="1" x14ac:dyDescent="0.45">
      <c r="A57" s="213" t="s">
        <v>1976</v>
      </c>
      <c r="B57" s="215" t="s">
        <v>1977</v>
      </c>
      <c r="C57" s="214" t="s">
        <v>1962</v>
      </c>
      <c r="D57" s="214">
        <v>1</v>
      </c>
      <c r="E57" s="214">
        <v>1</v>
      </c>
      <c r="F57" s="214">
        <v>2</v>
      </c>
      <c r="G57" s="214">
        <v>0</v>
      </c>
      <c r="H57" s="214" t="s">
        <v>2428</v>
      </c>
      <c r="I57" s="214" t="s">
        <v>1901</v>
      </c>
      <c r="J57" s="594">
        <f t="shared" si="0"/>
        <v>5</v>
      </c>
      <c r="K57" s="591" t="str">
        <f t="shared" si="1"/>
        <v>🟢 TIER 4</v>
      </c>
      <c r="L57" s="591">
        <f>COUNTIFS('All 108 Regulators - Frameworks'!B$4:B$500,A57,'All 108 Regulators - Frameworks'!BB$4:BB$500,"DEEP")</f>
        <v>0</v>
      </c>
      <c r="M57" s="591">
        <f>COUNTIFS('All 108 Regulators - Frameworks'!B$4:B$500,A57,'All 108 Regulators - Frameworks'!BB$4:BB$500,"TEMPLATE")</f>
        <v>2</v>
      </c>
      <c r="N57" s="675">
        <f t="shared" si="2"/>
        <v>0</v>
      </c>
      <c r="O57" s="675">
        <f t="shared" si="3"/>
        <v>0</v>
      </c>
      <c r="P57" s="608">
        <f>IFERROR(AVERAGEIFS('All 108 Regulators - Frameworks'!BF$4:BF$500,'All 108 Regulators - Frameworks'!B$4:B$500,A57),0)</f>
        <v>6.5</v>
      </c>
    </row>
    <row r="58" spans="1:16" ht="36" customHeight="1" x14ac:dyDescent="0.45">
      <c r="A58" s="235" t="s">
        <v>1982</v>
      </c>
      <c r="B58" s="237" t="s">
        <v>1983</v>
      </c>
      <c r="C58" s="236" t="s">
        <v>1984</v>
      </c>
      <c r="D58" s="236">
        <v>1</v>
      </c>
      <c r="E58" s="236">
        <v>1</v>
      </c>
      <c r="F58" s="236">
        <v>2</v>
      </c>
      <c r="G58" s="236">
        <v>0</v>
      </c>
      <c r="H58" s="236" t="s">
        <v>2429</v>
      </c>
      <c r="I58" s="236" t="s">
        <v>1901</v>
      </c>
      <c r="J58" s="594">
        <f t="shared" si="0"/>
        <v>5</v>
      </c>
      <c r="K58" s="591" t="str">
        <f t="shared" si="1"/>
        <v>🟢 TIER 4</v>
      </c>
      <c r="L58" s="591">
        <f>COUNTIFS('All 108 Regulators - Frameworks'!B$4:B$500,A58,'All 108 Regulators - Frameworks'!BB$4:BB$500,"DEEP")</f>
        <v>0</v>
      </c>
      <c r="M58" s="591">
        <f>COUNTIFS('All 108 Regulators - Frameworks'!B$4:B$500,A58,'All 108 Regulators - Frameworks'!BB$4:BB$500,"TEMPLATE")</f>
        <v>2</v>
      </c>
      <c r="N58" s="675">
        <f t="shared" si="2"/>
        <v>0</v>
      </c>
      <c r="O58" s="675">
        <f t="shared" si="3"/>
        <v>0</v>
      </c>
      <c r="P58" s="608">
        <f>IFERROR(AVERAGEIFS('All 108 Regulators - Frameworks'!BF$4:BF$500,'All 108 Regulators - Frameworks'!B$4:B$500,A58),0)</f>
        <v>6.5</v>
      </c>
    </row>
    <row r="59" spans="1:16" ht="36" customHeight="1" x14ac:dyDescent="0.45">
      <c r="A59" s="258" t="s">
        <v>1989</v>
      </c>
      <c r="B59" s="260" t="s">
        <v>1990</v>
      </c>
      <c r="C59" s="259" t="s">
        <v>1991</v>
      </c>
      <c r="D59" s="259">
        <v>1</v>
      </c>
      <c r="E59" s="259">
        <v>1</v>
      </c>
      <c r="F59" s="259">
        <v>2</v>
      </c>
      <c r="G59" s="259">
        <v>0</v>
      </c>
      <c r="H59" s="259" t="s">
        <v>2430</v>
      </c>
      <c r="I59" s="259" t="s">
        <v>1901</v>
      </c>
      <c r="J59" s="594">
        <f t="shared" si="0"/>
        <v>5</v>
      </c>
      <c r="K59" s="591" t="str">
        <f t="shared" si="1"/>
        <v>🟢 TIER 4</v>
      </c>
      <c r="L59" s="591">
        <f>COUNTIFS('All 108 Regulators - Frameworks'!B$4:B$500,A59,'All 108 Regulators - Frameworks'!BB$4:BB$500,"DEEP")</f>
        <v>0</v>
      </c>
      <c r="M59" s="591">
        <f>COUNTIFS('All 108 Regulators - Frameworks'!B$4:B$500,A59,'All 108 Regulators - Frameworks'!BB$4:BB$500,"TEMPLATE")</f>
        <v>2</v>
      </c>
      <c r="N59" s="675">
        <f t="shared" si="2"/>
        <v>0</v>
      </c>
      <c r="O59" s="675">
        <f t="shared" si="3"/>
        <v>0</v>
      </c>
      <c r="P59" s="608">
        <f>IFERROR(AVERAGEIFS('All 108 Regulators - Frameworks'!BF$4:BF$500,'All 108 Regulators - Frameworks'!B$4:B$500,A59),0)</f>
        <v>6.5</v>
      </c>
    </row>
    <row r="60" spans="1:16" ht="36" customHeight="1" x14ac:dyDescent="0.45">
      <c r="A60" s="258" t="s">
        <v>1996</v>
      </c>
      <c r="B60" s="260" t="s">
        <v>1997</v>
      </c>
      <c r="C60" s="259" t="s">
        <v>1991</v>
      </c>
      <c r="D60" s="259">
        <v>1</v>
      </c>
      <c r="E60" s="259">
        <v>1</v>
      </c>
      <c r="F60" s="259">
        <v>2</v>
      </c>
      <c r="G60" s="259">
        <v>0</v>
      </c>
      <c r="H60" s="259" t="s">
        <v>2431</v>
      </c>
      <c r="I60" s="259" t="s">
        <v>1901</v>
      </c>
      <c r="J60" s="594">
        <f t="shared" si="0"/>
        <v>5</v>
      </c>
      <c r="K60" s="591" t="str">
        <f t="shared" si="1"/>
        <v>🟢 TIER 4</v>
      </c>
      <c r="L60" s="591">
        <f>COUNTIFS('All 108 Regulators - Frameworks'!B$4:B$500,A60,'All 108 Regulators - Frameworks'!BB$4:BB$500,"DEEP")</f>
        <v>0</v>
      </c>
      <c r="M60" s="591">
        <f>COUNTIFS('All 108 Regulators - Frameworks'!B$4:B$500,A60,'All 108 Regulators - Frameworks'!BB$4:BB$500,"TEMPLATE")</f>
        <v>2</v>
      </c>
      <c r="N60" s="675">
        <f t="shared" si="2"/>
        <v>0</v>
      </c>
      <c r="O60" s="675">
        <f t="shared" si="3"/>
        <v>0</v>
      </c>
      <c r="P60" s="608">
        <f>IFERROR(AVERAGEIFS('All 108 Regulators - Frameworks'!BF$4:BF$500,'All 108 Regulators - Frameworks'!B$4:B$500,A60),0)</f>
        <v>6.5</v>
      </c>
    </row>
    <row r="61" spans="1:16" ht="36" customHeight="1" x14ac:dyDescent="0.45">
      <c r="A61" s="280" t="s">
        <v>2003</v>
      </c>
      <c r="B61" s="282" t="s">
        <v>2004</v>
      </c>
      <c r="C61" s="281" t="s">
        <v>2005</v>
      </c>
      <c r="D61" s="281">
        <v>1</v>
      </c>
      <c r="E61" s="281">
        <v>1</v>
      </c>
      <c r="F61" s="281">
        <v>2</v>
      </c>
      <c r="G61" s="281">
        <v>0</v>
      </c>
      <c r="H61" s="281" t="s">
        <v>2432</v>
      </c>
      <c r="I61" s="281" t="s">
        <v>1901</v>
      </c>
      <c r="J61" s="594">
        <f t="shared" si="0"/>
        <v>5</v>
      </c>
      <c r="K61" s="591" t="str">
        <f t="shared" si="1"/>
        <v>🟢 TIER 4</v>
      </c>
      <c r="L61" s="591">
        <f>COUNTIFS('All 108 Regulators - Frameworks'!B$4:B$500,A61,'All 108 Regulators - Frameworks'!BB$4:BB$500,"DEEP")</f>
        <v>0</v>
      </c>
      <c r="M61" s="591">
        <f>COUNTIFS('All 108 Regulators - Frameworks'!B$4:B$500,A61,'All 108 Regulators - Frameworks'!BB$4:BB$500,"TEMPLATE")</f>
        <v>2</v>
      </c>
      <c r="N61" s="675">
        <f t="shared" si="2"/>
        <v>0</v>
      </c>
      <c r="O61" s="675">
        <f t="shared" si="3"/>
        <v>0</v>
      </c>
      <c r="P61" s="608">
        <f>IFERROR(AVERAGEIFS('All 108 Regulators - Frameworks'!BF$4:BF$500,'All 108 Regulators - Frameworks'!B$4:B$500,A61),0)</f>
        <v>6.5</v>
      </c>
    </row>
    <row r="62" spans="1:16" ht="36" customHeight="1" x14ac:dyDescent="0.45">
      <c r="A62" s="280" t="s">
        <v>2010</v>
      </c>
      <c r="B62" s="282" t="s">
        <v>2011</v>
      </c>
      <c r="C62" s="281" t="s">
        <v>2005</v>
      </c>
      <c r="D62" s="281">
        <v>1</v>
      </c>
      <c r="E62" s="281">
        <v>1</v>
      </c>
      <c r="F62" s="281">
        <v>2</v>
      </c>
      <c r="G62" s="281">
        <v>0</v>
      </c>
      <c r="H62" s="281" t="s">
        <v>2433</v>
      </c>
      <c r="I62" s="281" t="s">
        <v>1901</v>
      </c>
      <c r="J62" s="594">
        <f t="shared" si="0"/>
        <v>5</v>
      </c>
      <c r="K62" s="591" t="str">
        <f t="shared" si="1"/>
        <v>🟢 TIER 4</v>
      </c>
      <c r="L62" s="591">
        <f>COUNTIFS('All 108 Regulators - Frameworks'!B$4:B$500,A62,'All 108 Regulators - Frameworks'!BB$4:BB$500,"DEEP")</f>
        <v>0</v>
      </c>
      <c r="M62" s="591">
        <f>COUNTIFS('All 108 Regulators - Frameworks'!B$4:B$500,A62,'All 108 Regulators - Frameworks'!BB$4:BB$500,"TEMPLATE")</f>
        <v>2</v>
      </c>
      <c r="N62" s="675">
        <f t="shared" si="2"/>
        <v>0</v>
      </c>
      <c r="O62" s="675">
        <f t="shared" si="3"/>
        <v>0</v>
      </c>
      <c r="P62" s="608">
        <f>IFERROR(AVERAGEIFS('All 108 Regulators - Frameworks'!BF$4:BF$500,'All 108 Regulators - Frameworks'!B$4:B$500,A62),0)</f>
        <v>6.5</v>
      </c>
    </row>
    <row r="63" spans="1:16" ht="36" customHeight="1" x14ac:dyDescent="0.45">
      <c r="A63" s="280" t="s">
        <v>2015</v>
      </c>
      <c r="B63" s="282" t="s">
        <v>2016</v>
      </c>
      <c r="C63" s="281" t="s">
        <v>2005</v>
      </c>
      <c r="D63" s="281">
        <v>1</v>
      </c>
      <c r="E63" s="281">
        <v>1</v>
      </c>
      <c r="F63" s="281">
        <v>2</v>
      </c>
      <c r="G63" s="281">
        <v>0</v>
      </c>
      <c r="H63" s="281" t="s">
        <v>2434</v>
      </c>
      <c r="I63" s="281" t="s">
        <v>1901</v>
      </c>
      <c r="J63" s="594">
        <f t="shared" si="0"/>
        <v>5</v>
      </c>
      <c r="K63" s="591" t="str">
        <f t="shared" si="1"/>
        <v>🟢 TIER 4</v>
      </c>
      <c r="L63" s="591">
        <f>COUNTIFS('All 108 Regulators - Frameworks'!B$4:B$500,A63,'All 108 Regulators - Frameworks'!BB$4:BB$500,"DEEP")</f>
        <v>0</v>
      </c>
      <c r="M63" s="591">
        <f>COUNTIFS('All 108 Regulators - Frameworks'!B$4:B$500,A63,'All 108 Regulators - Frameworks'!BB$4:BB$500,"TEMPLATE")</f>
        <v>2</v>
      </c>
      <c r="N63" s="675">
        <f t="shared" si="2"/>
        <v>0</v>
      </c>
      <c r="O63" s="675">
        <f t="shared" si="3"/>
        <v>0</v>
      </c>
      <c r="P63" s="608">
        <f>IFERROR(AVERAGEIFS('All 108 Regulators - Frameworks'!BF$4:BF$500,'All 108 Regulators - Frameworks'!B$4:B$500,A63),0)</f>
        <v>6.5</v>
      </c>
    </row>
    <row r="64" spans="1:16" ht="36" customHeight="1" x14ac:dyDescent="0.45">
      <c r="A64" s="280" t="s">
        <v>2020</v>
      </c>
      <c r="B64" s="282" t="s">
        <v>2021</v>
      </c>
      <c r="C64" s="281" t="s">
        <v>2005</v>
      </c>
      <c r="D64" s="281">
        <v>1</v>
      </c>
      <c r="E64" s="281">
        <v>1</v>
      </c>
      <c r="F64" s="281">
        <v>2</v>
      </c>
      <c r="G64" s="281">
        <v>0</v>
      </c>
      <c r="H64" s="281" t="s">
        <v>2435</v>
      </c>
      <c r="I64" s="281" t="s">
        <v>1901</v>
      </c>
      <c r="J64" s="594">
        <f t="shared" si="0"/>
        <v>5</v>
      </c>
      <c r="K64" s="591" t="str">
        <f t="shared" si="1"/>
        <v>🟢 TIER 4</v>
      </c>
      <c r="L64" s="591">
        <f>COUNTIFS('All 108 Regulators - Frameworks'!B$4:B$500,A64,'All 108 Regulators - Frameworks'!BB$4:BB$500,"DEEP")</f>
        <v>0</v>
      </c>
      <c r="M64" s="591">
        <f>COUNTIFS('All 108 Regulators - Frameworks'!B$4:B$500,A64,'All 108 Regulators - Frameworks'!BB$4:BB$500,"TEMPLATE")</f>
        <v>2</v>
      </c>
      <c r="N64" s="675">
        <f t="shared" si="2"/>
        <v>0</v>
      </c>
      <c r="O64" s="675">
        <f t="shared" si="3"/>
        <v>0</v>
      </c>
      <c r="P64" s="608">
        <f>IFERROR(AVERAGEIFS('All 108 Regulators - Frameworks'!BF$4:BF$500,'All 108 Regulators - Frameworks'!B$4:B$500,A64),0)</f>
        <v>6.5</v>
      </c>
    </row>
    <row r="65" spans="1:16" ht="36" customHeight="1" x14ac:dyDescent="0.45">
      <c r="A65" s="302" t="s">
        <v>2026</v>
      </c>
      <c r="B65" s="304" t="s">
        <v>2027</v>
      </c>
      <c r="C65" s="303" t="s">
        <v>2028</v>
      </c>
      <c r="D65" s="303">
        <v>1</v>
      </c>
      <c r="E65" s="303">
        <v>1</v>
      </c>
      <c r="F65" s="303">
        <v>2</v>
      </c>
      <c r="G65" s="303">
        <v>0</v>
      </c>
      <c r="H65" s="303" t="s">
        <v>2436</v>
      </c>
      <c r="I65" s="303" t="s">
        <v>1901</v>
      </c>
      <c r="J65" s="594">
        <f t="shared" si="0"/>
        <v>5</v>
      </c>
      <c r="K65" s="591" t="str">
        <f t="shared" si="1"/>
        <v>🟢 TIER 4</v>
      </c>
      <c r="L65" s="591">
        <f>COUNTIFS('All 108 Regulators - Frameworks'!B$4:B$500,A65,'All 108 Regulators - Frameworks'!BB$4:BB$500,"DEEP")</f>
        <v>0</v>
      </c>
      <c r="M65" s="591">
        <f>COUNTIFS('All 108 Regulators - Frameworks'!B$4:B$500,A65,'All 108 Regulators - Frameworks'!BB$4:BB$500,"TEMPLATE")</f>
        <v>2</v>
      </c>
      <c r="N65" s="675">
        <f t="shared" si="2"/>
        <v>0</v>
      </c>
      <c r="O65" s="675">
        <f t="shared" si="3"/>
        <v>0</v>
      </c>
      <c r="P65" s="608">
        <f>IFERROR(AVERAGEIFS('All 108 Regulators - Frameworks'!BF$4:BF$500,'All 108 Regulators - Frameworks'!B$4:B$500,A65),0)</f>
        <v>6.5</v>
      </c>
    </row>
    <row r="66" spans="1:16" ht="36" customHeight="1" x14ac:dyDescent="0.45">
      <c r="A66" s="302" t="s">
        <v>2032</v>
      </c>
      <c r="B66" s="304" t="s">
        <v>2033</v>
      </c>
      <c r="C66" s="303" t="s">
        <v>2028</v>
      </c>
      <c r="D66" s="303">
        <v>1</v>
      </c>
      <c r="E66" s="303">
        <v>1</v>
      </c>
      <c r="F66" s="303">
        <v>2</v>
      </c>
      <c r="G66" s="303">
        <v>0</v>
      </c>
      <c r="H66" s="303" t="s">
        <v>2437</v>
      </c>
      <c r="I66" s="303" t="s">
        <v>1901</v>
      </c>
      <c r="J66" s="594">
        <f t="shared" si="0"/>
        <v>5</v>
      </c>
      <c r="K66" s="591" t="str">
        <f t="shared" si="1"/>
        <v>🟢 TIER 4</v>
      </c>
      <c r="L66" s="591">
        <f>COUNTIFS('All 108 Regulators - Frameworks'!B$4:B$500,A66,'All 108 Regulators - Frameworks'!BB$4:BB$500,"DEEP")</f>
        <v>0</v>
      </c>
      <c r="M66" s="591">
        <f>COUNTIFS('All 108 Regulators - Frameworks'!B$4:B$500,A66,'All 108 Regulators - Frameworks'!BB$4:BB$500,"TEMPLATE")</f>
        <v>2</v>
      </c>
      <c r="N66" s="675">
        <f t="shared" si="2"/>
        <v>0</v>
      </c>
      <c r="O66" s="675">
        <f t="shared" si="3"/>
        <v>0</v>
      </c>
      <c r="P66" s="608">
        <f>IFERROR(AVERAGEIFS('All 108 Regulators - Frameworks'!BF$4:BF$500,'All 108 Regulators - Frameworks'!B$4:B$500,A66),0)</f>
        <v>6.5</v>
      </c>
    </row>
    <row r="67" spans="1:16" ht="36" customHeight="1" x14ac:dyDescent="0.45">
      <c r="A67" s="302" t="s">
        <v>2038</v>
      </c>
      <c r="B67" s="304" t="s">
        <v>2039</v>
      </c>
      <c r="C67" s="303" t="s">
        <v>2028</v>
      </c>
      <c r="D67" s="303">
        <v>1</v>
      </c>
      <c r="E67" s="303">
        <v>1</v>
      </c>
      <c r="F67" s="303">
        <v>2</v>
      </c>
      <c r="G67" s="303">
        <v>0</v>
      </c>
      <c r="H67" s="303" t="s">
        <v>2438</v>
      </c>
      <c r="I67" s="303" t="s">
        <v>1901</v>
      </c>
      <c r="J67" s="594">
        <f t="shared" ref="J67:J108" si="4">(D67*3)+(G67*5)+(F67*1)</f>
        <v>5</v>
      </c>
      <c r="K67" s="591" t="str">
        <f t="shared" ref="K67:K108" si="5">IF(J67&gt;=50,"🔴 TIER 1",IF(J67&gt;=25,"🟠 TIER 2",IF(J67&gt;=10,"🟡 TIER 3","🟢 TIER 4")))</f>
        <v>🟢 TIER 4</v>
      </c>
      <c r="L67" s="591">
        <f>COUNTIFS('All 108 Regulators - Frameworks'!B$4:B$500,A67,'All 108 Regulators - Frameworks'!BB$4:BB$500,"DEEP")</f>
        <v>0</v>
      </c>
      <c r="M67" s="591">
        <f>COUNTIFS('All 108 Regulators - Frameworks'!B$4:B$500,A67,'All 108 Regulators - Frameworks'!BB$4:BB$500,"TEMPLATE")</f>
        <v>2</v>
      </c>
      <c r="N67" s="675">
        <f t="shared" ref="N67:N108" si="6">IFERROR(L67/(L67+M67),0)</f>
        <v>0</v>
      </c>
      <c r="O67" s="675">
        <f t="shared" ref="O67:O108" si="7">IFERROR(G67/F67,0)</f>
        <v>0</v>
      </c>
      <c r="P67" s="608">
        <f>IFERROR(AVERAGEIFS('All 108 Regulators - Frameworks'!BF$4:BF$500,'All 108 Regulators - Frameworks'!B$4:B$500,A67),0)</f>
        <v>6.5</v>
      </c>
    </row>
    <row r="68" spans="1:16" ht="36" customHeight="1" x14ac:dyDescent="0.45">
      <c r="A68" s="302" t="s">
        <v>2044</v>
      </c>
      <c r="B68" s="304" t="s">
        <v>2045</v>
      </c>
      <c r="C68" s="303" t="s">
        <v>2028</v>
      </c>
      <c r="D68" s="303">
        <v>1</v>
      </c>
      <c r="E68" s="303">
        <v>1</v>
      </c>
      <c r="F68" s="303">
        <v>2</v>
      </c>
      <c r="G68" s="303">
        <v>0</v>
      </c>
      <c r="H68" s="303" t="s">
        <v>2439</v>
      </c>
      <c r="I68" s="303" t="s">
        <v>1901</v>
      </c>
      <c r="J68" s="594">
        <f t="shared" si="4"/>
        <v>5</v>
      </c>
      <c r="K68" s="591" t="str">
        <f t="shared" si="5"/>
        <v>🟢 TIER 4</v>
      </c>
      <c r="L68" s="591">
        <f>COUNTIFS('All 108 Regulators - Frameworks'!B$4:B$500,A68,'All 108 Regulators - Frameworks'!BB$4:BB$500,"DEEP")</f>
        <v>0</v>
      </c>
      <c r="M68" s="591">
        <f>COUNTIFS('All 108 Regulators - Frameworks'!B$4:B$500,A68,'All 108 Regulators - Frameworks'!BB$4:BB$500,"TEMPLATE")</f>
        <v>2</v>
      </c>
      <c r="N68" s="675">
        <f t="shared" si="6"/>
        <v>0</v>
      </c>
      <c r="O68" s="675">
        <f t="shared" si="7"/>
        <v>0</v>
      </c>
      <c r="P68" s="608">
        <f>IFERROR(AVERAGEIFS('All 108 Regulators - Frameworks'!BF$4:BF$500,'All 108 Regulators - Frameworks'!B$4:B$500,A68),0)</f>
        <v>6.5</v>
      </c>
    </row>
    <row r="69" spans="1:16" ht="36" customHeight="1" x14ac:dyDescent="0.45">
      <c r="A69" s="302" t="s">
        <v>2050</v>
      </c>
      <c r="B69" s="304" t="s">
        <v>2051</v>
      </c>
      <c r="C69" s="303" t="s">
        <v>2028</v>
      </c>
      <c r="D69" s="303">
        <v>1</v>
      </c>
      <c r="E69" s="303">
        <v>1</v>
      </c>
      <c r="F69" s="303">
        <v>2</v>
      </c>
      <c r="G69" s="303">
        <v>0</v>
      </c>
      <c r="H69" s="303" t="s">
        <v>2440</v>
      </c>
      <c r="I69" s="303" t="s">
        <v>1901</v>
      </c>
      <c r="J69" s="594">
        <f t="shared" si="4"/>
        <v>5</v>
      </c>
      <c r="K69" s="591" t="str">
        <f t="shared" si="5"/>
        <v>🟢 TIER 4</v>
      </c>
      <c r="L69" s="591">
        <f>COUNTIFS('All 108 Regulators - Frameworks'!B$4:B$500,A69,'All 108 Regulators - Frameworks'!BB$4:BB$500,"DEEP")</f>
        <v>0</v>
      </c>
      <c r="M69" s="591">
        <f>COUNTIFS('All 108 Regulators - Frameworks'!B$4:B$500,A69,'All 108 Regulators - Frameworks'!BB$4:BB$500,"TEMPLATE")</f>
        <v>2</v>
      </c>
      <c r="N69" s="675">
        <f t="shared" si="6"/>
        <v>0</v>
      </c>
      <c r="O69" s="675">
        <f t="shared" si="7"/>
        <v>0</v>
      </c>
      <c r="P69" s="608">
        <f>IFERROR(AVERAGEIFS('All 108 Regulators - Frameworks'!BF$4:BF$500,'All 108 Regulators - Frameworks'!B$4:B$500,A69),0)</f>
        <v>6.5</v>
      </c>
    </row>
    <row r="70" spans="1:16" ht="36" customHeight="1" x14ac:dyDescent="0.45">
      <c r="A70" s="302" t="s">
        <v>2054</v>
      </c>
      <c r="B70" s="304" t="s">
        <v>2055</v>
      </c>
      <c r="C70" s="303" t="s">
        <v>2028</v>
      </c>
      <c r="D70" s="303">
        <v>1</v>
      </c>
      <c r="E70" s="303">
        <v>1</v>
      </c>
      <c r="F70" s="303">
        <v>2</v>
      </c>
      <c r="G70" s="303">
        <v>0</v>
      </c>
      <c r="H70" s="303" t="s">
        <v>2441</v>
      </c>
      <c r="I70" s="303" t="s">
        <v>1901</v>
      </c>
      <c r="J70" s="594">
        <f t="shared" si="4"/>
        <v>5</v>
      </c>
      <c r="K70" s="591" t="str">
        <f t="shared" si="5"/>
        <v>🟢 TIER 4</v>
      </c>
      <c r="L70" s="591">
        <f>COUNTIFS('All 108 Regulators - Frameworks'!B$4:B$500,A70,'All 108 Regulators - Frameworks'!BB$4:BB$500,"DEEP")</f>
        <v>0</v>
      </c>
      <c r="M70" s="591">
        <f>COUNTIFS('All 108 Regulators - Frameworks'!B$4:B$500,A70,'All 108 Regulators - Frameworks'!BB$4:BB$500,"TEMPLATE")</f>
        <v>2</v>
      </c>
      <c r="N70" s="675">
        <f t="shared" si="6"/>
        <v>0</v>
      </c>
      <c r="O70" s="675">
        <f t="shared" si="7"/>
        <v>0</v>
      </c>
      <c r="P70" s="608">
        <f>IFERROR(AVERAGEIFS('All 108 Regulators - Frameworks'!BF$4:BF$500,'All 108 Regulators - Frameworks'!B$4:B$500,A70),0)</f>
        <v>6.5</v>
      </c>
    </row>
    <row r="71" spans="1:16" ht="36" customHeight="1" x14ac:dyDescent="0.45">
      <c r="A71" s="324" t="s">
        <v>2061</v>
      </c>
      <c r="B71" s="326" t="s">
        <v>2062</v>
      </c>
      <c r="C71" s="325" t="s">
        <v>2063</v>
      </c>
      <c r="D71" s="325">
        <v>1</v>
      </c>
      <c r="E71" s="325">
        <v>1</v>
      </c>
      <c r="F71" s="325">
        <v>2</v>
      </c>
      <c r="G71" s="325">
        <v>0</v>
      </c>
      <c r="H71" s="325" t="s">
        <v>2442</v>
      </c>
      <c r="I71" s="325" t="s">
        <v>1901</v>
      </c>
      <c r="J71" s="594">
        <f t="shared" si="4"/>
        <v>5</v>
      </c>
      <c r="K71" s="591" t="str">
        <f t="shared" si="5"/>
        <v>🟢 TIER 4</v>
      </c>
      <c r="L71" s="591">
        <f>COUNTIFS('All 108 Regulators - Frameworks'!B$4:B$500,A71,'All 108 Regulators - Frameworks'!BB$4:BB$500,"DEEP")</f>
        <v>0</v>
      </c>
      <c r="M71" s="591">
        <f>COUNTIFS('All 108 Regulators - Frameworks'!B$4:B$500,A71,'All 108 Regulators - Frameworks'!BB$4:BB$500,"TEMPLATE")</f>
        <v>2</v>
      </c>
      <c r="N71" s="675">
        <f t="shared" si="6"/>
        <v>0</v>
      </c>
      <c r="O71" s="675">
        <f t="shared" si="7"/>
        <v>0</v>
      </c>
      <c r="P71" s="608">
        <f>IFERROR(AVERAGEIFS('All 108 Regulators - Frameworks'!BF$4:BF$500,'All 108 Regulators - Frameworks'!B$4:B$500,A71),0)</f>
        <v>6.5</v>
      </c>
    </row>
    <row r="72" spans="1:16" ht="36" customHeight="1" x14ac:dyDescent="0.45">
      <c r="A72" s="324" t="s">
        <v>2068</v>
      </c>
      <c r="B72" s="326" t="s">
        <v>2069</v>
      </c>
      <c r="C72" s="325" t="s">
        <v>2063</v>
      </c>
      <c r="D72" s="325">
        <v>1</v>
      </c>
      <c r="E72" s="325">
        <v>1</v>
      </c>
      <c r="F72" s="325">
        <v>2</v>
      </c>
      <c r="G72" s="325">
        <v>0</v>
      </c>
      <c r="H72" s="325" t="s">
        <v>2443</v>
      </c>
      <c r="I72" s="325" t="s">
        <v>1901</v>
      </c>
      <c r="J72" s="594">
        <f t="shared" si="4"/>
        <v>5</v>
      </c>
      <c r="K72" s="591" t="str">
        <f t="shared" si="5"/>
        <v>🟢 TIER 4</v>
      </c>
      <c r="L72" s="591">
        <f>COUNTIFS('All 108 Regulators - Frameworks'!B$4:B$500,A72,'All 108 Regulators - Frameworks'!BB$4:BB$500,"DEEP")</f>
        <v>0</v>
      </c>
      <c r="M72" s="591">
        <f>COUNTIFS('All 108 Regulators - Frameworks'!B$4:B$500,A72,'All 108 Regulators - Frameworks'!BB$4:BB$500,"TEMPLATE")</f>
        <v>2</v>
      </c>
      <c r="N72" s="675">
        <f t="shared" si="6"/>
        <v>0</v>
      </c>
      <c r="O72" s="675">
        <f t="shared" si="7"/>
        <v>0</v>
      </c>
      <c r="P72" s="608">
        <f>IFERROR(AVERAGEIFS('All 108 Regulators - Frameworks'!BF$4:BF$500,'All 108 Regulators - Frameworks'!B$4:B$500,A72),0)</f>
        <v>6.5</v>
      </c>
    </row>
    <row r="73" spans="1:16" ht="36" customHeight="1" x14ac:dyDescent="0.45">
      <c r="A73" s="346" t="s">
        <v>2074</v>
      </c>
      <c r="B73" s="348" t="s">
        <v>2075</v>
      </c>
      <c r="C73" s="347" t="s">
        <v>2076</v>
      </c>
      <c r="D73" s="347">
        <v>1</v>
      </c>
      <c r="E73" s="347">
        <v>1</v>
      </c>
      <c r="F73" s="347">
        <v>2</v>
      </c>
      <c r="G73" s="347">
        <v>0</v>
      </c>
      <c r="H73" s="347" t="s">
        <v>2444</v>
      </c>
      <c r="I73" s="347" t="s">
        <v>1901</v>
      </c>
      <c r="J73" s="594">
        <f t="shared" si="4"/>
        <v>5</v>
      </c>
      <c r="K73" s="591" t="str">
        <f t="shared" si="5"/>
        <v>🟢 TIER 4</v>
      </c>
      <c r="L73" s="591">
        <f>COUNTIFS('All 108 Regulators - Frameworks'!B$4:B$500,A73,'All 108 Regulators - Frameworks'!BB$4:BB$500,"DEEP")</f>
        <v>0</v>
      </c>
      <c r="M73" s="591">
        <f>COUNTIFS('All 108 Regulators - Frameworks'!B$4:B$500,A73,'All 108 Regulators - Frameworks'!BB$4:BB$500,"TEMPLATE")</f>
        <v>2</v>
      </c>
      <c r="N73" s="675">
        <f t="shared" si="6"/>
        <v>0</v>
      </c>
      <c r="O73" s="675">
        <f t="shared" si="7"/>
        <v>0</v>
      </c>
      <c r="P73" s="608">
        <f>IFERROR(AVERAGEIFS('All 108 Regulators - Frameworks'!BF$4:BF$500,'All 108 Regulators - Frameworks'!B$4:B$500,A73),0)</f>
        <v>6.5</v>
      </c>
    </row>
    <row r="74" spans="1:16" ht="36" customHeight="1" x14ac:dyDescent="0.45">
      <c r="A74" s="120" t="s">
        <v>2079</v>
      </c>
      <c r="B74" s="122" t="s">
        <v>2080</v>
      </c>
      <c r="C74" s="121" t="s">
        <v>1342</v>
      </c>
      <c r="D74" s="121">
        <v>1</v>
      </c>
      <c r="E74" s="121">
        <v>1</v>
      </c>
      <c r="F74" s="121">
        <v>2</v>
      </c>
      <c r="G74" s="121">
        <v>0</v>
      </c>
      <c r="H74" s="121" t="s">
        <v>2445</v>
      </c>
      <c r="I74" s="121" t="s">
        <v>1901</v>
      </c>
      <c r="J74" s="594">
        <f t="shared" si="4"/>
        <v>5</v>
      </c>
      <c r="K74" s="591" t="str">
        <f t="shared" si="5"/>
        <v>🟢 TIER 4</v>
      </c>
      <c r="L74" s="591">
        <f>COUNTIFS('All 108 Regulators - Frameworks'!B$4:B$500,A74,'All 108 Regulators - Frameworks'!BB$4:BB$500,"DEEP")</f>
        <v>0</v>
      </c>
      <c r="M74" s="591">
        <f>COUNTIFS('All 108 Regulators - Frameworks'!B$4:B$500,A74,'All 108 Regulators - Frameworks'!BB$4:BB$500,"TEMPLATE")</f>
        <v>2</v>
      </c>
      <c r="N74" s="675">
        <f t="shared" si="6"/>
        <v>0</v>
      </c>
      <c r="O74" s="675">
        <f t="shared" si="7"/>
        <v>0</v>
      </c>
      <c r="P74" s="608">
        <f>IFERROR(AVERAGEIFS('All 108 Regulators - Frameworks'!BF$4:BF$500,'All 108 Regulators - Frameworks'!B$4:B$500,A74),0)</f>
        <v>6.5</v>
      </c>
    </row>
    <row r="75" spans="1:16" ht="36" customHeight="1" x14ac:dyDescent="0.45">
      <c r="A75" s="120" t="s">
        <v>2084</v>
      </c>
      <c r="B75" s="122" t="s">
        <v>2085</v>
      </c>
      <c r="C75" s="121" t="s">
        <v>1342</v>
      </c>
      <c r="D75" s="121">
        <v>1</v>
      </c>
      <c r="E75" s="121">
        <v>1</v>
      </c>
      <c r="F75" s="121">
        <v>2</v>
      </c>
      <c r="G75" s="121">
        <v>0</v>
      </c>
      <c r="H75" s="121" t="s">
        <v>2446</v>
      </c>
      <c r="I75" s="121" t="s">
        <v>1901</v>
      </c>
      <c r="J75" s="594">
        <f t="shared" si="4"/>
        <v>5</v>
      </c>
      <c r="K75" s="591" t="str">
        <f t="shared" si="5"/>
        <v>🟢 TIER 4</v>
      </c>
      <c r="L75" s="591">
        <f>COUNTIFS('All 108 Regulators - Frameworks'!B$4:B$500,A75,'All 108 Regulators - Frameworks'!BB$4:BB$500,"DEEP")</f>
        <v>0</v>
      </c>
      <c r="M75" s="591">
        <f>COUNTIFS('All 108 Regulators - Frameworks'!B$4:B$500,A75,'All 108 Regulators - Frameworks'!BB$4:BB$500,"TEMPLATE")</f>
        <v>2</v>
      </c>
      <c r="N75" s="675">
        <f t="shared" si="6"/>
        <v>0</v>
      </c>
      <c r="O75" s="675">
        <f t="shared" si="7"/>
        <v>0</v>
      </c>
      <c r="P75" s="608">
        <f>IFERROR(AVERAGEIFS('All 108 Regulators - Frameworks'!BF$4:BF$500,'All 108 Regulators - Frameworks'!B$4:B$500,A75),0)</f>
        <v>6.5</v>
      </c>
    </row>
    <row r="76" spans="1:16" ht="36" customHeight="1" x14ac:dyDescent="0.45">
      <c r="A76" s="120" t="s">
        <v>2089</v>
      </c>
      <c r="B76" s="122" t="s">
        <v>2090</v>
      </c>
      <c r="C76" s="121" t="s">
        <v>1342</v>
      </c>
      <c r="D76" s="121">
        <v>1</v>
      </c>
      <c r="E76" s="121">
        <v>1</v>
      </c>
      <c r="F76" s="121">
        <v>2</v>
      </c>
      <c r="G76" s="121">
        <v>0</v>
      </c>
      <c r="H76" s="121" t="s">
        <v>2447</v>
      </c>
      <c r="I76" s="121" t="s">
        <v>1901</v>
      </c>
      <c r="J76" s="594">
        <f t="shared" si="4"/>
        <v>5</v>
      </c>
      <c r="K76" s="591" t="str">
        <f t="shared" si="5"/>
        <v>🟢 TIER 4</v>
      </c>
      <c r="L76" s="591">
        <f>COUNTIFS('All 108 Regulators - Frameworks'!B$4:B$500,A76,'All 108 Regulators - Frameworks'!BB$4:BB$500,"DEEP")</f>
        <v>0</v>
      </c>
      <c r="M76" s="591">
        <f>COUNTIFS('All 108 Regulators - Frameworks'!B$4:B$500,A76,'All 108 Regulators - Frameworks'!BB$4:BB$500,"TEMPLATE")</f>
        <v>2</v>
      </c>
      <c r="N76" s="675">
        <f t="shared" si="6"/>
        <v>0</v>
      </c>
      <c r="O76" s="675">
        <f t="shared" si="7"/>
        <v>0</v>
      </c>
      <c r="P76" s="608">
        <f>IFERROR(AVERAGEIFS('All 108 Regulators - Frameworks'!BF$4:BF$500,'All 108 Regulators - Frameworks'!B$4:B$500,A76),0)</f>
        <v>6.5</v>
      </c>
    </row>
    <row r="77" spans="1:16" ht="36" customHeight="1" x14ac:dyDescent="0.45">
      <c r="A77" s="368" t="s">
        <v>2095</v>
      </c>
      <c r="B77" s="370" t="s">
        <v>2096</v>
      </c>
      <c r="C77" s="369" t="s">
        <v>2097</v>
      </c>
      <c r="D77" s="369">
        <v>1</v>
      </c>
      <c r="E77" s="369">
        <v>1</v>
      </c>
      <c r="F77" s="369">
        <v>2</v>
      </c>
      <c r="G77" s="369">
        <v>0</v>
      </c>
      <c r="H77" s="369" t="s">
        <v>2448</v>
      </c>
      <c r="I77" s="369" t="s">
        <v>1901</v>
      </c>
      <c r="J77" s="594">
        <f t="shared" si="4"/>
        <v>5</v>
      </c>
      <c r="K77" s="591" t="str">
        <f t="shared" si="5"/>
        <v>🟢 TIER 4</v>
      </c>
      <c r="L77" s="591">
        <f>COUNTIFS('All 108 Regulators - Frameworks'!B$4:B$500,A77,'All 108 Regulators - Frameworks'!BB$4:BB$500,"DEEP")</f>
        <v>0</v>
      </c>
      <c r="M77" s="591">
        <f>COUNTIFS('All 108 Regulators - Frameworks'!B$4:B$500,A77,'All 108 Regulators - Frameworks'!BB$4:BB$500,"TEMPLATE")</f>
        <v>2</v>
      </c>
      <c r="N77" s="675">
        <f t="shared" si="6"/>
        <v>0</v>
      </c>
      <c r="O77" s="675">
        <f t="shared" si="7"/>
        <v>0</v>
      </c>
      <c r="P77" s="608">
        <f>IFERROR(AVERAGEIFS('All 108 Regulators - Frameworks'!BF$4:BF$500,'All 108 Regulators - Frameworks'!B$4:B$500,A77),0)</f>
        <v>6.5</v>
      </c>
    </row>
    <row r="78" spans="1:16" ht="36" customHeight="1" x14ac:dyDescent="0.45">
      <c r="A78" s="368" t="s">
        <v>2101</v>
      </c>
      <c r="B78" s="370" t="s">
        <v>2102</v>
      </c>
      <c r="C78" s="369" t="s">
        <v>2097</v>
      </c>
      <c r="D78" s="369">
        <v>1</v>
      </c>
      <c r="E78" s="369">
        <v>1</v>
      </c>
      <c r="F78" s="369">
        <v>2</v>
      </c>
      <c r="G78" s="369">
        <v>0</v>
      </c>
      <c r="H78" s="369" t="s">
        <v>2449</v>
      </c>
      <c r="I78" s="369" t="s">
        <v>1901</v>
      </c>
      <c r="J78" s="594">
        <f t="shared" si="4"/>
        <v>5</v>
      </c>
      <c r="K78" s="591" t="str">
        <f t="shared" si="5"/>
        <v>🟢 TIER 4</v>
      </c>
      <c r="L78" s="591">
        <f>COUNTIFS('All 108 Regulators - Frameworks'!B$4:B$500,A78,'All 108 Regulators - Frameworks'!BB$4:BB$500,"DEEP")</f>
        <v>0</v>
      </c>
      <c r="M78" s="591">
        <f>COUNTIFS('All 108 Regulators - Frameworks'!B$4:B$500,A78,'All 108 Regulators - Frameworks'!BB$4:BB$500,"TEMPLATE")</f>
        <v>2</v>
      </c>
      <c r="N78" s="675">
        <f t="shared" si="6"/>
        <v>0</v>
      </c>
      <c r="O78" s="675">
        <f t="shared" si="7"/>
        <v>0</v>
      </c>
      <c r="P78" s="608">
        <f>IFERROR(AVERAGEIFS('All 108 Regulators - Frameworks'!BF$4:BF$500,'All 108 Regulators - Frameworks'!B$4:B$500,A78),0)</f>
        <v>6.5</v>
      </c>
    </row>
    <row r="79" spans="1:16" ht="36" customHeight="1" x14ac:dyDescent="0.45">
      <c r="A79" s="368" t="s">
        <v>2106</v>
      </c>
      <c r="B79" s="370" t="s">
        <v>2107</v>
      </c>
      <c r="C79" s="369" t="s">
        <v>2097</v>
      </c>
      <c r="D79" s="369">
        <v>1</v>
      </c>
      <c r="E79" s="369">
        <v>1</v>
      </c>
      <c r="F79" s="369">
        <v>2</v>
      </c>
      <c r="G79" s="369">
        <v>0</v>
      </c>
      <c r="H79" s="369" t="s">
        <v>2450</v>
      </c>
      <c r="I79" s="369" t="s">
        <v>1901</v>
      </c>
      <c r="J79" s="594">
        <f t="shared" si="4"/>
        <v>5</v>
      </c>
      <c r="K79" s="591" t="str">
        <f t="shared" si="5"/>
        <v>🟢 TIER 4</v>
      </c>
      <c r="L79" s="591">
        <f>COUNTIFS('All 108 Regulators - Frameworks'!B$4:B$500,A79,'All 108 Regulators - Frameworks'!BB$4:BB$500,"DEEP")</f>
        <v>0</v>
      </c>
      <c r="M79" s="591">
        <f>COUNTIFS('All 108 Regulators - Frameworks'!B$4:B$500,A79,'All 108 Regulators - Frameworks'!BB$4:BB$500,"TEMPLATE")</f>
        <v>2</v>
      </c>
      <c r="N79" s="675">
        <f t="shared" si="6"/>
        <v>0</v>
      </c>
      <c r="O79" s="675">
        <f t="shared" si="7"/>
        <v>0</v>
      </c>
      <c r="P79" s="608">
        <f>IFERROR(AVERAGEIFS('All 108 Regulators - Frameworks'!BF$4:BF$500,'All 108 Regulators - Frameworks'!B$4:B$500,A79),0)</f>
        <v>6.5</v>
      </c>
    </row>
    <row r="80" spans="1:16" ht="36" customHeight="1" x14ac:dyDescent="0.45">
      <c r="A80" s="368" t="s">
        <v>2111</v>
      </c>
      <c r="B80" s="370" t="s">
        <v>2112</v>
      </c>
      <c r="C80" s="369" t="s">
        <v>2097</v>
      </c>
      <c r="D80" s="369">
        <v>1</v>
      </c>
      <c r="E80" s="369">
        <v>1</v>
      </c>
      <c r="F80" s="369">
        <v>2</v>
      </c>
      <c r="G80" s="369">
        <v>0</v>
      </c>
      <c r="H80" s="369" t="s">
        <v>2451</v>
      </c>
      <c r="I80" s="369" t="s">
        <v>1901</v>
      </c>
      <c r="J80" s="594">
        <f t="shared" si="4"/>
        <v>5</v>
      </c>
      <c r="K80" s="591" t="str">
        <f t="shared" si="5"/>
        <v>🟢 TIER 4</v>
      </c>
      <c r="L80" s="591">
        <f>COUNTIFS('All 108 Regulators - Frameworks'!B$4:B$500,A80,'All 108 Regulators - Frameworks'!BB$4:BB$500,"DEEP")</f>
        <v>0</v>
      </c>
      <c r="M80" s="591">
        <f>COUNTIFS('All 108 Regulators - Frameworks'!B$4:B$500,A80,'All 108 Regulators - Frameworks'!BB$4:BB$500,"TEMPLATE")</f>
        <v>2</v>
      </c>
      <c r="N80" s="675">
        <f t="shared" si="6"/>
        <v>0</v>
      </c>
      <c r="O80" s="675">
        <f t="shared" si="7"/>
        <v>0</v>
      </c>
      <c r="P80" s="608">
        <f>IFERROR(AVERAGEIFS('All 108 Regulators - Frameworks'!BF$4:BF$500,'All 108 Regulators - Frameworks'!B$4:B$500,A80),0)</f>
        <v>6.5</v>
      </c>
    </row>
    <row r="81" spans="1:16" ht="36" customHeight="1" x14ac:dyDescent="0.45">
      <c r="A81" s="368" t="s">
        <v>2116</v>
      </c>
      <c r="B81" s="370" t="s">
        <v>2117</v>
      </c>
      <c r="C81" s="369" t="s">
        <v>2097</v>
      </c>
      <c r="D81" s="369">
        <v>1</v>
      </c>
      <c r="E81" s="369">
        <v>1</v>
      </c>
      <c r="F81" s="369">
        <v>2</v>
      </c>
      <c r="G81" s="369">
        <v>0</v>
      </c>
      <c r="H81" s="369" t="s">
        <v>2452</v>
      </c>
      <c r="I81" s="369" t="s">
        <v>1901</v>
      </c>
      <c r="J81" s="594">
        <f t="shared" si="4"/>
        <v>5</v>
      </c>
      <c r="K81" s="591" t="str">
        <f t="shared" si="5"/>
        <v>🟢 TIER 4</v>
      </c>
      <c r="L81" s="591">
        <f>COUNTIFS('All 108 Regulators - Frameworks'!B$4:B$500,A81,'All 108 Regulators - Frameworks'!BB$4:BB$500,"DEEP")</f>
        <v>0</v>
      </c>
      <c r="M81" s="591">
        <f>COUNTIFS('All 108 Regulators - Frameworks'!B$4:B$500,A81,'All 108 Regulators - Frameworks'!BB$4:BB$500,"TEMPLATE")</f>
        <v>2</v>
      </c>
      <c r="N81" s="675">
        <f t="shared" si="6"/>
        <v>0</v>
      </c>
      <c r="O81" s="675">
        <f t="shared" si="7"/>
        <v>0</v>
      </c>
      <c r="P81" s="608">
        <f>IFERROR(AVERAGEIFS('All 108 Regulators - Frameworks'!BF$4:BF$500,'All 108 Regulators - Frameworks'!B$4:B$500,A81),0)</f>
        <v>6.5</v>
      </c>
    </row>
    <row r="82" spans="1:16" ht="36" customHeight="1" x14ac:dyDescent="0.45">
      <c r="A82" s="85" t="s">
        <v>2121</v>
      </c>
      <c r="B82" s="72" t="s">
        <v>2122</v>
      </c>
      <c r="C82" s="70" t="s">
        <v>571</v>
      </c>
      <c r="D82" s="70">
        <v>1</v>
      </c>
      <c r="E82" s="70">
        <v>1</v>
      </c>
      <c r="F82" s="70">
        <v>2</v>
      </c>
      <c r="G82" s="70">
        <v>0</v>
      </c>
      <c r="H82" s="70" t="s">
        <v>2453</v>
      </c>
      <c r="I82" s="70" t="s">
        <v>1901</v>
      </c>
      <c r="J82" s="594">
        <f t="shared" si="4"/>
        <v>5</v>
      </c>
      <c r="K82" s="591" t="str">
        <f t="shared" si="5"/>
        <v>🟢 TIER 4</v>
      </c>
      <c r="L82" s="591">
        <f>COUNTIFS('All 108 Regulators - Frameworks'!B$4:B$500,A82,'All 108 Regulators - Frameworks'!BB$4:BB$500,"DEEP")</f>
        <v>0</v>
      </c>
      <c r="M82" s="591">
        <f>COUNTIFS('All 108 Regulators - Frameworks'!B$4:B$500,A82,'All 108 Regulators - Frameworks'!BB$4:BB$500,"TEMPLATE")</f>
        <v>2</v>
      </c>
      <c r="N82" s="675">
        <f t="shared" si="6"/>
        <v>0</v>
      </c>
      <c r="O82" s="675">
        <f t="shared" si="7"/>
        <v>0</v>
      </c>
      <c r="P82" s="608">
        <f>IFERROR(AVERAGEIFS('All 108 Regulators - Frameworks'!BF$4:BF$500,'All 108 Regulators - Frameworks'!B$4:B$500,A82),0)</f>
        <v>6.5</v>
      </c>
    </row>
    <row r="83" spans="1:16" ht="36" customHeight="1" x14ac:dyDescent="0.45">
      <c r="A83" s="85" t="s">
        <v>2126</v>
      </c>
      <c r="B83" s="72" t="s">
        <v>2127</v>
      </c>
      <c r="C83" s="70" t="s">
        <v>571</v>
      </c>
      <c r="D83" s="70">
        <v>1</v>
      </c>
      <c r="E83" s="70">
        <v>1</v>
      </c>
      <c r="F83" s="70">
        <v>2</v>
      </c>
      <c r="G83" s="70">
        <v>0</v>
      </c>
      <c r="H83" s="70" t="s">
        <v>2454</v>
      </c>
      <c r="I83" s="70" t="s">
        <v>1901</v>
      </c>
      <c r="J83" s="594">
        <f t="shared" si="4"/>
        <v>5</v>
      </c>
      <c r="K83" s="591" t="str">
        <f t="shared" si="5"/>
        <v>🟢 TIER 4</v>
      </c>
      <c r="L83" s="591">
        <f>COUNTIFS('All 108 Regulators - Frameworks'!B$4:B$500,A83,'All 108 Regulators - Frameworks'!BB$4:BB$500,"DEEP")</f>
        <v>0</v>
      </c>
      <c r="M83" s="591">
        <f>COUNTIFS('All 108 Regulators - Frameworks'!B$4:B$500,A83,'All 108 Regulators - Frameworks'!BB$4:BB$500,"TEMPLATE")</f>
        <v>2</v>
      </c>
      <c r="N83" s="675">
        <f t="shared" si="6"/>
        <v>0</v>
      </c>
      <c r="O83" s="675">
        <f t="shared" si="7"/>
        <v>0</v>
      </c>
      <c r="P83" s="608">
        <f>IFERROR(AVERAGEIFS('All 108 Regulators - Frameworks'!BF$4:BF$500,'All 108 Regulators - Frameworks'!B$4:B$500,A83),0)</f>
        <v>6.5</v>
      </c>
    </row>
    <row r="84" spans="1:16" ht="36" customHeight="1" x14ac:dyDescent="0.45">
      <c r="A84" s="85" t="s">
        <v>2131</v>
      </c>
      <c r="B84" s="72" t="s">
        <v>2132</v>
      </c>
      <c r="C84" s="70" t="s">
        <v>571</v>
      </c>
      <c r="D84" s="70">
        <v>1</v>
      </c>
      <c r="E84" s="70">
        <v>1</v>
      </c>
      <c r="F84" s="70">
        <v>2</v>
      </c>
      <c r="G84" s="70">
        <v>0</v>
      </c>
      <c r="H84" s="70" t="s">
        <v>2455</v>
      </c>
      <c r="I84" s="70" t="s">
        <v>1901</v>
      </c>
      <c r="J84" s="594">
        <f t="shared" si="4"/>
        <v>5</v>
      </c>
      <c r="K84" s="591" t="str">
        <f t="shared" si="5"/>
        <v>🟢 TIER 4</v>
      </c>
      <c r="L84" s="591">
        <f>COUNTIFS('All 108 Regulators - Frameworks'!B$4:B$500,A84,'All 108 Regulators - Frameworks'!BB$4:BB$500,"DEEP")</f>
        <v>0</v>
      </c>
      <c r="M84" s="591">
        <f>COUNTIFS('All 108 Regulators - Frameworks'!B$4:B$500,A84,'All 108 Regulators - Frameworks'!BB$4:BB$500,"TEMPLATE")</f>
        <v>2</v>
      </c>
      <c r="N84" s="675">
        <f t="shared" si="6"/>
        <v>0</v>
      </c>
      <c r="O84" s="675">
        <f t="shared" si="7"/>
        <v>0</v>
      </c>
      <c r="P84" s="608">
        <f>IFERROR(AVERAGEIFS('All 108 Regulators - Frameworks'!BF$4:BF$500,'All 108 Regulators - Frameworks'!B$4:B$500,A84),0)</f>
        <v>6.5</v>
      </c>
    </row>
    <row r="85" spans="1:16" ht="36" customHeight="1" x14ac:dyDescent="0.45">
      <c r="A85" s="85" t="s">
        <v>2136</v>
      </c>
      <c r="B85" s="72" t="s">
        <v>2137</v>
      </c>
      <c r="C85" s="70" t="s">
        <v>571</v>
      </c>
      <c r="D85" s="70">
        <v>1</v>
      </c>
      <c r="E85" s="70">
        <v>1</v>
      </c>
      <c r="F85" s="70">
        <v>2</v>
      </c>
      <c r="G85" s="70">
        <v>0</v>
      </c>
      <c r="H85" s="70" t="s">
        <v>2456</v>
      </c>
      <c r="I85" s="70" t="s">
        <v>1901</v>
      </c>
      <c r="J85" s="594">
        <f t="shared" si="4"/>
        <v>5</v>
      </c>
      <c r="K85" s="591" t="str">
        <f t="shared" si="5"/>
        <v>🟢 TIER 4</v>
      </c>
      <c r="L85" s="591">
        <f>COUNTIFS('All 108 Regulators - Frameworks'!B$4:B$500,A85,'All 108 Regulators - Frameworks'!BB$4:BB$500,"DEEP")</f>
        <v>0</v>
      </c>
      <c r="M85" s="591">
        <f>COUNTIFS('All 108 Regulators - Frameworks'!B$4:B$500,A85,'All 108 Regulators - Frameworks'!BB$4:BB$500,"TEMPLATE")</f>
        <v>2</v>
      </c>
      <c r="N85" s="675">
        <f t="shared" si="6"/>
        <v>0</v>
      </c>
      <c r="O85" s="675">
        <f t="shared" si="7"/>
        <v>0</v>
      </c>
      <c r="P85" s="608">
        <f>IFERROR(AVERAGEIFS('All 108 Regulators - Frameworks'!BF$4:BF$500,'All 108 Regulators - Frameworks'!B$4:B$500,A85),0)</f>
        <v>6.5</v>
      </c>
    </row>
    <row r="86" spans="1:16" ht="36" customHeight="1" x14ac:dyDescent="0.45">
      <c r="A86" s="85" t="s">
        <v>2141</v>
      </c>
      <c r="B86" s="72" t="s">
        <v>2142</v>
      </c>
      <c r="C86" s="70" t="s">
        <v>571</v>
      </c>
      <c r="D86" s="70">
        <v>1</v>
      </c>
      <c r="E86" s="70">
        <v>1</v>
      </c>
      <c r="F86" s="70">
        <v>2</v>
      </c>
      <c r="G86" s="70">
        <v>0</v>
      </c>
      <c r="H86" s="70" t="s">
        <v>2457</v>
      </c>
      <c r="I86" s="70" t="s">
        <v>1901</v>
      </c>
      <c r="J86" s="594">
        <f t="shared" si="4"/>
        <v>5</v>
      </c>
      <c r="K86" s="591" t="str">
        <f t="shared" si="5"/>
        <v>🟢 TIER 4</v>
      </c>
      <c r="L86" s="591">
        <f>COUNTIFS('All 108 Regulators - Frameworks'!B$4:B$500,A86,'All 108 Regulators - Frameworks'!BB$4:BB$500,"DEEP")</f>
        <v>0</v>
      </c>
      <c r="M86" s="591">
        <f>COUNTIFS('All 108 Regulators - Frameworks'!B$4:B$500,A86,'All 108 Regulators - Frameworks'!BB$4:BB$500,"TEMPLATE")</f>
        <v>2</v>
      </c>
      <c r="N86" s="675">
        <f t="shared" si="6"/>
        <v>0</v>
      </c>
      <c r="O86" s="675">
        <f t="shared" si="7"/>
        <v>0</v>
      </c>
      <c r="P86" s="608">
        <f>IFERROR(AVERAGEIFS('All 108 Regulators - Frameworks'!BF$4:BF$500,'All 108 Regulators - Frameworks'!B$4:B$500,A86),0)</f>
        <v>6.5</v>
      </c>
    </row>
    <row r="87" spans="1:16" ht="36" customHeight="1" x14ac:dyDescent="0.45">
      <c r="A87" s="85" t="s">
        <v>2146</v>
      </c>
      <c r="B87" s="72" t="s">
        <v>2147</v>
      </c>
      <c r="C87" s="70" t="s">
        <v>571</v>
      </c>
      <c r="D87" s="70">
        <v>1</v>
      </c>
      <c r="E87" s="70">
        <v>1</v>
      </c>
      <c r="F87" s="70">
        <v>2</v>
      </c>
      <c r="G87" s="70">
        <v>0</v>
      </c>
      <c r="H87" s="70" t="s">
        <v>2458</v>
      </c>
      <c r="I87" s="70" t="s">
        <v>1901</v>
      </c>
      <c r="J87" s="594">
        <f t="shared" si="4"/>
        <v>5</v>
      </c>
      <c r="K87" s="591" t="str">
        <f t="shared" si="5"/>
        <v>🟢 TIER 4</v>
      </c>
      <c r="L87" s="591">
        <f>COUNTIFS('All 108 Regulators - Frameworks'!B$4:B$500,A87,'All 108 Regulators - Frameworks'!BB$4:BB$500,"DEEP")</f>
        <v>0</v>
      </c>
      <c r="M87" s="591">
        <f>COUNTIFS('All 108 Regulators - Frameworks'!B$4:B$500,A87,'All 108 Regulators - Frameworks'!BB$4:BB$500,"TEMPLATE")</f>
        <v>2</v>
      </c>
      <c r="N87" s="675">
        <f t="shared" si="6"/>
        <v>0</v>
      </c>
      <c r="O87" s="675">
        <f t="shared" si="7"/>
        <v>0</v>
      </c>
      <c r="P87" s="608">
        <f>IFERROR(AVERAGEIFS('All 108 Regulators - Frameworks'!BF$4:BF$500,'All 108 Regulators - Frameworks'!B$4:B$500,A87),0)</f>
        <v>6.5</v>
      </c>
    </row>
    <row r="88" spans="1:16" ht="36" customHeight="1" x14ac:dyDescent="0.45">
      <c r="A88" s="85" t="s">
        <v>2151</v>
      </c>
      <c r="B88" s="72" t="s">
        <v>2152</v>
      </c>
      <c r="C88" s="70" t="s">
        <v>571</v>
      </c>
      <c r="D88" s="70">
        <v>1</v>
      </c>
      <c r="E88" s="70">
        <v>1</v>
      </c>
      <c r="F88" s="70">
        <v>2</v>
      </c>
      <c r="G88" s="70">
        <v>0</v>
      </c>
      <c r="H88" s="70" t="s">
        <v>2459</v>
      </c>
      <c r="I88" s="70" t="s">
        <v>1901</v>
      </c>
      <c r="J88" s="594">
        <f t="shared" si="4"/>
        <v>5</v>
      </c>
      <c r="K88" s="591" t="str">
        <f t="shared" si="5"/>
        <v>🟢 TIER 4</v>
      </c>
      <c r="L88" s="591">
        <f>COUNTIFS('All 108 Regulators - Frameworks'!B$4:B$500,A88,'All 108 Regulators - Frameworks'!BB$4:BB$500,"DEEP")</f>
        <v>0</v>
      </c>
      <c r="M88" s="591">
        <f>COUNTIFS('All 108 Regulators - Frameworks'!B$4:B$500,A88,'All 108 Regulators - Frameworks'!BB$4:BB$500,"TEMPLATE")</f>
        <v>2</v>
      </c>
      <c r="N88" s="675">
        <f t="shared" si="6"/>
        <v>0</v>
      </c>
      <c r="O88" s="675">
        <f t="shared" si="7"/>
        <v>0</v>
      </c>
      <c r="P88" s="608">
        <f>IFERROR(AVERAGEIFS('All 108 Regulators - Frameworks'!BF$4:BF$500,'All 108 Regulators - Frameworks'!B$4:B$500,A88),0)</f>
        <v>6.5</v>
      </c>
    </row>
    <row r="89" spans="1:16" ht="36" customHeight="1" x14ac:dyDescent="0.45">
      <c r="A89" s="85" t="s">
        <v>2156</v>
      </c>
      <c r="B89" s="72" t="s">
        <v>2157</v>
      </c>
      <c r="C89" s="70" t="s">
        <v>571</v>
      </c>
      <c r="D89" s="70">
        <v>1</v>
      </c>
      <c r="E89" s="70">
        <v>1</v>
      </c>
      <c r="F89" s="70">
        <v>2</v>
      </c>
      <c r="G89" s="70">
        <v>0</v>
      </c>
      <c r="H89" s="70" t="s">
        <v>2460</v>
      </c>
      <c r="I89" s="70" t="s">
        <v>1901</v>
      </c>
      <c r="J89" s="594">
        <f t="shared" si="4"/>
        <v>5</v>
      </c>
      <c r="K89" s="591" t="str">
        <f t="shared" si="5"/>
        <v>🟢 TIER 4</v>
      </c>
      <c r="L89" s="591">
        <f>COUNTIFS('All 108 Regulators - Frameworks'!B$4:B$500,A89,'All 108 Regulators - Frameworks'!BB$4:BB$500,"DEEP")</f>
        <v>0</v>
      </c>
      <c r="M89" s="591">
        <f>COUNTIFS('All 108 Regulators - Frameworks'!B$4:B$500,A89,'All 108 Regulators - Frameworks'!BB$4:BB$500,"TEMPLATE")</f>
        <v>2</v>
      </c>
      <c r="N89" s="675">
        <f t="shared" si="6"/>
        <v>0</v>
      </c>
      <c r="O89" s="675">
        <f t="shared" si="7"/>
        <v>0</v>
      </c>
      <c r="P89" s="608">
        <f>IFERROR(AVERAGEIFS('All 108 Regulators - Frameworks'!BF$4:BF$500,'All 108 Regulators - Frameworks'!B$4:B$500,A89),0)</f>
        <v>6.5</v>
      </c>
    </row>
    <row r="90" spans="1:16" ht="36" customHeight="1" x14ac:dyDescent="0.45">
      <c r="A90" s="85" t="s">
        <v>2161</v>
      </c>
      <c r="B90" s="72" t="s">
        <v>2162</v>
      </c>
      <c r="C90" s="70" t="s">
        <v>571</v>
      </c>
      <c r="D90" s="70">
        <v>1</v>
      </c>
      <c r="E90" s="70">
        <v>1</v>
      </c>
      <c r="F90" s="70">
        <v>2</v>
      </c>
      <c r="G90" s="70">
        <v>0</v>
      </c>
      <c r="H90" s="70" t="s">
        <v>2461</v>
      </c>
      <c r="I90" s="70" t="s">
        <v>1901</v>
      </c>
      <c r="J90" s="594">
        <f t="shared" si="4"/>
        <v>5</v>
      </c>
      <c r="K90" s="591" t="str">
        <f t="shared" si="5"/>
        <v>🟢 TIER 4</v>
      </c>
      <c r="L90" s="591">
        <f>COUNTIFS('All 108 Regulators - Frameworks'!B$4:B$500,A90,'All 108 Regulators - Frameworks'!BB$4:BB$500,"DEEP")</f>
        <v>0</v>
      </c>
      <c r="M90" s="591">
        <f>COUNTIFS('All 108 Regulators - Frameworks'!B$4:B$500,A90,'All 108 Regulators - Frameworks'!BB$4:BB$500,"TEMPLATE")</f>
        <v>2</v>
      </c>
      <c r="N90" s="675">
        <f t="shared" si="6"/>
        <v>0</v>
      </c>
      <c r="O90" s="675">
        <f t="shared" si="7"/>
        <v>0</v>
      </c>
      <c r="P90" s="608">
        <f>IFERROR(AVERAGEIFS('All 108 Regulators - Frameworks'!BF$4:BF$500,'All 108 Regulators - Frameworks'!B$4:B$500,A90),0)</f>
        <v>6.5</v>
      </c>
    </row>
    <row r="91" spans="1:16" ht="36" customHeight="1" x14ac:dyDescent="0.45">
      <c r="A91" s="390" t="s">
        <v>2167</v>
      </c>
      <c r="B91" s="392" t="s">
        <v>2168</v>
      </c>
      <c r="C91" s="391" t="s">
        <v>2169</v>
      </c>
      <c r="D91" s="391">
        <v>1</v>
      </c>
      <c r="E91" s="391">
        <v>1</v>
      </c>
      <c r="F91" s="391">
        <v>2</v>
      </c>
      <c r="G91" s="391">
        <v>0</v>
      </c>
      <c r="H91" s="391" t="s">
        <v>2462</v>
      </c>
      <c r="I91" s="391" t="s">
        <v>1901</v>
      </c>
      <c r="J91" s="594">
        <f t="shared" si="4"/>
        <v>5</v>
      </c>
      <c r="K91" s="591" t="str">
        <f t="shared" si="5"/>
        <v>🟢 TIER 4</v>
      </c>
      <c r="L91" s="591">
        <f>COUNTIFS('All 108 Regulators - Frameworks'!B$4:B$500,A91,'All 108 Regulators - Frameworks'!BB$4:BB$500,"DEEP")</f>
        <v>0</v>
      </c>
      <c r="M91" s="591">
        <f>COUNTIFS('All 108 Regulators - Frameworks'!B$4:B$500,A91,'All 108 Regulators - Frameworks'!BB$4:BB$500,"TEMPLATE")</f>
        <v>2</v>
      </c>
      <c r="N91" s="675">
        <f t="shared" si="6"/>
        <v>0</v>
      </c>
      <c r="O91" s="675">
        <f t="shared" si="7"/>
        <v>0</v>
      </c>
      <c r="P91" s="608">
        <f>IFERROR(AVERAGEIFS('All 108 Regulators - Frameworks'!BF$4:BF$500,'All 108 Regulators - Frameworks'!B$4:B$500,A91),0)</f>
        <v>6.5</v>
      </c>
    </row>
    <row r="92" spans="1:16" ht="36" customHeight="1" x14ac:dyDescent="0.45">
      <c r="A92" s="390" t="s">
        <v>2173</v>
      </c>
      <c r="B92" s="392" t="s">
        <v>2174</v>
      </c>
      <c r="C92" s="391" t="s">
        <v>2169</v>
      </c>
      <c r="D92" s="391">
        <v>1</v>
      </c>
      <c r="E92" s="391">
        <v>1</v>
      </c>
      <c r="F92" s="391">
        <v>2</v>
      </c>
      <c r="G92" s="391">
        <v>0</v>
      </c>
      <c r="H92" s="391" t="s">
        <v>2463</v>
      </c>
      <c r="I92" s="391" t="s">
        <v>1901</v>
      </c>
      <c r="J92" s="594">
        <f t="shared" si="4"/>
        <v>5</v>
      </c>
      <c r="K92" s="591" t="str">
        <f t="shared" si="5"/>
        <v>🟢 TIER 4</v>
      </c>
      <c r="L92" s="591">
        <f>COUNTIFS('All 108 Regulators - Frameworks'!B$4:B$500,A92,'All 108 Regulators - Frameworks'!BB$4:BB$500,"DEEP")</f>
        <v>0</v>
      </c>
      <c r="M92" s="591">
        <f>COUNTIFS('All 108 Regulators - Frameworks'!B$4:B$500,A92,'All 108 Regulators - Frameworks'!BB$4:BB$500,"TEMPLATE")</f>
        <v>2</v>
      </c>
      <c r="N92" s="675">
        <f t="shared" si="6"/>
        <v>0</v>
      </c>
      <c r="O92" s="675">
        <f t="shared" si="7"/>
        <v>0</v>
      </c>
      <c r="P92" s="608">
        <f>IFERROR(AVERAGEIFS('All 108 Regulators - Frameworks'!BF$4:BF$500,'All 108 Regulators - Frameworks'!B$4:B$500,A92),0)</f>
        <v>6.5</v>
      </c>
    </row>
    <row r="93" spans="1:16" ht="36" customHeight="1" x14ac:dyDescent="0.45">
      <c r="A93" s="390" t="s">
        <v>2178</v>
      </c>
      <c r="B93" s="392" t="s">
        <v>2179</v>
      </c>
      <c r="C93" s="391" t="s">
        <v>2169</v>
      </c>
      <c r="D93" s="391">
        <v>1</v>
      </c>
      <c r="E93" s="391">
        <v>1</v>
      </c>
      <c r="F93" s="391">
        <v>2</v>
      </c>
      <c r="G93" s="391">
        <v>0</v>
      </c>
      <c r="H93" s="391" t="s">
        <v>2464</v>
      </c>
      <c r="I93" s="391" t="s">
        <v>1901</v>
      </c>
      <c r="J93" s="594">
        <f t="shared" si="4"/>
        <v>5</v>
      </c>
      <c r="K93" s="591" t="str">
        <f t="shared" si="5"/>
        <v>🟢 TIER 4</v>
      </c>
      <c r="L93" s="591">
        <f>COUNTIFS('All 108 Regulators - Frameworks'!B$4:B$500,A93,'All 108 Regulators - Frameworks'!BB$4:BB$500,"DEEP")</f>
        <v>0</v>
      </c>
      <c r="M93" s="591">
        <f>COUNTIFS('All 108 Regulators - Frameworks'!B$4:B$500,A93,'All 108 Regulators - Frameworks'!BB$4:BB$500,"TEMPLATE")</f>
        <v>2</v>
      </c>
      <c r="N93" s="675">
        <f t="shared" si="6"/>
        <v>0</v>
      </c>
      <c r="O93" s="675">
        <f t="shared" si="7"/>
        <v>0</v>
      </c>
      <c r="P93" s="608">
        <f>IFERROR(AVERAGEIFS('All 108 Regulators - Frameworks'!BF$4:BF$500,'All 108 Regulators - Frameworks'!B$4:B$500,A93),0)</f>
        <v>6.5</v>
      </c>
    </row>
    <row r="94" spans="1:16" ht="36" customHeight="1" x14ac:dyDescent="0.45">
      <c r="A94" s="390" t="s">
        <v>2183</v>
      </c>
      <c r="B94" s="392" t="s">
        <v>2184</v>
      </c>
      <c r="C94" s="391" t="s">
        <v>2169</v>
      </c>
      <c r="D94" s="391">
        <v>1</v>
      </c>
      <c r="E94" s="391">
        <v>1</v>
      </c>
      <c r="F94" s="391">
        <v>2</v>
      </c>
      <c r="G94" s="391">
        <v>0</v>
      </c>
      <c r="H94" s="391" t="s">
        <v>2465</v>
      </c>
      <c r="I94" s="391" t="s">
        <v>1901</v>
      </c>
      <c r="J94" s="594">
        <f t="shared" si="4"/>
        <v>5</v>
      </c>
      <c r="K94" s="591" t="str">
        <f t="shared" si="5"/>
        <v>🟢 TIER 4</v>
      </c>
      <c r="L94" s="591">
        <f>COUNTIFS('All 108 Regulators - Frameworks'!B$4:B$500,A94,'All 108 Regulators - Frameworks'!BB$4:BB$500,"DEEP")</f>
        <v>0</v>
      </c>
      <c r="M94" s="591">
        <f>COUNTIFS('All 108 Regulators - Frameworks'!B$4:B$500,A94,'All 108 Regulators - Frameworks'!BB$4:BB$500,"TEMPLATE")</f>
        <v>2</v>
      </c>
      <c r="N94" s="675">
        <f t="shared" si="6"/>
        <v>0</v>
      </c>
      <c r="O94" s="675">
        <f t="shared" si="7"/>
        <v>0</v>
      </c>
      <c r="P94" s="608">
        <f>IFERROR(AVERAGEIFS('All 108 Regulators - Frameworks'!BF$4:BF$500,'All 108 Regulators - Frameworks'!B$4:B$500,A94),0)</f>
        <v>6.5</v>
      </c>
    </row>
    <row r="95" spans="1:16" ht="36" customHeight="1" x14ac:dyDescent="0.45">
      <c r="A95" s="411" t="s">
        <v>2189</v>
      </c>
      <c r="B95" s="72" t="s">
        <v>2190</v>
      </c>
      <c r="C95" s="70" t="s">
        <v>2191</v>
      </c>
      <c r="D95" s="70">
        <v>0</v>
      </c>
      <c r="E95" s="70">
        <v>10</v>
      </c>
      <c r="F95" s="70">
        <v>10</v>
      </c>
      <c r="G95" s="70">
        <v>8</v>
      </c>
      <c r="H95" s="70" t="s">
        <v>2466</v>
      </c>
      <c r="I95" s="70" t="s">
        <v>593</v>
      </c>
      <c r="J95" s="594">
        <f t="shared" si="4"/>
        <v>50</v>
      </c>
      <c r="K95" s="591" t="str">
        <f t="shared" si="5"/>
        <v>🔴 TIER 1</v>
      </c>
      <c r="L95" s="591">
        <f>COUNTIFS('All 108 Regulators - Frameworks'!B$4:B$500,A95,'All 108 Regulators - Frameworks'!BB$4:BB$500,"DEEP")</f>
        <v>4</v>
      </c>
      <c r="M95" s="591">
        <f>COUNTIFS('All 108 Regulators - Frameworks'!B$4:B$500,A95,'All 108 Regulators - Frameworks'!BB$4:BB$500,"TEMPLATE")</f>
        <v>6</v>
      </c>
      <c r="N95" s="675">
        <f t="shared" si="6"/>
        <v>0.4</v>
      </c>
      <c r="O95" s="675">
        <f t="shared" si="7"/>
        <v>0.8</v>
      </c>
      <c r="P95" s="608">
        <f>IFERROR(AVERAGEIFS('All 108 Regulators - Frameworks'!BF$4:BF$500,'All 108 Regulators - Frameworks'!B$4:B$500,A95),0)</f>
        <v>13.1</v>
      </c>
    </row>
    <row r="96" spans="1:16" ht="36" customHeight="1" x14ac:dyDescent="0.45">
      <c r="A96" s="411" t="s">
        <v>2210</v>
      </c>
      <c r="B96" s="72" t="s">
        <v>2211</v>
      </c>
      <c r="C96" s="70" t="s">
        <v>2191</v>
      </c>
      <c r="D96" s="70">
        <v>0</v>
      </c>
      <c r="E96" s="70">
        <v>10</v>
      </c>
      <c r="F96" s="70">
        <v>10</v>
      </c>
      <c r="G96" s="70">
        <v>8</v>
      </c>
      <c r="H96" s="70" t="s">
        <v>2466</v>
      </c>
      <c r="I96" s="70" t="s">
        <v>593</v>
      </c>
      <c r="J96" s="594">
        <f t="shared" si="4"/>
        <v>50</v>
      </c>
      <c r="K96" s="591" t="str">
        <f t="shared" si="5"/>
        <v>🔴 TIER 1</v>
      </c>
      <c r="L96" s="591">
        <f>COUNTIFS('All 108 Regulators - Frameworks'!B$4:B$500,A96,'All 108 Regulators - Frameworks'!BB$4:BB$500,"DEEP")</f>
        <v>4</v>
      </c>
      <c r="M96" s="591">
        <f>COUNTIFS('All 108 Regulators - Frameworks'!B$4:B$500,A96,'All 108 Regulators - Frameworks'!BB$4:BB$500,"TEMPLATE")</f>
        <v>6</v>
      </c>
      <c r="N96" s="675">
        <f t="shared" si="6"/>
        <v>0.4</v>
      </c>
      <c r="O96" s="675">
        <f t="shared" si="7"/>
        <v>0.8</v>
      </c>
      <c r="P96" s="608">
        <f>IFERROR(AVERAGEIFS('All 108 Regulators - Frameworks'!BF$4:BF$500,'All 108 Regulators - Frameworks'!B$4:B$500,A96),0)</f>
        <v>13.1</v>
      </c>
    </row>
    <row r="97" spans="1:16" ht="36" customHeight="1" x14ac:dyDescent="0.45">
      <c r="A97" s="411" t="s">
        <v>2222</v>
      </c>
      <c r="B97" s="72" t="s">
        <v>2223</v>
      </c>
      <c r="C97" s="70" t="s">
        <v>2191</v>
      </c>
      <c r="D97" s="70">
        <v>0</v>
      </c>
      <c r="E97" s="70">
        <v>10</v>
      </c>
      <c r="F97" s="70">
        <v>10</v>
      </c>
      <c r="G97" s="70">
        <v>8</v>
      </c>
      <c r="H97" s="70" t="s">
        <v>2466</v>
      </c>
      <c r="I97" s="70" t="s">
        <v>593</v>
      </c>
      <c r="J97" s="594">
        <f t="shared" si="4"/>
        <v>50</v>
      </c>
      <c r="K97" s="591" t="str">
        <f t="shared" si="5"/>
        <v>🔴 TIER 1</v>
      </c>
      <c r="L97" s="591">
        <f>COUNTIFS('All 108 Regulators - Frameworks'!B$4:B$500,A97,'All 108 Regulators - Frameworks'!BB$4:BB$500,"DEEP")</f>
        <v>4</v>
      </c>
      <c r="M97" s="591">
        <f>COUNTIFS('All 108 Regulators - Frameworks'!B$4:B$500,A97,'All 108 Regulators - Frameworks'!BB$4:BB$500,"TEMPLATE")</f>
        <v>6</v>
      </c>
      <c r="N97" s="675">
        <f t="shared" si="6"/>
        <v>0.4</v>
      </c>
      <c r="O97" s="675">
        <f t="shared" si="7"/>
        <v>0.8</v>
      </c>
      <c r="P97" s="608">
        <f>IFERROR(AVERAGEIFS('All 108 Regulators - Frameworks'!BF$4:BF$500,'All 108 Regulators - Frameworks'!B$4:B$500,A97),0)</f>
        <v>13.1</v>
      </c>
    </row>
    <row r="98" spans="1:16" ht="36" customHeight="1" x14ac:dyDescent="0.45">
      <c r="A98" s="411" t="s">
        <v>2234</v>
      </c>
      <c r="B98" s="72" t="s">
        <v>2235</v>
      </c>
      <c r="C98" s="70" t="s">
        <v>2191</v>
      </c>
      <c r="D98" s="70">
        <v>0</v>
      </c>
      <c r="E98" s="70">
        <v>10</v>
      </c>
      <c r="F98" s="70">
        <v>10</v>
      </c>
      <c r="G98" s="70">
        <v>8</v>
      </c>
      <c r="H98" s="70" t="s">
        <v>2466</v>
      </c>
      <c r="I98" s="70" t="s">
        <v>593</v>
      </c>
      <c r="J98" s="594">
        <f t="shared" si="4"/>
        <v>50</v>
      </c>
      <c r="K98" s="591" t="str">
        <f t="shared" si="5"/>
        <v>🔴 TIER 1</v>
      </c>
      <c r="L98" s="591">
        <f>COUNTIFS('All 108 Regulators - Frameworks'!B$4:B$500,A98,'All 108 Regulators - Frameworks'!BB$4:BB$500,"DEEP")</f>
        <v>4</v>
      </c>
      <c r="M98" s="591">
        <f>COUNTIFS('All 108 Regulators - Frameworks'!B$4:B$500,A98,'All 108 Regulators - Frameworks'!BB$4:BB$500,"TEMPLATE")</f>
        <v>6</v>
      </c>
      <c r="N98" s="675">
        <f t="shared" si="6"/>
        <v>0.4</v>
      </c>
      <c r="O98" s="675">
        <f t="shared" si="7"/>
        <v>0.8</v>
      </c>
      <c r="P98" s="608">
        <f>IFERROR(AVERAGEIFS('All 108 Regulators - Frameworks'!BF$4:BF$500,'All 108 Regulators - Frameworks'!B$4:B$500,A98),0)</f>
        <v>13.1</v>
      </c>
    </row>
    <row r="99" spans="1:16" ht="36" customHeight="1" x14ac:dyDescent="0.45">
      <c r="A99" s="411" t="s">
        <v>2246</v>
      </c>
      <c r="B99" s="72" t="s">
        <v>2247</v>
      </c>
      <c r="C99" s="70" t="s">
        <v>2191</v>
      </c>
      <c r="D99" s="70">
        <v>0</v>
      </c>
      <c r="E99" s="70">
        <v>10</v>
      </c>
      <c r="F99" s="70">
        <v>10</v>
      </c>
      <c r="G99" s="70">
        <v>8</v>
      </c>
      <c r="H99" s="70" t="s">
        <v>2466</v>
      </c>
      <c r="I99" s="70" t="s">
        <v>593</v>
      </c>
      <c r="J99" s="594">
        <f t="shared" si="4"/>
        <v>50</v>
      </c>
      <c r="K99" s="591" t="str">
        <f t="shared" si="5"/>
        <v>🔴 TIER 1</v>
      </c>
      <c r="L99" s="591">
        <f>COUNTIFS('All 108 Regulators - Frameworks'!B$4:B$500,A99,'All 108 Regulators - Frameworks'!BB$4:BB$500,"DEEP")</f>
        <v>4</v>
      </c>
      <c r="M99" s="591">
        <f>COUNTIFS('All 108 Regulators - Frameworks'!B$4:B$500,A99,'All 108 Regulators - Frameworks'!BB$4:BB$500,"TEMPLATE")</f>
        <v>6</v>
      </c>
      <c r="N99" s="675">
        <f t="shared" si="6"/>
        <v>0.4</v>
      </c>
      <c r="O99" s="675">
        <f t="shared" si="7"/>
        <v>0.8</v>
      </c>
      <c r="P99" s="608">
        <f>IFERROR(AVERAGEIFS('All 108 Regulators - Frameworks'!BF$4:BF$500,'All 108 Regulators - Frameworks'!B$4:B$500,A99),0)</f>
        <v>13.1</v>
      </c>
    </row>
    <row r="100" spans="1:16" ht="36" customHeight="1" x14ac:dyDescent="0.45">
      <c r="A100" s="411" t="s">
        <v>2258</v>
      </c>
      <c r="B100" s="72" t="s">
        <v>2259</v>
      </c>
      <c r="C100" s="70" t="s">
        <v>2191</v>
      </c>
      <c r="D100" s="70">
        <v>0</v>
      </c>
      <c r="E100" s="70">
        <v>10</v>
      </c>
      <c r="F100" s="70">
        <v>10</v>
      </c>
      <c r="G100" s="70">
        <v>8</v>
      </c>
      <c r="H100" s="70" t="s">
        <v>2466</v>
      </c>
      <c r="I100" s="70" t="s">
        <v>593</v>
      </c>
      <c r="J100" s="594">
        <f t="shared" si="4"/>
        <v>50</v>
      </c>
      <c r="K100" s="591" t="str">
        <f t="shared" si="5"/>
        <v>🔴 TIER 1</v>
      </c>
      <c r="L100" s="591">
        <f>COUNTIFS('All 108 Regulators - Frameworks'!B$4:B$500,A100,'All 108 Regulators - Frameworks'!BB$4:BB$500,"DEEP")</f>
        <v>4</v>
      </c>
      <c r="M100" s="591">
        <f>COUNTIFS('All 108 Regulators - Frameworks'!B$4:B$500,A100,'All 108 Regulators - Frameworks'!BB$4:BB$500,"TEMPLATE")</f>
        <v>6</v>
      </c>
      <c r="N100" s="675">
        <f t="shared" si="6"/>
        <v>0.4</v>
      </c>
      <c r="O100" s="675">
        <f t="shared" si="7"/>
        <v>0.8</v>
      </c>
      <c r="P100" s="608">
        <f>IFERROR(AVERAGEIFS('All 108 Regulators - Frameworks'!BF$4:BF$500,'All 108 Regulators - Frameworks'!B$4:B$500,A100),0)</f>
        <v>13.1</v>
      </c>
    </row>
    <row r="101" spans="1:16" ht="36" customHeight="1" x14ac:dyDescent="0.45">
      <c r="A101" s="411" t="s">
        <v>2270</v>
      </c>
      <c r="B101" s="72" t="s">
        <v>2271</v>
      </c>
      <c r="C101" s="70" t="s">
        <v>2191</v>
      </c>
      <c r="D101" s="70">
        <v>0</v>
      </c>
      <c r="E101" s="70">
        <v>10</v>
      </c>
      <c r="F101" s="70">
        <v>10</v>
      </c>
      <c r="G101" s="70">
        <v>8</v>
      </c>
      <c r="H101" s="70" t="s">
        <v>2466</v>
      </c>
      <c r="I101" s="70" t="s">
        <v>593</v>
      </c>
      <c r="J101" s="594">
        <f t="shared" si="4"/>
        <v>50</v>
      </c>
      <c r="K101" s="591" t="str">
        <f t="shared" si="5"/>
        <v>🔴 TIER 1</v>
      </c>
      <c r="L101" s="591">
        <f>COUNTIFS('All 108 Regulators - Frameworks'!B$4:B$500,A101,'All 108 Regulators - Frameworks'!BB$4:BB$500,"DEEP")</f>
        <v>4</v>
      </c>
      <c r="M101" s="591">
        <f>COUNTIFS('All 108 Regulators - Frameworks'!B$4:B$500,A101,'All 108 Regulators - Frameworks'!BB$4:BB$500,"TEMPLATE")</f>
        <v>6</v>
      </c>
      <c r="N101" s="675">
        <f t="shared" si="6"/>
        <v>0.4</v>
      </c>
      <c r="O101" s="675">
        <f t="shared" si="7"/>
        <v>0.8</v>
      </c>
      <c r="P101" s="608">
        <f>IFERROR(AVERAGEIFS('All 108 Regulators - Frameworks'!BF$4:BF$500,'All 108 Regulators - Frameworks'!B$4:B$500,A101),0)</f>
        <v>13.1</v>
      </c>
    </row>
    <row r="102" spans="1:16" ht="36" customHeight="1" x14ac:dyDescent="0.45">
      <c r="A102" s="411" t="s">
        <v>2282</v>
      </c>
      <c r="B102" s="72" t="s">
        <v>2283</v>
      </c>
      <c r="C102" s="70" t="s">
        <v>2191</v>
      </c>
      <c r="D102" s="70">
        <v>0</v>
      </c>
      <c r="E102" s="70">
        <v>10</v>
      </c>
      <c r="F102" s="70">
        <v>10</v>
      </c>
      <c r="G102" s="70">
        <v>8</v>
      </c>
      <c r="H102" s="70" t="s">
        <v>2466</v>
      </c>
      <c r="I102" s="70" t="s">
        <v>593</v>
      </c>
      <c r="J102" s="594">
        <f t="shared" si="4"/>
        <v>50</v>
      </c>
      <c r="K102" s="591" t="str">
        <f t="shared" si="5"/>
        <v>🔴 TIER 1</v>
      </c>
      <c r="L102" s="591">
        <f>COUNTIFS('All 108 Regulators - Frameworks'!B$4:B$500,A102,'All 108 Regulators - Frameworks'!BB$4:BB$500,"DEEP")</f>
        <v>4</v>
      </c>
      <c r="M102" s="591">
        <f>COUNTIFS('All 108 Regulators - Frameworks'!B$4:B$500,A102,'All 108 Regulators - Frameworks'!BB$4:BB$500,"TEMPLATE")</f>
        <v>6</v>
      </c>
      <c r="N102" s="675">
        <f t="shared" si="6"/>
        <v>0.4</v>
      </c>
      <c r="O102" s="675">
        <f t="shared" si="7"/>
        <v>0.8</v>
      </c>
      <c r="P102" s="608">
        <f>IFERROR(AVERAGEIFS('All 108 Regulators - Frameworks'!BF$4:BF$500,'All 108 Regulators - Frameworks'!B$4:B$500,A102),0)</f>
        <v>13.1</v>
      </c>
    </row>
    <row r="103" spans="1:16" ht="36" customHeight="1" x14ac:dyDescent="0.45">
      <c r="A103" s="411" t="s">
        <v>2294</v>
      </c>
      <c r="B103" s="72" t="s">
        <v>2295</v>
      </c>
      <c r="C103" s="70" t="s">
        <v>2191</v>
      </c>
      <c r="D103" s="70">
        <v>0</v>
      </c>
      <c r="E103" s="70">
        <v>10</v>
      </c>
      <c r="F103" s="70">
        <v>10</v>
      </c>
      <c r="G103" s="70">
        <v>8</v>
      </c>
      <c r="H103" s="70" t="s">
        <v>2466</v>
      </c>
      <c r="I103" s="70" t="s">
        <v>593</v>
      </c>
      <c r="J103" s="594">
        <f t="shared" si="4"/>
        <v>50</v>
      </c>
      <c r="K103" s="591" t="str">
        <f t="shared" si="5"/>
        <v>🔴 TIER 1</v>
      </c>
      <c r="L103" s="591">
        <f>COUNTIFS('All 108 Regulators - Frameworks'!B$4:B$500,A103,'All 108 Regulators - Frameworks'!BB$4:BB$500,"DEEP")</f>
        <v>4</v>
      </c>
      <c r="M103" s="591">
        <f>COUNTIFS('All 108 Regulators - Frameworks'!B$4:B$500,A103,'All 108 Regulators - Frameworks'!BB$4:BB$500,"TEMPLATE")</f>
        <v>6</v>
      </c>
      <c r="N103" s="675">
        <f t="shared" si="6"/>
        <v>0.4</v>
      </c>
      <c r="O103" s="675">
        <f t="shared" si="7"/>
        <v>0.8</v>
      </c>
      <c r="P103" s="608">
        <f>IFERROR(AVERAGEIFS('All 108 Regulators - Frameworks'!BF$4:BF$500,'All 108 Regulators - Frameworks'!B$4:B$500,A103),0)</f>
        <v>13.1</v>
      </c>
    </row>
    <row r="104" spans="1:16" ht="36" customHeight="1" x14ac:dyDescent="0.45">
      <c r="A104" s="411" t="s">
        <v>2306</v>
      </c>
      <c r="B104" s="72" t="s">
        <v>2307</v>
      </c>
      <c r="C104" s="70" t="s">
        <v>2191</v>
      </c>
      <c r="D104" s="70">
        <v>0</v>
      </c>
      <c r="E104" s="70">
        <v>10</v>
      </c>
      <c r="F104" s="70">
        <v>10</v>
      </c>
      <c r="G104" s="70">
        <v>8</v>
      </c>
      <c r="H104" s="70" t="s">
        <v>2466</v>
      </c>
      <c r="I104" s="70" t="s">
        <v>593</v>
      </c>
      <c r="J104" s="594">
        <f t="shared" si="4"/>
        <v>50</v>
      </c>
      <c r="K104" s="591" t="str">
        <f t="shared" si="5"/>
        <v>🔴 TIER 1</v>
      </c>
      <c r="L104" s="591">
        <f>COUNTIFS('All 108 Regulators - Frameworks'!B$4:B$500,A104,'All 108 Regulators - Frameworks'!BB$4:BB$500,"DEEP")</f>
        <v>4</v>
      </c>
      <c r="M104" s="591">
        <f>COUNTIFS('All 108 Regulators - Frameworks'!B$4:B$500,A104,'All 108 Regulators - Frameworks'!BB$4:BB$500,"TEMPLATE")</f>
        <v>6</v>
      </c>
      <c r="N104" s="675">
        <f t="shared" si="6"/>
        <v>0.4</v>
      </c>
      <c r="O104" s="675">
        <f t="shared" si="7"/>
        <v>0.8</v>
      </c>
      <c r="P104" s="608">
        <f>IFERROR(AVERAGEIFS('All 108 Regulators - Frameworks'!BF$4:BF$500,'All 108 Regulators - Frameworks'!B$4:B$500,A104),0)</f>
        <v>13.1</v>
      </c>
    </row>
    <row r="105" spans="1:16" ht="36" customHeight="1" x14ac:dyDescent="0.45">
      <c r="A105" s="411" t="s">
        <v>2318</v>
      </c>
      <c r="B105" s="72" t="s">
        <v>2319</v>
      </c>
      <c r="C105" s="70" t="s">
        <v>2191</v>
      </c>
      <c r="D105" s="70">
        <v>0</v>
      </c>
      <c r="E105" s="70">
        <v>10</v>
      </c>
      <c r="F105" s="70">
        <v>10</v>
      </c>
      <c r="G105" s="70">
        <v>8</v>
      </c>
      <c r="H105" s="70" t="s">
        <v>2466</v>
      </c>
      <c r="I105" s="70" t="s">
        <v>593</v>
      </c>
      <c r="J105" s="594">
        <f t="shared" si="4"/>
        <v>50</v>
      </c>
      <c r="K105" s="591" t="str">
        <f t="shared" si="5"/>
        <v>🔴 TIER 1</v>
      </c>
      <c r="L105" s="591">
        <f>COUNTIFS('All 108 Regulators - Frameworks'!B$4:B$500,A105,'All 108 Regulators - Frameworks'!BB$4:BB$500,"DEEP")</f>
        <v>4</v>
      </c>
      <c r="M105" s="591">
        <f>COUNTIFS('All 108 Regulators - Frameworks'!B$4:B$500,A105,'All 108 Regulators - Frameworks'!BB$4:BB$500,"TEMPLATE")</f>
        <v>6</v>
      </c>
      <c r="N105" s="675">
        <f t="shared" si="6"/>
        <v>0.4</v>
      </c>
      <c r="O105" s="675">
        <f t="shared" si="7"/>
        <v>0.8</v>
      </c>
      <c r="P105" s="608">
        <f>IFERROR(AVERAGEIFS('All 108 Regulators - Frameworks'!BF$4:BF$500,'All 108 Regulators - Frameworks'!B$4:B$500,A105),0)</f>
        <v>13.1</v>
      </c>
    </row>
    <row r="106" spans="1:16" ht="36" customHeight="1" x14ac:dyDescent="0.45">
      <c r="A106" s="411" t="s">
        <v>2330</v>
      </c>
      <c r="B106" s="72" t="s">
        <v>2331</v>
      </c>
      <c r="C106" s="70" t="s">
        <v>2191</v>
      </c>
      <c r="D106" s="70">
        <v>0</v>
      </c>
      <c r="E106" s="70">
        <v>10</v>
      </c>
      <c r="F106" s="70">
        <v>10</v>
      </c>
      <c r="G106" s="70">
        <v>8</v>
      </c>
      <c r="H106" s="70" t="s">
        <v>2466</v>
      </c>
      <c r="I106" s="70" t="s">
        <v>593</v>
      </c>
      <c r="J106" s="594">
        <f t="shared" si="4"/>
        <v>50</v>
      </c>
      <c r="K106" s="591" t="str">
        <f t="shared" si="5"/>
        <v>🔴 TIER 1</v>
      </c>
      <c r="L106" s="591">
        <f>COUNTIFS('All 108 Regulators - Frameworks'!B$4:B$500,A106,'All 108 Regulators - Frameworks'!BB$4:BB$500,"DEEP")</f>
        <v>4</v>
      </c>
      <c r="M106" s="591">
        <f>COUNTIFS('All 108 Regulators - Frameworks'!B$4:B$500,A106,'All 108 Regulators - Frameworks'!BB$4:BB$500,"TEMPLATE")</f>
        <v>6</v>
      </c>
      <c r="N106" s="675">
        <f t="shared" si="6"/>
        <v>0.4</v>
      </c>
      <c r="O106" s="675">
        <f t="shared" si="7"/>
        <v>0.8</v>
      </c>
      <c r="P106" s="608">
        <f>IFERROR(AVERAGEIFS('All 108 Regulators - Frameworks'!BF$4:BF$500,'All 108 Regulators - Frameworks'!B$4:B$500,A106),0)</f>
        <v>13.1</v>
      </c>
    </row>
    <row r="107" spans="1:16" ht="36" customHeight="1" x14ac:dyDescent="0.45">
      <c r="A107" s="411" t="s">
        <v>2342</v>
      </c>
      <c r="B107" s="72" t="s">
        <v>2343</v>
      </c>
      <c r="C107" s="70" t="s">
        <v>2191</v>
      </c>
      <c r="D107" s="70">
        <v>0</v>
      </c>
      <c r="E107" s="70">
        <v>10</v>
      </c>
      <c r="F107" s="70">
        <v>10</v>
      </c>
      <c r="G107" s="70">
        <v>8</v>
      </c>
      <c r="H107" s="70" t="s">
        <v>2466</v>
      </c>
      <c r="I107" s="70" t="s">
        <v>593</v>
      </c>
      <c r="J107" s="594">
        <f t="shared" si="4"/>
        <v>50</v>
      </c>
      <c r="K107" s="591" t="str">
        <f t="shared" si="5"/>
        <v>🔴 TIER 1</v>
      </c>
      <c r="L107" s="591">
        <f>COUNTIFS('All 108 Regulators - Frameworks'!B$4:B$500,A107,'All 108 Regulators - Frameworks'!BB$4:BB$500,"DEEP")</f>
        <v>4</v>
      </c>
      <c r="M107" s="591">
        <f>COUNTIFS('All 108 Regulators - Frameworks'!B$4:B$500,A107,'All 108 Regulators - Frameworks'!BB$4:BB$500,"TEMPLATE")</f>
        <v>6</v>
      </c>
      <c r="N107" s="675">
        <f t="shared" si="6"/>
        <v>0.4</v>
      </c>
      <c r="O107" s="675">
        <f t="shared" si="7"/>
        <v>0.8</v>
      </c>
      <c r="P107" s="608">
        <f>IFERROR(AVERAGEIFS('All 108 Regulators - Frameworks'!BF$4:BF$500,'All 108 Regulators - Frameworks'!B$4:B$500,A107),0)</f>
        <v>13.1</v>
      </c>
    </row>
    <row r="108" spans="1:16" ht="36" customHeight="1" x14ac:dyDescent="0.45">
      <c r="A108" s="411" t="s">
        <v>2354</v>
      </c>
      <c r="B108" s="72" t="s">
        <v>2355</v>
      </c>
      <c r="C108" s="70" t="s">
        <v>2191</v>
      </c>
      <c r="D108" s="70">
        <v>0</v>
      </c>
      <c r="E108" s="70">
        <v>10</v>
      </c>
      <c r="F108" s="70">
        <v>10</v>
      </c>
      <c r="G108" s="70">
        <v>8</v>
      </c>
      <c r="H108" s="70" t="s">
        <v>2466</v>
      </c>
      <c r="I108" s="70" t="s">
        <v>593</v>
      </c>
      <c r="J108" s="594">
        <f t="shared" si="4"/>
        <v>50</v>
      </c>
      <c r="K108" s="591" t="str">
        <f t="shared" si="5"/>
        <v>🔴 TIER 1</v>
      </c>
      <c r="L108" s="591">
        <f>COUNTIFS('All 108 Regulators - Frameworks'!B$4:B$500,A108,'All 108 Regulators - Frameworks'!BB$4:BB$500,"DEEP")</f>
        <v>4</v>
      </c>
      <c r="M108" s="591">
        <f>COUNTIFS('All 108 Regulators - Frameworks'!B$4:B$500,A108,'All 108 Regulators - Frameworks'!BB$4:BB$500,"TEMPLATE")</f>
        <v>5</v>
      </c>
      <c r="N108" s="675">
        <f t="shared" si="6"/>
        <v>0.44444444444444442</v>
      </c>
      <c r="O108" s="675">
        <f t="shared" si="7"/>
        <v>0.8</v>
      </c>
      <c r="P108" s="608">
        <f>IFERROR(AVERAGEIFS('All 108 Regulators - Frameworks'!BF$4:BF$500,'All 108 Regulators - Frameworks'!B$4:B$500,A108),0)</f>
        <v>13.333333333333334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9"/>
  <sheetViews>
    <sheetView zoomScaleNormal="100" workbookViewId="0">
      <pane ySplit="1" topLeftCell="A2" activePane="bottomLeft" state="frozen"/>
      <selection pane="bottomLeft"/>
    </sheetView>
  </sheetViews>
  <sheetFormatPr defaultColWidth="8.6640625" defaultRowHeight="14.25" x14ac:dyDescent="0.45"/>
  <cols>
    <col min="1" max="1" width="5" customWidth="1"/>
    <col min="2" max="2" width="18" customWidth="1"/>
    <col min="3" max="3" width="38" customWidth="1"/>
    <col min="4" max="4" width="13" customWidth="1"/>
    <col min="5" max="5" width="22" customWidth="1"/>
    <col min="6" max="6" width="20" customWidth="1"/>
    <col min="7" max="7" width="8" customWidth="1"/>
    <col min="8" max="8" width="13" customWidth="1"/>
    <col min="9" max="9" width="18" customWidth="1"/>
    <col min="10" max="10" width="38" customWidth="1"/>
  </cols>
  <sheetData>
    <row r="1" spans="1:10" ht="15" customHeight="1" x14ac:dyDescent="0.45">
      <c r="A1" s="5" t="s">
        <v>2467</v>
      </c>
      <c r="B1" s="5" t="s">
        <v>4</v>
      </c>
      <c r="C1" s="5" t="s">
        <v>5</v>
      </c>
      <c r="D1" s="5" t="s">
        <v>2468</v>
      </c>
      <c r="E1" s="5" t="s">
        <v>3</v>
      </c>
      <c r="F1" s="5" t="s">
        <v>2469</v>
      </c>
      <c r="G1" s="5" t="s">
        <v>9</v>
      </c>
      <c r="H1" s="5" t="s">
        <v>2470</v>
      </c>
      <c r="I1" s="5" t="s">
        <v>11</v>
      </c>
      <c r="J1" s="5" t="s">
        <v>2471</v>
      </c>
    </row>
    <row r="2" spans="1:10" ht="45" customHeight="1" x14ac:dyDescent="0.45">
      <c r="A2" s="42">
        <v>1</v>
      </c>
      <c r="B2" s="18" t="s">
        <v>57</v>
      </c>
      <c r="C2" s="20" t="s">
        <v>58</v>
      </c>
      <c r="D2" s="37" t="s">
        <v>54</v>
      </c>
      <c r="E2" s="19" t="s">
        <v>56</v>
      </c>
      <c r="F2" s="19" t="s">
        <v>60</v>
      </c>
      <c r="G2" s="21" t="s">
        <v>62</v>
      </c>
      <c r="H2" s="23" t="s">
        <v>66</v>
      </c>
      <c r="I2" s="22" t="s">
        <v>64</v>
      </c>
      <c r="J2" s="24" t="s">
        <v>67</v>
      </c>
    </row>
    <row r="3" spans="1:10" ht="45" customHeight="1" x14ac:dyDescent="0.45">
      <c r="A3" s="42">
        <v>2</v>
      </c>
      <c r="B3" s="18" t="s">
        <v>106</v>
      </c>
      <c r="C3" s="20" t="s">
        <v>107</v>
      </c>
      <c r="D3" s="37" t="s">
        <v>54</v>
      </c>
      <c r="E3" s="19" t="s">
        <v>56</v>
      </c>
      <c r="F3" s="19" t="s">
        <v>106</v>
      </c>
      <c r="G3" s="21" t="s">
        <v>110</v>
      </c>
      <c r="H3" s="23" t="s">
        <v>66</v>
      </c>
      <c r="I3" s="22" t="s">
        <v>64</v>
      </c>
      <c r="J3" s="24" t="s">
        <v>112</v>
      </c>
    </row>
    <row r="4" spans="1:10" ht="45" customHeight="1" x14ac:dyDescent="0.45">
      <c r="A4" s="42">
        <v>3</v>
      </c>
      <c r="B4" s="18" t="s">
        <v>333</v>
      </c>
      <c r="C4" s="20" t="s">
        <v>334</v>
      </c>
      <c r="D4" s="37" t="s">
        <v>54</v>
      </c>
      <c r="E4" s="19" t="s">
        <v>56</v>
      </c>
      <c r="F4" s="19" t="s">
        <v>336</v>
      </c>
      <c r="G4" s="21" t="s">
        <v>310</v>
      </c>
      <c r="H4" s="23" t="s">
        <v>66</v>
      </c>
      <c r="I4" s="22" t="s">
        <v>64</v>
      </c>
      <c r="J4" s="24" t="s">
        <v>339</v>
      </c>
    </row>
    <row r="5" spans="1:10" ht="45" customHeight="1" x14ac:dyDescent="0.45">
      <c r="A5" s="42">
        <v>4</v>
      </c>
      <c r="B5" s="18" t="s">
        <v>382</v>
      </c>
      <c r="C5" s="20" t="s">
        <v>383</v>
      </c>
      <c r="D5" s="37" t="s">
        <v>380</v>
      </c>
      <c r="E5" s="19" t="s">
        <v>56</v>
      </c>
      <c r="F5" s="19" t="s">
        <v>385</v>
      </c>
      <c r="G5" s="21" t="s">
        <v>386</v>
      </c>
      <c r="H5" s="23" t="s">
        <v>66</v>
      </c>
      <c r="I5" s="22" t="s">
        <v>64</v>
      </c>
      <c r="J5" s="24" t="s">
        <v>388</v>
      </c>
    </row>
    <row r="6" spans="1:10" ht="45" customHeight="1" x14ac:dyDescent="0.45">
      <c r="A6" s="42">
        <v>5</v>
      </c>
      <c r="B6" s="18" t="s">
        <v>426</v>
      </c>
      <c r="C6" s="20" t="s">
        <v>427</v>
      </c>
      <c r="D6" s="37" t="s">
        <v>380</v>
      </c>
      <c r="E6" s="19" t="s">
        <v>56</v>
      </c>
      <c r="F6" s="19" t="s">
        <v>429</v>
      </c>
      <c r="G6" s="21" t="s">
        <v>431</v>
      </c>
      <c r="H6" s="23" t="s">
        <v>66</v>
      </c>
      <c r="I6" s="22" t="s">
        <v>64</v>
      </c>
      <c r="J6" s="24" t="s">
        <v>388</v>
      </c>
    </row>
    <row r="7" spans="1:10" ht="45" customHeight="1" x14ac:dyDescent="0.45">
      <c r="A7" s="42">
        <v>6</v>
      </c>
      <c r="B7" s="18" t="s">
        <v>461</v>
      </c>
      <c r="C7" s="20" t="s">
        <v>462</v>
      </c>
      <c r="D7" s="37" t="s">
        <v>380</v>
      </c>
      <c r="E7" s="19" t="s">
        <v>56</v>
      </c>
      <c r="F7" s="19" t="s">
        <v>464</v>
      </c>
      <c r="G7" s="21" t="s">
        <v>465</v>
      </c>
      <c r="H7" s="23" t="s">
        <v>66</v>
      </c>
      <c r="I7" s="22" t="s">
        <v>64</v>
      </c>
      <c r="J7" s="24" t="s">
        <v>388</v>
      </c>
    </row>
    <row r="8" spans="1:10" ht="45" customHeight="1" x14ac:dyDescent="0.45">
      <c r="A8" s="42">
        <v>7</v>
      </c>
      <c r="B8" s="18" t="s">
        <v>548</v>
      </c>
      <c r="C8" s="20" t="s">
        <v>549</v>
      </c>
      <c r="D8" s="37" t="s">
        <v>380</v>
      </c>
      <c r="E8" s="19" t="s">
        <v>56</v>
      </c>
      <c r="F8" s="19" t="s">
        <v>551</v>
      </c>
      <c r="G8" s="21" t="s">
        <v>310</v>
      </c>
      <c r="H8" s="23" t="s">
        <v>66</v>
      </c>
      <c r="I8" s="22" t="s">
        <v>64</v>
      </c>
      <c r="J8" s="24" t="s">
        <v>540</v>
      </c>
    </row>
    <row r="9" spans="1:10" ht="45" customHeight="1" x14ac:dyDescent="0.45">
      <c r="A9" s="42">
        <v>8</v>
      </c>
      <c r="B9" s="18" t="s">
        <v>557</v>
      </c>
      <c r="C9" s="20" t="s">
        <v>58</v>
      </c>
      <c r="D9" s="37" t="s">
        <v>380</v>
      </c>
      <c r="E9" s="19" t="s">
        <v>56</v>
      </c>
      <c r="F9" s="19" t="s">
        <v>57</v>
      </c>
      <c r="G9" s="21" t="s">
        <v>62</v>
      </c>
      <c r="H9" s="23" t="s">
        <v>66</v>
      </c>
      <c r="I9" s="66" t="s">
        <v>559</v>
      </c>
      <c r="J9" s="24" t="s">
        <v>196</v>
      </c>
    </row>
    <row r="10" spans="1:10" ht="45" customHeight="1" x14ac:dyDescent="0.45">
      <c r="A10" s="42">
        <v>9</v>
      </c>
      <c r="B10" s="85" t="s">
        <v>572</v>
      </c>
      <c r="C10" s="72" t="s">
        <v>573</v>
      </c>
      <c r="D10" s="50" t="s">
        <v>569</v>
      </c>
      <c r="E10" s="70" t="s">
        <v>571</v>
      </c>
      <c r="F10" s="70" t="s">
        <v>575</v>
      </c>
      <c r="G10" s="71" t="s">
        <v>310</v>
      </c>
      <c r="H10" s="86" t="s">
        <v>66</v>
      </c>
      <c r="I10" s="22" t="s">
        <v>64</v>
      </c>
      <c r="J10" s="87" t="s">
        <v>578</v>
      </c>
    </row>
    <row r="11" spans="1:10" ht="45" customHeight="1" x14ac:dyDescent="0.45">
      <c r="A11" s="42">
        <v>10</v>
      </c>
      <c r="B11" s="85" t="s">
        <v>586</v>
      </c>
      <c r="C11" s="72" t="s">
        <v>587</v>
      </c>
      <c r="D11" s="50" t="s">
        <v>569</v>
      </c>
      <c r="E11" s="70" t="s">
        <v>571</v>
      </c>
      <c r="F11" s="70" t="s">
        <v>589</v>
      </c>
      <c r="G11" s="71" t="s">
        <v>591</v>
      </c>
      <c r="H11" s="86" t="s">
        <v>66</v>
      </c>
      <c r="I11" s="22" t="s">
        <v>64</v>
      </c>
      <c r="J11" s="87" t="s">
        <v>593</v>
      </c>
    </row>
    <row r="12" spans="1:10" ht="45" customHeight="1" x14ac:dyDescent="0.45">
      <c r="A12" s="42">
        <v>11</v>
      </c>
      <c r="B12" s="85" t="s">
        <v>630</v>
      </c>
      <c r="C12" s="72" t="s">
        <v>631</v>
      </c>
      <c r="D12" s="50" t="s">
        <v>569</v>
      </c>
      <c r="E12" s="70" t="s">
        <v>571</v>
      </c>
      <c r="F12" s="70" t="s">
        <v>633</v>
      </c>
      <c r="G12" s="71" t="s">
        <v>634</v>
      </c>
      <c r="H12" s="86" t="s">
        <v>66</v>
      </c>
      <c r="I12" s="22" t="s">
        <v>64</v>
      </c>
      <c r="J12" s="87" t="s">
        <v>593</v>
      </c>
    </row>
    <row r="13" spans="1:10" ht="45" customHeight="1" x14ac:dyDescent="0.45">
      <c r="A13" s="42">
        <v>12</v>
      </c>
      <c r="B13" s="85" t="s">
        <v>655</v>
      </c>
      <c r="C13" s="72" t="s">
        <v>656</v>
      </c>
      <c r="D13" s="50" t="s">
        <v>569</v>
      </c>
      <c r="E13" s="70" t="s">
        <v>571</v>
      </c>
      <c r="F13" s="70" t="s">
        <v>589</v>
      </c>
      <c r="G13" s="71" t="s">
        <v>659</v>
      </c>
      <c r="H13" s="86" t="s">
        <v>66</v>
      </c>
      <c r="I13" s="22" t="s">
        <v>64</v>
      </c>
      <c r="J13" s="87" t="s">
        <v>593</v>
      </c>
    </row>
    <row r="14" spans="1:10" ht="45" customHeight="1" x14ac:dyDescent="0.45">
      <c r="A14" s="42">
        <v>13</v>
      </c>
      <c r="B14" s="85" t="s">
        <v>688</v>
      </c>
      <c r="C14" s="72" t="s">
        <v>689</v>
      </c>
      <c r="D14" s="50" t="s">
        <v>569</v>
      </c>
      <c r="E14" s="70" t="s">
        <v>571</v>
      </c>
      <c r="F14" s="70" t="s">
        <v>691</v>
      </c>
      <c r="G14" s="71" t="s">
        <v>692</v>
      </c>
      <c r="H14" s="86" t="s">
        <v>66</v>
      </c>
      <c r="I14" s="22" t="s">
        <v>64</v>
      </c>
      <c r="J14" s="87" t="s">
        <v>593</v>
      </c>
    </row>
    <row r="15" spans="1:10" ht="45" customHeight="1" x14ac:dyDescent="0.45">
      <c r="A15" s="42">
        <v>14</v>
      </c>
      <c r="B15" s="85" t="s">
        <v>557</v>
      </c>
      <c r="C15" s="72" t="s">
        <v>58</v>
      </c>
      <c r="D15" s="50" t="s">
        <v>569</v>
      </c>
      <c r="E15" s="70" t="s">
        <v>571</v>
      </c>
      <c r="F15" s="70" t="s">
        <v>57</v>
      </c>
      <c r="G15" s="71" t="s">
        <v>62</v>
      </c>
      <c r="H15" s="86" t="s">
        <v>66</v>
      </c>
      <c r="I15" s="66" t="s">
        <v>559</v>
      </c>
      <c r="J15" s="87" t="s">
        <v>196</v>
      </c>
    </row>
    <row r="16" spans="1:10" ht="45" customHeight="1" x14ac:dyDescent="0.45">
      <c r="A16" s="42">
        <v>15</v>
      </c>
      <c r="B16" s="85" t="s">
        <v>382</v>
      </c>
      <c r="C16" s="72" t="s">
        <v>383</v>
      </c>
      <c r="D16" s="50" t="s">
        <v>569</v>
      </c>
      <c r="E16" s="70" t="s">
        <v>571</v>
      </c>
      <c r="F16" s="70" t="s">
        <v>765</v>
      </c>
      <c r="G16" s="71" t="s">
        <v>386</v>
      </c>
      <c r="H16" s="86" t="s">
        <v>66</v>
      </c>
      <c r="I16" s="66" t="s">
        <v>559</v>
      </c>
      <c r="J16" s="87" t="s">
        <v>540</v>
      </c>
    </row>
    <row r="17" spans="1:10" ht="45" customHeight="1" x14ac:dyDescent="0.45">
      <c r="A17" s="42">
        <v>16</v>
      </c>
      <c r="B17" s="85" t="s">
        <v>770</v>
      </c>
      <c r="C17" s="72" t="s">
        <v>107</v>
      </c>
      <c r="D17" s="50" t="s">
        <v>569</v>
      </c>
      <c r="E17" s="70" t="s">
        <v>571</v>
      </c>
      <c r="F17" s="70" t="s">
        <v>106</v>
      </c>
      <c r="G17" s="71" t="s">
        <v>110</v>
      </c>
      <c r="H17" s="86" t="s">
        <v>66</v>
      </c>
      <c r="I17" s="66" t="s">
        <v>559</v>
      </c>
      <c r="J17" s="87" t="s">
        <v>196</v>
      </c>
    </row>
    <row r="18" spans="1:10" ht="45" customHeight="1" x14ac:dyDescent="0.45">
      <c r="A18" s="42">
        <v>17</v>
      </c>
      <c r="B18" s="85" t="s">
        <v>785</v>
      </c>
      <c r="C18" s="72" t="s">
        <v>786</v>
      </c>
      <c r="D18" s="50" t="s">
        <v>783</v>
      </c>
      <c r="E18" s="70" t="s">
        <v>571</v>
      </c>
      <c r="F18" s="70" t="s">
        <v>788</v>
      </c>
      <c r="G18" s="71" t="s">
        <v>790</v>
      </c>
      <c r="H18" s="86" t="s">
        <v>66</v>
      </c>
      <c r="I18" s="22" t="s">
        <v>64</v>
      </c>
      <c r="J18" s="87" t="s">
        <v>792</v>
      </c>
    </row>
    <row r="19" spans="1:10" ht="45" customHeight="1" x14ac:dyDescent="0.45">
      <c r="A19" s="42">
        <v>18</v>
      </c>
      <c r="B19" s="85" t="s">
        <v>829</v>
      </c>
      <c r="C19" s="72" t="s">
        <v>830</v>
      </c>
      <c r="D19" s="50" t="s">
        <v>783</v>
      </c>
      <c r="E19" s="70" t="s">
        <v>571</v>
      </c>
      <c r="F19" s="70" t="s">
        <v>832</v>
      </c>
      <c r="G19" s="71" t="s">
        <v>834</v>
      </c>
      <c r="H19" s="86" t="s">
        <v>66</v>
      </c>
      <c r="I19" s="22" t="s">
        <v>64</v>
      </c>
      <c r="J19" s="87" t="s">
        <v>792</v>
      </c>
    </row>
    <row r="20" spans="1:10" ht="45" customHeight="1" x14ac:dyDescent="0.45">
      <c r="A20" s="42">
        <v>19</v>
      </c>
      <c r="B20" s="85" t="s">
        <v>843</v>
      </c>
      <c r="C20" s="72" t="s">
        <v>844</v>
      </c>
      <c r="D20" s="50" t="s">
        <v>783</v>
      </c>
      <c r="E20" s="70" t="s">
        <v>571</v>
      </c>
      <c r="F20" s="70" t="s">
        <v>337</v>
      </c>
      <c r="G20" s="71" t="s">
        <v>310</v>
      </c>
      <c r="H20" s="86" t="s">
        <v>66</v>
      </c>
      <c r="I20" s="22" t="s">
        <v>64</v>
      </c>
      <c r="J20" s="87" t="s">
        <v>792</v>
      </c>
    </row>
    <row r="21" spans="1:10" ht="45" customHeight="1" x14ac:dyDescent="0.45">
      <c r="A21" s="42">
        <v>20</v>
      </c>
      <c r="B21" s="85" t="s">
        <v>896</v>
      </c>
      <c r="C21" s="72" t="s">
        <v>897</v>
      </c>
      <c r="D21" s="50" t="s">
        <v>783</v>
      </c>
      <c r="E21" s="70" t="s">
        <v>571</v>
      </c>
      <c r="F21" s="70" t="s">
        <v>109</v>
      </c>
      <c r="G21" s="71" t="s">
        <v>755</v>
      </c>
      <c r="H21" s="86" t="s">
        <v>66</v>
      </c>
      <c r="I21" s="22" t="s">
        <v>64</v>
      </c>
      <c r="J21" s="87" t="s">
        <v>792</v>
      </c>
    </row>
    <row r="22" spans="1:10" ht="45" customHeight="1" x14ac:dyDescent="0.45">
      <c r="A22" s="42">
        <v>21</v>
      </c>
      <c r="B22" s="85" t="s">
        <v>557</v>
      </c>
      <c r="C22" s="72" t="s">
        <v>58</v>
      </c>
      <c r="D22" s="50" t="s">
        <v>783</v>
      </c>
      <c r="E22" s="70" t="s">
        <v>571</v>
      </c>
      <c r="F22" s="70" t="s">
        <v>57</v>
      </c>
      <c r="G22" s="71" t="s">
        <v>62</v>
      </c>
      <c r="H22" s="86" t="s">
        <v>66</v>
      </c>
      <c r="I22" s="66" t="s">
        <v>559</v>
      </c>
      <c r="J22" s="87" t="s">
        <v>196</v>
      </c>
    </row>
    <row r="23" spans="1:10" ht="45" customHeight="1" x14ac:dyDescent="0.45">
      <c r="A23" s="42">
        <v>22</v>
      </c>
      <c r="B23" s="85" t="s">
        <v>930</v>
      </c>
      <c r="C23" s="72" t="s">
        <v>931</v>
      </c>
      <c r="D23" s="50" t="s">
        <v>928</v>
      </c>
      <c r="E23" s="70" t="s">
        <v>571</v>
      </c>
      <c r="F23" s="70" t="s">
        <v>933</v>
      </c>
      <c r="G23" s="71" t="s">
        <v>934</v>
      </c>
      <c r="H23" s="86" t="s">
        <v>66</v>
      </c>
      <c r="I23" s="92" t="s">
        <v>935</v>
      </c>
      <c r="J23" s="87" t="s">
        <v>937</v>
      </c>
    </row>
    <row r="24" spans="1:10" ht="45" customHeight="1" x14ac:dyDescent="0.45">
      <c r="A24" s="42">
        <v>23</v>
      </c>
      <c r="B24" s="85" t="s">
        <v>1198</v>
      </c>
      <c r="C24" s="72" t="s">
        <v>1199</v>
      </c>
      <c r="D24" s="50" t="s">
        <v>1196</v>
      </c>
      <c r="E24" s="70" t="s">
        <v>571</v>
      </c>
      <c r="F24" s="70" t="s">
        <v>1201</v>
      </c>
      <c r="G24" s="71" t="s">
        <v>310</v>
      </c>
      <c r="H24" s="86" t="s">
        <v>66</v>
      </c>
      <c r="I24" s="22" t="s">
        <v>64</v>
      </c>
      <c r="J24" s="87" t="s">
        <v>1204</v>
      </c>
    </row>
    <row r="25" spans="1:10" ht="45" customHeight="1" x14ac:dyDescent="0.45">
      <c r="A25" s="42">
        <v>24</v>
      </c>
      <c r="B25" s="85" t="s">
        <v>1246</v>
      </c>
      <c r="C25" s="72" t="s">
        <v>1247</v>
      </c>
      <c r="D25" s="50" t="s">
        <v>1244</v>
      </c>
      <c r="E25" s="70" t="s">
        <v>571</v>
      </c>
      <c r="F25" s="70" t="s">
        <v>633</v>
      </c>
      <c r="G25" s="71" t="s">
        <v>194</v>
      </c>
      <c r="H25" s="86" t="s">
        <v>66</v>
      </c>
      <c r="I25" s="22" t="s">
        <v>64</v>
      </c>
      <c r="J25" s="87" t="s">
        <v>1250</v>
      </c>
    </row>
    <row r="26" spans="1:10" ht="45" customHeight="1" x14ac:dyDescent="0.45">
      <c r="A26" s="42">
        <v>25</v>
      </c>
      <c r="B26" s="85" t="s">
        <v>1274</v>
      </c>
      <c r="C26" s="72" t="s">
        <v>1275</v>
      </c>
      <c r="D26" s="50" t="s">
        <v>1244</v>
      </c>
      <c r="E26" s="70" t="s">
        <v>571</v>
      </c>
      <c r="F26" s="70" t="s">
        <v>109</v>
      </c>
      <c r="G26" s="71" t="s">
        <v>755</v>
      </c>
      <c r="H26" s="86" t="s">
        <v>66</v>
      </c>
      <c r="I26" s="22" t="s">
        <v>64</v>
      </c>
      <c r="J26" s="87" t="s">
        <v>1250</v>
      </c>
    </row>
    <row r="27" spans="1:10" ht="45" customHeight="1" x14ac:dyDescent="0.45">
      <c r="A27" s="42">
        <v>26</v>
      </c>
      <c r="B27" s="85" t="s">
        <v>557</v>
      </c>
      <c r="C27" s="72" t="s">
        <v>58</v>
      </c>
      <c r="D27" s="50" t="s">
        <v>1244</v>
      </c>
      <c r="E27" s="70" t="s">
        <v>571</v>
      </c>
      <c r="F27" s="70" t="s">
        <v>57</v>
      </c>
      <c r="G27" s="71" t="s">
        <v>62</v>
      </c>
      <c r="H27" s="86" t="s">
        <v>66</v>
      </c>
      <c r="I27" s="66" t="s">
        <v>559</v>
      </c>
      <c r="J27" s="87" t="s">
        <v>196</v>
      </c>
    </row>
    <row r="28" spans="1:10" ht="45" customHeight="1" x14ac:dyDescent="0.45">
      <c r="A28" s="42">
        <v>27</v>
      </c>
      <c r="B28" s="85" t="s">
        <v>382</v>
      </c>
      <c r="C28" s="72" t="s">
        <v>383</v>
      </c>
      <c r="D28" s="50" t="s">
        <v>1244</v>
      </c>
      <c r="E28" s="70" t="s">
        <v>571</v>
      </c>
      <c r="F28" s="70" t="s">
        <v>765</v>
      </c>
      <c r="G28" s="71" t="s">
        <v>386</v>
      </c>
      <c r="H28" s="86" t="s">
        <v>66</v>
      </c>
      <c r="I28" s="66" t="s">
        <v>559</v>
      </c>
      <c r="J28" s="87" t="s">
        <v>540</v>
      </c>
    </row>
    <row r="29" spans="1:10" ht="45" customHeight="1" x14ac:dyDescent="0.45">
      <c r="A29" s="42">
        <v>28</v>
      </c>
      <c r="B29" s="120" t="s">
        <v>1397</v>
      </c>
      <c r="C29" s="122" t="s">
        <v>1398</v>
      </c>
      <c r="D29" s="125" t="s">
        <v>1340</v>
      </c>
      <c r="E29" s="121" t="s">
        <v>1342</v>
      </c>
      <c r="F29" s="121" t="s">
        <v>1075</v>
      </c>
      <c r="G29" s="123" t="s">
        <v>310</v>
      </c>
      <c r="H29" s="139" t="s">
        <v>66</v>
      </c>
      <c r="I29" s="22" t="s">
        <v>64</v>
      </c>
      <c r="J29" s="125" t="s">
        <v>1348</v>
      </c>
    </row>
    <row r="30" spans="1:10" ht="45" customHeight="1" x14ac:dyDescent="0.45">
      <c r="A30" s="42">
        <v>29</v>
      </c>
      <c r="B30" s="411" t="s">
        <v>586</v>
      </c>
      <c r="C30" s="72" t="s">
        <v>587</v>
      </c>
      <c r="D30" s="413" t="s">
        <v>2189</v>
      </c>
      <c r="E30" s="70" t="s">
        <v>2191</v>
      </c>
      <c r="F30" s="70" t="s">
        <v>589</v>
      </c>
      <c r="G30" s="71" t="s">
        <v>591</v>
      </c>
      <c r="H30" s="86" t="s">
        <v>66</v>
      </c>
      <c r="I30" s="66" t="s">
        <v>559</v>
      </c>
      <c r="J30" s="87" t="s">
        <v>593</v>
      </c>
    </row>
    <row r="31" spans="1:10" ht="45" customHeight="1" x14ac:dyDescent="0.45">
      <c r="A31" s="42">
        <v>30</v>
      </c>
      <c r="B31" s="411" t="s">
        <v>630</v>
      </c>
      <c r="C31" s="72" t="s">
        <v>2193</v>
      </c>
      <c r="D31" s="413" t="s">
        <v>2189</v>
      </c>
      <c r="E31" s="70" t="s">
        <v>2191</v>
      </c>
      <c r="F31" s="70" t="s">
        <v>633</v>
      </c>
      <c r="G31" s="71" t="s">
        <v>634</v>
      </c>
      <c r="H31" s="86" t="s">
        <v>66</v>
      </c>
      <c r="I31" s="66" t="s">
        <v>559</v>
      </c>
      <c r="J31" s="87" t="s">
        <v>593</v>
      </c>
    </row>
    <row r="32" spans="1:10" ht="45" customHeight="1" x14ac:dyDescent="0.45">
      <c r="A32" s="42">
        <v>31</v>
      </c>
      <c r="B32" s="411" t="s">
        <v>655</v>
      </c>
      <c r="C32" s="72" t="s">
        <v>656</v>
      </c>
      <c r="D32" s="413" t="s">
        <v>2189</v>
      </c>
      <c r="E32" s="70" t="s">
        <v>2191</v>
      </c>
      <c r="F32" s="70" t="s">
        <v>589</v>
      </c>
      <c r="G32" s="71" t="s">
        <v>659</v>
      </c>
      <c r="H32" s="86" t="s">
        <v>66</v>
      </c>
      <c r="I32" s="66" t="s">
        <v>559</v>
      </c>
      <c r="J32" s="87" t="s">
        <v>593</v>
      </c>
    </row>
    <row r="33" spans="1:10" ht="45" customHeight="1" x14ac:dyDescent="0.45">
      <c r="A33" s="42">
        <v>32</v>
      </c>
      <c r="B33" s="411" t="s">
        <v>930</v>
      </c>
      <c r="C33" s="72" t="s">
        <v>2199</v>
      </c>
      <c r="D33" s="413" t="s">
        <v>2189</v>
      </c>
      <c r="E33" s="70" t="s">
        <v>2191</v>
      </c>
      <c r="F33" s="70" t="s">
        <v>2200</v>
      </c>
      <c r="G33" s="71" t="s">
        <v>934</v>
      </c>
      <c r="H33" s="86" t="s">
        <v>66</v>
      </c>
      <c r="I33" s="92" t="s">
        <v>935</v>
      </c>
      <c r="J33" s="87" t="s">
        <v>937</v>
      </c>
    </row>
    <row r="34" spans="1:10" ht="45" customHeight="1" x14ac:dyDescent="0.45">
      <c r="A34" s="42">
        <v>33</v>
      </c>
      <c r="B34" s="411" t="s">
        <v>557</v>
      </c>
      <c r="C34" s="72" t="s">
        <v>58</v>
      </c>
      <c r="D34" s="413" t="s">
        <v>2189</v>
      </c>
      <c r="E34" s="70" t="s">
        <v>2191</v>
      </c>
      <c r="F34" s="70" t="s">
        <v>57</v>
      </c>
      <c r="G34" s="71" t="s">
        <v>62</v>
      </c>
      <c r="H34" s="86" t="s">
        <v>66</v>
      </c>
      <c r="I34" s="66" t="s">
        <v>559</v>
      </c>
      <c r="J34" s="87" t="s">
        <v>196</v>
      </c>
    </row>
    <row r="35" spans="1:10" ht="45" customHeight="1" x14ac:dyDescent="0.45">
      <c r="A35" s="42">
        <v>34</v>
      </c>
      <c r="B35" s="411" t="s">
        <v>382</v>
      </c>
      <c r="C35" s="72" t="s">
        <v>383</v>
      </c>
      <c r="D35" s="413" t="s">
        <v>2189</v>
      </c>
      <c r="E35" s="70" t="s">
        <v>2191</v>
      </c>
      <c r="F35" s="70" t="s">
        <v>765</v>
      </c>
      <c r="G35" s="71" t="s">
        <v>386</v>
      </c>
      <c r="H35" s="86" t="s">
        <v>66</v>
      </c>
      <c r="I35" s="66" t="s">
        <v>559</v>
      </c>
      <c r="J35" s="87" t="s">
        <v>540</v>
      </c>
    </row>
    <row r="36" spans="1:10" ht="45" customHeight="1" x14ac:dyDescent="0.45">
      <c r="A36" s="42">
        <v>35</v>
      </c>
      <c r="B36" s="411" t="s">
        <v>1246</v>
      </c>
      <c r="C36" s="72" t="s">
        <v>2205</v>
      </c>
      <c r="D36" s="413" t="s">
        <v>2189</v>
      </c>
      <c r="E36" s="70" t="s">
        <v>2191</v>
      </c>
      <c r="F36" s="70" t="s">
        <v>633</v>
      </c>
      <c r="G36" s="71" t="s">
        <v>194</v>
      </c>
      <c r="H36" s="86" t="s">
        <v>66</v>
      </c>
      <c r="I36" s="66" t="s">
        <v>559</v>
      </c>
      <c r="J36" s="87" t="s">
        <v>1250</v>
      </c>
    </row>
    <row r="37" spans="1:10" ht="45" customHeight="1" x14ac:dyDescent="0.45">
      <c r="A37" s="42">
        <v>36</v>
      </c>
      <c r="B37" s="411" t="s">
        <v>770</v>
      </c>
      <c r="C37" s="72" t="s">
        <v>107</v>
      </c>
      <c r="D37" s="413" t="s">
        <v>2189</v>
      </c>
      <c r="E37" s="70" t="s">
        <v>2191</v>
      </c>
      <c r="F37" s="70" t="s">
        <v>106</v>
      </c>
      <c r="G37" s="71" t="s">
        <v>110</v>
      </c>
      <c r="H37" s="86" t="s">
        <v>66</v>
      </c>
      <c r="I37" s="66" t="s">
        <v>559</v>
      </c>
      <c r="J37" s="87" t="s">
        <v>196</v>
      </c>
    </row>
    <row r="38" spans="1:10" ht="45" customHeight="1" x14ac:dyDescent="0.45">
      <c r="A38" s="42">
        <v>37</v>
      </c>
      <c r="B38" s="411" t="s">
        <v>586</v>
      </c>
      <c r="C38" s="72" t="s">
        <v>587</v>
      </c>
      <c r="D38" s="413" t="s">
        <v>2210</v>
      </c>
      <c r="E38" s="70" t="s">
        <v>2191</v>
      </c>
      <c r="F38" s="70" t="s">
        <v>589</v>
      </c>
      <c r="G38" s="71" t="s">
        <v>591</v>
      </c>
      <c r="H38" s="86" t="s">
        <v>66</v>
      </c>
      <c r="I38" s="66" t="s">
        <v>559</v>
      </c>
      <c r="J38" s="87" t="s">
        <v>593</v>
      </c>
    </row>
    <row r="39" spans="1:10" ht="45" customHeight="1" x14ac:dyDescent="0.45">
      <c r="A39" s="42">
        <v>38</v>
      </c>
      <c r="B39" s="411" t="s">
        <v>630</v>
      </c>
      <c r="C39" s="72" t="s">
        <v>2193</v>
      </c>
      <c r="D39" s="413" t="s">
        <v>2210</v>
      </c>
      <c r="E39" s="70" t="s">
        <v>2191</v>
      </c>
      <c r="F39" s="70" t="s">
        <v>633</v>
      </c>
      <c r="G39" s="71" t="s">
        <v>634</v>
      </c>
      <c r="H39" s="86" t="s">
        <v>66</v>
      </c>
      <c r="I39" s="66" t="s">
        <v>559</v>
      </c>
      <c r="J39" s="87" t="s">
        <v>593</v>
      </c>
    </row>
    <row r="40" spans="1:10" ht="45" customHeight="1" x14ac:dyDescent="0.45">
      <c r="A40" s="42">
        <v>39</v>
      </c>
      <c r="B40" s="411" t="s">
        <v>655</v>
      </c>
      <c r="C40" s="72" t="s">
        <v>656</v>
      </c>
      <c r="D40" s="413" t="s">
        <v>2210</v>
      </c>
      <c r="E40" s="70" t="s">
        <v>2191</v>
      </c>
      <c r="F40" s="70" t="s">
        <v>589</v>
      </c>
      <c r="G40" s="71" t="s">
        <v>659</v>
      </c>
      <c r="H40" s="86" t="s">
        <v>66</v>
      </c>
      <c r="I40" s="66" t="s">
        <v>559</v>
      </c>
      <c r="J40" s="87" t="s">
        <v>593</v>
      </c>
    </row>
    <row r="41" spans="1:10" ht="45" customHeight="1" x14ac:dyDescent="0.45">
      <c r="A41" s="42">
        <v>40</v>
      </c>
      <c r="B41" s="411" t="s">
        <v>930</v>
      </c>
      <c r="C41" s="72" t="s">
        <v>2199</v>
      </c>
      <c r="D41" s="413" t="s">
        <v>2210</v>
      </c>
      <c r="E41" s="70" t="s">
        <v>2191</v>
      </c>
      <c r="F41" s="70" t="s">
        <v>2200</v>
      </c>
      <c r="G41" s="71" t="s">
        <v>934</v>
      </c>
      <c r="H41" s="86" t="s">
        <v>66</v>
      </c>
      <c r="I41" s="92" t="s">
        <v>935</v>
      </c>
      <c r="J41" s="87" t="s">
        <v>937</v>
      </c>
    </row>
    <row r="42" spans="1:10" ht="45" customHeight="1" x14ac:dyDescent="0.45">
      <c r="A42" s="42">
        <v>41</v>
      </c>
      <c r="B42" s="411" t="s">
        <v>557</v>
      </c>
      <c r="C42" s="72" t="s">
        <v>58</v>
      </c>
      <c r="D42" s="413" t="s">
        <v>2210</v>
      </c>
      <c r="E42" s="70" t="s">
        <v>2191</v>
      </c>
      <c r="F42" s="70" t="s">
        <v>57</v>
      </c>
      <c r="G42" s="71" t="s">
        <v>62</v>
      </c>
      <c r="H42" s="86" t="s">
        <v>66</v>
      </c>
      <c r="I42" s="66" t="s">
        <v>559</v>
      </c>
      <c r="J42" s="87" t="s">
        <v>196</v>
      </c>
    </row>
    <row r="43" spans="1:10" ht="45" customHeight="1" x14ac:dyDescent="0.45">
      <c r="A43" s="42">
        <v>42</v>
      </c>
      <c r="B43" s="411" t="s">
        <v>382</v>
      </c>
      <c r="C43" s="72" t="s">
        <v>383</v>
      </c>
      <c r="D43" s="413" t="s">
        <v>2210</v>
      </c>
      <c r="E43" s="70" t="s">
        <v>2191</v>
      </c>
      <c r="F43" s="70" t="s">
        <v>765</v>
      </c>
      <c r="G43" s="71" t="s">
        <v>386</v>
      </c>
      <c r="H43" s="86" t="s">
        <v>66</v>
      </c>
      <c r="I43" s="66" t="s">
        <v>559</v>
      </c>
      <c r="J43" s="87" t="s">
        <v>540</v>
      </c>
    </row>
    <row r="44" spans="1:10" ht="45" customHeight="1" x14ac:dyDescent="0.45">
      <c r="A44" s="42">
        <v>43</v>
      </c>
      <c r="B44" s="411" t="s">
        <v>1246</v>
      </c>
      <c r="C44" s="72" t="s">
        <v>2205</v>
      </c>
      <c r="D44" s="413" t="s">
        <v>2210</v>
      </c>
      <c r="E44" s="70" t="s">
        <v>2191</v>
      </c>
      <c r="F44" s="70" t="s">
        <v>633</v>
      </c>
      <c r="G44" s="71" t="s">
        <v>194</v>
      </c>
      <c r="H44" s="86" t="s">
        <v>66</v>
      </c>
      <c r="I44" s="66" t="s">
        <v>559</v>
      </c>
      <c r="J44" s="87" t="s">
        <v>1250</v>
      </c>
    </row>
    <row r="45" spans="1:10" ht="45" customHeight="1" x14ac:dyDescent="0.45">
      <c r="A45" s="42">
        <v>44</v>
      </c>
      <c r="B45" s="411" t="s">
        <v>770</v>
      </c>
      <c r="C45" s="72" t="s">
        <v>107</v>
      </c>
      <c r="D45" s="413" t="s">
        <v>2210</v>
      </c>
      <c r="E45" s="70" t="s">
        <v>2191</v>
      </c>
      <c r="F45" s="70" t="s">
        <v>106</v>
      </c>
      <c r="G45" s="71" t="s">
        <v>110</v>
      </c>
      <c r="H45" s="86" t="s">
        <v>66</v>
      </c>
      <c r="I45" s="66" t="s">
        <v>559</v>
      </c>
      <c r="J45" s="87" t="s">
        <v>196</v>
      </c>
    </row>
    <row r="46" spans="1:10" ht="45" customHeight="1" x14ac:dyDescent="0.45">
      <c r="A46" s="42">
        <v>45</v>
      </c>
      <c r="B46" s="411" t="s">
        <v>586</v>
      </c>
      <c r="C46" s="72" t="s">
        <v>587</v>
      </c>
      <c r="D46" s="413" t="s">
        <v>2222</v>
      </c>
      <c r="E46" s="70" t="s">
        <v>2191</v>
      </c>
      <c r="F46" s="70" t="s">
        <v>589</v>
      </c>
      <c r="G46" s="71" t="s">
        <v>591</v>
      </c>
      <c r="H46" s="86" t="s">
        <v>66</v>
      </c>
      <c r="I46" s="66" t="s">
        <v>559</v>
      </c>
      <c r="J46" s="87" t="s">
        <v>593</v>
      </c>
    </row>
    <row r="47" spans="1:10" ht="45" customHeight="1" x14ac:dyDescent="0.45">
      <c r="A47" s="42">
        <v>46</v>
      </c>
      <c r="B47" s="411" t="s">
        <v>630</v>
      </c>
      <c r="C47" s="72" t="s">
        <v>2193</v>
      </c>
      <c r="D47" s="413" t="s">
        <v>2222</v>
      </c>
      <c r="E47" s="70" t="s">
        <v>2191</v>
      </c>
      <c r="F47" s="70" t="s">
        <v>633</v>
      </c>
      <c r="G47" s="71" t="s">
        <v>634</v>
      </c>
      <c r="H47" s="86" t="s">
        <v>66</v>
      </c>
      <c r="I47" s="66" t="s">
        <v>559</v>
      </c>
      <c r="J47" s="87" t="s">
        <v>593</v>
      </c>
    </row>
    <row r="48" spans="1:10" ht="45" customHeight="1" x14ac:dyDescent="0.45">
      <c r="A48" s="42">
        <v>47</v>
      </c>
      <c r="B48" s="411" t="s">
        <v>655</v>
      </c>
      <c r="C48" s="72" t="s">
        <v>656</v>
      </c>
      <c r="D48" s="413" t="s">
        <v>2222</v>
      </c>
      <c r="E48" s="70" t="s">
        <v>2191</v>
      </c>
      <c r="F48" s="70" t="s">
        <v>589</v>
      </c>
      <c r="G48" s="71" t="s">
        <v>659</v>
      </c>
      <c r="H48" s="86" t="s">
        <v>66</v>
      </c>
      <c r="I48" s="66" t="s">
        <v>559</v>
      </c>
      <c r="J48" s="87" t="s">
        <v>593</v>
      </c>
    </row>
    <row r="49" spans="1:10" ht="45" customHeight="1" x14ac:dyDescent="0.45">
      <c r="A49" s="42">
        <v>48</v>
      </c>
      <c r="B49" s="411" t="s">
        <v>930</v>
      </c>
      <c r="C49" s="72" t="s">
        <v>2199</v>
      </c>
      <c r="D49" s="413" t="s">
        <v>2222</v>
      </c>
      <c r="E49" s="70" t="s">
        <v>2191</v>
      </c>
      <c r="F49" s="70" t="s">
        <v>2200</v>
      </c>
      <c r="G49" s="71" t="s">
        <v>934</v>
      </c>
      <c r="H49" s="86" t="s">
        <v>66</v>
      </c>
      <c r="I49" s="92" t="s">
        <v>935</v>
      </c>
      <c r="J49" s="87" t="s">
        <v>937</v>
      </c>
    </row>
    <row r="50" spans="1:10" ht="45" customHeight="1" x14ac:dyDescent="0.45">
      <c r="A50" s="42">
        <v>49</v>
      </c>
      <c r="B50" s="411" t="s">
        <v>557</v>
      </c>
      <c r="C50" s="72" t="s">
        <v>58</v>
      </c>
      <c r="D50" s="413" t="s">
        <v>2222</v>
      </c>
      <c r="E50" s="70" t="s">
        <v>2191</v>
      </c>
      <c r="F50" s="70" t="s">
        <v>57</v>
      </c>
      <c r="G50" s="71" t="s">
        <v>62</v>
      </c>
      <c r="H50" s="86" t="s">
        <v>66</v>
      </c>
      <c r="I50" s="66" t="s">
        <v>559</v>
      </c>
      <c r="J50" s="87" t="s">
        <v>196</v>
      </c>
    </row>
    <row r="51" spans="1:10" ht="45" customHeight="1" x14ac:dyDescent="0.45">
      <c r="A51" s="42">
        <v>50</v>
      </c>
      <c r="B51" s="411" t="s">
        <v>382</v>
      </c>
      <c r="C51" s="72" t="s">
        <v>383</v>
      </c>
      <c r="D51" s="413" t="s">
        <v>2222</v>
      </c>
      <c r="E51" s="70" t="s">
        <v>2191</v>
      </c>
      <c r="F51" s="70" t="s">
        <v>765</v>
      </c>
      <c r="G51" s="71" t="s">
        <v>386</v>
      </c>
      <c r="H51" s="86" t="s">
        <v>66</v>
      </c>
      <c r="I51" s="66" t="s">
        <v>559</v>
      </c>
      <c r="J51" s="87" t="s">
        <v>540</v>
      </c>
    </row>
    <row r="52" spans="1:10" ht="45" customHeight="1" x14ac:dyDescent="0.45">
      <c r="A52" s="42">
        <v>51</v>
      </c>
      <c r="B52" s="411" t="s">
        <v>1246</v>
      </c>
      <c r="C52" s="72" t="s">
        <v>2205</v>
      </c>
      <c r="D52" s="413" t="s">
        <v>2222</v>
      </c>
      <c r="E52" s="70" t="s">
        <v>2191</v>
      </c>
      <c r="F52" s="70" t="s">
        <v>633</v>
      </c>
      <c r="G52" s="71" t="s">
        <v>194</v>
      </c>
      <c r="H52" s="86" t="s">
        <v>66</v>
      </c>
      <c r="I52" s="66" t="s">
        <v>559</v>
      </c>
      <c r="J52" s="87" t="s">
        <v>1250</v>
      </c>
    </row>
    <row r="53" spans="1:10" ht="45" customHeight="1" x14ac:dyDescent="0.45">
      <c r="A53" s="42">
        <v>52</v>
      </c>
      <c r="B53" s="411" t="s">
        <v>770</v>
      </c>
      <c r="C53" s="72" t="s">
        <v>107</v>
      </c>
      <c r="D53" s="413" t="s">
        <v>2222</v>
      </c>
      <c r="E53" s="70" t="s">
        <v>2191</v>
      </c>
      <c r="F53" s="70" t="s">
        <v>106</v>
      </c>
      <c r="G53" s="71" t="s">
        <v>110</v>
      </c>
      <c r="H53" s="86" t="s">
        <v>66</v>
      </c>
      <c r="I53" s="66" t="s">
        <v>559</v>
      </c>
      <c r="J53" s="87" t="s">
        <v>196</v>
      </c>
    </row>
    <row r="54" spans="1:10" ht="45" customHeight="1" x14ac:dyDescent="0.45">
      <c r="A54" s="42">
        <v>53</v>
      </c>
      <c r="B54" s="411" t="s">
        <v>586</v>
      </c>
      <c r="C54" s="72" t="s">
        <v>587</v>
      </c>
      <c r="D54" s="413" t="s">
        <v>2234</v>
      </c>
      <c r="E54" s="70" t="s">
        <v>2191</v>
      </c>
      <c r="F54" s="70" t="s">
        <v>589</v>
      </c>
      <c r="G54" s="71" t="s">
        <v>591</v>
      </c>
      <c r="H54" s="86" t="s">
        <v>66</v>
      </c>
      <c r="I54" s="66" t="s">
        <v>559</v>
      </c>
      <c r="J54" s="87" t="s">
        <v>593</v>
      </c>
    </row>
    <row r="55" spans="1:10" ht="45" customHeight="1" x14ac:dyDescent="0.45">
      <c r="A55" s="42">
        <v>54</v>
      </c>
      <c r="B55" s="411" t="s">
        <v>630</v>
      </c>
      <c r="C55" s="72" t="s">
        <v>2193</v>
      </c>
      <c r="D55" s="413" t="s">
        <v>2234</v>
      </c>
      <c r="E55" s="70" t="s">
        <v>2191</v>
      </c>
      <c r="F55" s="70" t="s">
        <v>633</v>
      </c>
      <c r="G55" s="71" t="s">
        <v>634</v>
      </c>
      <c r="H55" s="86" t="s">
        <v>66</v>
      </c>
      <c r="I55" s="66" t="s">
        <v>559</v>
      </c>
      <c r="J55" s="87" t="s">
        <v>593</v>
      </c>
    </row>
    <row r="56" spans="1:10" ht="45" customHeight="1" x14ac:dyDescent="0.45">
      <c r="A56" s="42">
        <v>55</v>
      </c>
      <c r="B56" s="411" t="s">
        <v>655</v>
      </c>
      <c r="C56" s="72" t="s">
        <v>656</v>
      </c>
      <c r="D56" s="413" t="s">
        <v>2234</v>
      </c>
      <c r="E56" s="70" t="s">
        <v>2191</v>
      </c>
      <c r="F56" s="70" t="s">
        <v>589</v>
      </c>
      <c r="G56" s="71" t="s">
        <v>659</v>
      </c>
      <c r="H56" s="86" t="s">
        <v>66</v>
      </c>
      <c r="I56" s="66" t="s">
        <v>559</v>
      </c>
      <c r="J56" s="87" t="s">
        <v>593</v>
      </c>
    </row>
    <row r="57" spans="1:10" ht="45" customHeight="1" x14ac:dyDescent="0.45">
      <c r="A57" s="42">
        <v>56</v>
      </c>
      <c r="B57" s="411" t="s">
        <v>930</v>
      </c>
      <c r="C57" s="72" t="s">
        <v>2199</v>
      </c>
      <c r="D57" s="413" t="s">
        <v>2234</v>
      </c>
      <c r="E57" s="70" t="s">
        <v>2191</v>
      </c>
      <c r="F57" s="70" t="s">
        <v>2200</v>
      </c>
      <c r="G57" s="71" t="s">
        <v>934</v>
      </c>
      <c r="H57" s="86" t="s">
        <v>66</v>
      </c>
      <c r="I57" s="92" t="s">
        <v>935</v>
      </c>
      <c r="J57" s="87" t="s">
        <v>937</v>
      </c>
    </row>
    <row r="58" spans="1:10" ht="45" customHeight="1" x14ac:dyDescent="0.45">
      <c r="A58" s="42">
        <v>57</v>
      </c>
      <c r="B58" s="411" t="s">
        <v>557</v>
      </c>
      <c r="C58" s="72" t="s">
        <v>58</v>
      </c>
      <c r="D58" s="413" t="s">
        <v>2234</v>
      </c>
      <c r="E58" s="70" t="s">
        <v>2191</v>
      </c>
      <c r="F58" s="70" t="s">
        <v>57</v>
      </c>
      <c r="G58" s="71" t="s">
        <v>62</v>
      </c>
      <c r="H58" s="86" t="s">
        <v>66</v>
      </c>
      <c r="I58" s="66" t="s">
        <v>559</v>
      </c>
      <c r="J58" s="87" t="s">
        <v>196</v>
      </c>
    </row>
    <row r="59" spans="1:10" ht="45" customHeight="1" x14ac:dyDescent="0.45">
      <c r="A59" s="42">
        <v>58</v>
      </c>
      <c r="B59" s="411" t="s">
        <v>382</v>
      </c>
      <c r="C59" s="72" t="s">
        <v>383</v>
      </c>
      <c r="D59" s="413" t="s">
        <v>2234</v>
      </c>
      <c r="E59" s="70" t="s">
        <v>2191</v>
      </c>
      <c r="F59" s="70" t="s">
        <v>765</v>
      </c>
      <c r="G59" s="71" t="s">
        <v>386</v>
      </c>
      <c r="H59" s="86" t="s">
        <v>66</v>
      </c>
      <c r="I59" s="66" t="s">
        <v>559</v>
      </c>
      <c r="J59" s="87" t="s">
        <v>540</v>
      </c>
    </row>
    <row r="60" spans="1:10" ht="45" customHeight="1" x14ac:dyDescent="0.45">
      <c r="A60" s="42">
        <v>59</v>
      </c>
      <c r="B60" s="411" t="s">
        <v>1246</v>
      </c>
      <c r="C60" s="72" t="s">
        <v>2205</v>
      </c>
      <c r="D60" s="413" t="s">
        <v>2234</v>
      </c>
      <c r="E60" s="70" t="s">
        <v>2191</v>
      </c>
      <c r="F60" s="70" t="s">
        <v>633</v>
      </c>
      <c r="G60" s="71" t="s">
        <v>194</v>
      </c>
      <c r="H60" s="86" t="s">
        <v>66</v>
      </c>
      <c r="I60" s="66" t="s">
        <v>559</v>
      </c>
      <c r="J60" s="87" t="s">
        <v>1250</v>
      </c>
    </row>
    <row r="61" spans="1:10" ht="45" customHeight="1" x14ac:dyDescent="0.45">
      <c r="A61" s="42">
        <v>60</v>
      </c>
      <c r="B61" s="411" t="s">
        <v>770</v>
      </c>
      <c r="C61" s="72" t="s">
        <v>107</v>
      </c>
      <c r="D61" s="413" t="s">
        <v>2234</v>
      </c>
      <c r="E61" s="70" t="s">
        <v>2191</v>
      </c>
      <c r="F61" s="70" t="s">
        <v>106</v>
      </c>
      <c r="G61" s="71" t="s">
        <v>110</v>
      </c>
      <c r="H61" s="86" t="s">
        <v>66</v>
      </c>
      <c r="I61" s="66" t="s">
        <v>559</v>
      </c>
      <c r="J61" s="87" t="s">
        <v>196</v>
      </c>
    </row>
    <row r="62" spans="1:10" ht="45" customHeight="1" x14ac:dyDescent="0.45">
      <c r="A62" s="42">
        <v>61</v>
      </c>
      <c r="B62" s="411" t="s">
        <v>586</v>
      </c>
      <c r="C62" s="72" t="s">
        <v>587</v>
      </c>
      <c r="D62" s="413" t="s">
        <v>2246</v>
      </c>
      <c r="E62" s="70" t="s">
        <v>2191</v>
      </c>
      <c r="F62" s="70" t="s">
        <v>589</v>
      </c>
      <c r="G62" s="71" t="s">
        <v>591</v>
      </c>
      <c r="H62" s="86" t="s">
        <v>66</v>
      </c>
      <c r="I62" s="66" t="s">
        <v>559</v>
      </c>
      <c r="J62" s="87" t="s">
        <v>593</v>
      </c>
    </row>
    <row r="63" spans="1:10" ht="45" customHeight="1" x14ac:dyDescent="0.45">
      <c r="A63" s="42">
        <v>62</v>
      </c>
      <c r="B63" s="411" t="s">
        <v>630</v>
      </c>
      <c r="C63" s="72" t="s">
        <v>2193</v>
      </c>
      <c r="D63" s="413" t="s">
        <v>2246</v>
      </c>
      <c r="E63" s="70" t="s">
        <v>2191</v>
      </c>
      <c r="F63" s="70" t="s">
        <v>633</v>
      </c>
      <c r="G63" s="71" t="s">
        <v>634</v>
      </c>
      <c r="H63" s="86" t="s">
        <v>66</v>
      </c>
      <c r="I63" s="66" t="s">
        <v>559</v>
      </c>
      <c r="J63" s="87" t="s">
        <v>593</v>
      </c>
    </row>
    <row r="64" spans="1:10" ht="45" customHeight="1" x14ac:dyDescent="0.45">
      <c r="A64" s="42">
        <v>63</v>
      </c>
      <c r="B64" s="411" t="s">
        <v>655</v>
      </c>
      <c r="C64" s="72" t="s">
        <v>656</v>
      </c>
      <c r="D64" s="413" t="s">
        <v>2246</v>
      </c>
      <c r="E64" s="70" t="s">
        <v>2191</v>
      </c>
      <c r="F64" s="70" t="s">
        <v>589</v>
      </c>
      <c r="G64" s="71" t="s">
        <v>659</v>
      </c>
      <c r="H64" s="86" t="s">
        <v>66</v>
      </c>
      <c r="I64" s="66" t="s">
        <v>559</v>
      </c>
      <c r="J64" s="87" t="s">
        <v>593</v>
      </c>
    </row>
    <row r="65" spans="1:10" ht="45" customHeight="1" x14ac:dyDescent="0.45">
      <c r="A65" s="42">
        <v>64</v>
      </c>
      <c r="B65" s="411" t="s">
        <v>930</v>
      </c>
      <c r="C65" s="72" t="s">
        <v>2199</v>
      </c>
      <c r="D65" s="413" t="s">
        <v>2246</v>
      </c>
      <c r="E65" s="70" t="s">
        <v>2191</v>
      </c>
      <c r="F65" s="70" t="s">
        <v>2200</v>
      </c>
      <c r="G65" s="71" t="s">
        <v>934</v>
      </c>
      <c r="H65" s="86" t="s">
        <v>66</v>
      </c>
      <c r="I65" s="92" t="s">
        <v>935</v>
      </c>
      <c r="J65" s="87" t="s">
        <v>937</v>
      </c>
    </row>
    <row r="66" spans="1:10" ht="45" customHeight="1" x14ac:dyDescent="0.45">
      <c r="A66" s="42">
        <v>65</v>
      </c>
      <c r="B66" s="411" t="s">
        <v>557</v>
      </c>
      <c r="C66" s="72" t="s">
        <v>58</v>
      </c>
      <c r="D66" s="413" t="s">
        <v>2246</v>
      </c>
      <c r="E66" s="70" t="s">
        <v>2191</v>
      </c>
      <c r="F66" s="70" t="s">
        <v>57</v>
      </c>
      <c r="G66" s="71" t="s">
        <v>62</v>
      </c>
      <c r="H66" s="86" t="s">
        <v>66</v>
      </c>
      <c r="I66" s="66" t="s">
        <v>559</v>
      </c>
      <c r="J66" s="87" t="s">
        <v>196</v>
      </c>
    </row>
    <row r="67" spans="1:10" ht="45" customHeight="1" x14ac:dyDescent="0.45">
      <c r="A67" s="42">
        <v>66</v>
      </c>
      <c r="B67" s="411" t="s">
        <v>382</v>
      </c>
      <c r="C67" s="72" t="s">
        <v>383</v>
      </c>
      <c r="D67" s="413" t="s">
        <v>2246</v>
      </c>
      <c r="E67" s="70" t="s">
        <v>2191</v>
      </c>
      <c r="F67" s="70" t="s">
        <v>765</v>
      </c>
      <c r="G67" s="71" t="s">
        <v>386</v>
      </c>
      <c r="H67" s="86" t="s">
        <v>66</v>
      </c>
      <c r="I67" s="66" t="s">
        <v>559</v>
      </c>
      <c r="J67" s="87" t="s">
        <v>540</v>
      </c>
    </row>
    <row r="68" spans="1:10" ht="45" customHeight="1" x14ac:dyDescent="0.45">
      <c r="A68" s="42">
        <v>67</v>
      </c>
      <c r="B68" s="411" t="s">
        <v>1246</v>
      </c>
      <c r="C68" s="72" t="s">
        <v>2205</v>
      </c>
      <c r="D68" s="413" t="s">
        <v>2246</v>
      </c>
      <c r="E68" s="70" t="s">
        <v>2191</v>
      </c>
      <c r="F68" s="70" t="s">
        <v>633</v>
      </c>
      <c r="G68" s="71" t="s">
        <v>194</v>
      </c>
      <c r="H68" s="86" t="s">
        <v>66</v>
      </c>
      <c r="I68" s="66" t="s">
        <v>559</v>
      </c>
      <c r="J68" s="87" t="s">
        <v>1250</v>
      </c>
    </row>
    <row r="69" spans="1:10" ht="45" customHeight="1" x14ac:dyDescent="0.45">
      <c r="A69" s="42">
        <v>68</v>
      </c>
      <c r="B69" s="411" t="s">
        <v>770</v>
      </c>
      <c r="C69" s="72" t="s">
        <v>107</v>
      </c>
      <c r="D69" s="413" t="s">
        <v>2246</v>
      </c>
      <c r="E69" s="70" t="s">
        <v>2191</v>
      </c>
      <c r="F69" s="70" t="s">
        <v>106</v>
      </c>
      <c r="G69" s="71" t="s">
        <v>110</v>
      </c>
      <c r="H69" s="86" t="s">
        <v>66</v>
      </c>
      <c r="I69" s="66" t="s">
        <v>559</v>
      </c>
      <c r="J69" s="87" t="s">
        <v>196</v>
      </c>
    </row>
    <row r="70" spans="1:10" ht="45" customHeight="1" x14ac:dyDescent="0.45">
      <c r="A70" s="42">
        <v>69</v>
      </c>
      <c r="B70" s="411" t="s">
        <v>586</v>
      </c>
      <c r="C70" s="72" t="s">
        <v>587</v>
      </c>
      <c r="D70" s="413" t="s">
        <v>2258</v>
      </c>
      <c r="E70" s="70" t="s">
        <v>2191</v>
      </c>
      <c r="F70" s="70" t="s">
        <v>589</v>
      </c>
      <c r="G70" s="71" t="s">
        <v>591</v>
      </c>
      <c r="H70" s="86" t="s">
        <v>66</v>
      </c>
      <c r="I70" s="66" t="s">
        <v>559</v>
      </c>
      <c r="J70" s="87" t="s">
        <v>593</v>
      </c>
    </row>
    <row r="71" spans="1:10" ht="45" customHeight="1" x14ac:dyDescent="0.45">
      <c r="A71" s="42">
        <v>70</v>
      </c>
      <c r="B71" s="411" t="s">
        <v>630</v>
      </c>
      <c r="C71" s="72" t="s">
        <v>2193</v>
      </c>
      <c r="D71" s="413" t="s">
        <v>2258</v>
      </c>
      <c r="E71" s="70" t="s">
        <v>2191</v>
      </c>
      <c r="F71" s="70" t="s">
        <v>633</v>
      </c>
      <c r="G71" s="71" t="s">
        <v>634</v>
      </c>
      <c r="H71" s="86" t="s">
        <v>66</v>
      </c>
      <c r="I71" s="66" t="s">
        <v>559</v>
      </c>
      <c r="J71" s="87" t="s">
        <v>593</v>
      </c>
    </row>
    <row r="72" spans="1:10" ht="45" customHeight="1" x14ac:dyDescent="0.45">
      <c r="A72" s="42">
        <v>71</v>
      </c>
      <c r="B72" s="411" t="s">
        <v>655</v>
      </c>
      <c r="C72" s="72" t="s">
        <v>656</v>
      </c>
      <c r="D72" s="413" t="s">
        <v>2258</v>
      </c>
      <c r="E72" s="70" t="s">
        <v>2191</v>
      </c>
      <c r="F72" s="70" t="s">
        <v>589</v>
      </c>
      <c r="G72" s="71" t="s">
        <v>659</v>
      </c>
      <c r="H72" s="86" t="s">
        <v>66</v>
      </c>
      <c r="I72" s="66" t="s">
        <v>559</v>
      </c>
      <c r="J72" s="87" t="s">
        <v>593</v>
      </c>
    </row>
    <row r="73" spans="1:10" ht="45" customHeight="1" x14ac:dyDescent="0.45">
      <c r="A73" s="42">
        <v>72</v>
      </c>
      <c r="B73" s="411" t="s">
        <v>930</v>
      </c>
      <c r="C73" s="72" t="s">
        <v>2199</v>
      </c>
      <c r="D73" s="413" t="s">
        <v>2258</v>
      </c>
      <c r="E73" s="70" t="s">
        <v>2191</v>
      </c>
      <c r="F73" s="70" t="s">
        <v>2200</v>
      </c>
      <c r="G73" s="71" t="s">
        <v>934</v>
      </c>
      <c r="H73" s="86" t="s">
        <v>66</v>
      </c>
      <c r="I73" s="92" t="s">
        <v>935</v>
      </c>
      <c r="J73" s="87" t="s">
        <v>937</v>
      </c>
    </row>
    <row r="74" spans="1:10" ht="45" customHeight="1" x14ac:dyDescent="0.45">
      <c r="A74" s="42">
        <v>73</v>
      </c>
      <c r="B74" s="411" t="s">
        <v>557</v>
      </c>
      <c r="C74" s="72" t="s">
        <v>58</v>
      </c>
      <c r="D74" s="413" t="s">
        <v>2258</v>
      </c>
      <c r="E74" s="70" t="s">
        <v>2191</v>
      </c>
      <c r="F74" s="70" t="s">
        <v>57</v>
      </c>
      <c r="G74" s="71" t="s">
        <v>62</v>
      </c>
      <c r="H74" s="86" t="s">
        <v>66</v>
      </c>
      <c r="I74" s="66" t="s">
        <v>559</v>
      </c>
      <c r="J74" s="87" t="s">
        <v>196</v>
      </c>
    </row>
    <row r="75" spans="1:10" ht="45" customHeight="1" x14ac:dyDescent="0.45">
      <c r="A75" s="42">
        <v>74</v>
      </c>
      <c r="B75" s="411" t="s">
        <v>382</v>
      </c>
      <c r="C75" s="72" t="s">
        <v>383</v>
      </c>
      <c r="D75" s="413" t="s">
        <v>2258</v>
      </c>
      <c r="E75" s="70" t="s">
        <v>2191</v>
      </c>
      <c r="F75" s="70" t="s">
        <v>765</v>
      </c>
      <c r="G75" s="71" t="s">
        <v>386</v>
      </c>
      <c r="H75" s="86" t="s">
        <v>66</v>
      </c>
      <c r="I75" s="66" t="s">
        <v>559</v>
      </c>
      <c r="J75" s="87" t="s">
        <v>540</v>
      </c>
    </row>
    <row r="76" spans="1:10" ht="45" customHeight="1" x14ac:dyDescent="0.45">
      <c r="A76" s="42">
        <v>75</v>
      </c>
      <c r="B76" s="411" t="s">
        <v>1246</v>
      </c>
      <c r="C76" s="72" t="s">
        <v>2205</v>
      </c>
      <c r="D76" s="413" t="s">
        <v>2258</v>
      </c>
      <c r="E76" s="70" t="s">
        <v>2191</v>
      </c>
      <c r="F76" s="70" t="s">
        <v>633</v>
      </c>
      <c r="G76" s="71" t="s">
        <v>194</v>
      </c>
      <c r="H76" s="86" t="s">
        <v>66</v>
      </c>
      <c r="I76" s="66" t="s">
        <v>559</v>
      </c>
      <c r="J76" s="87" t="s">
        <v>1250</v>
      </c>
    </row>
    <row r="77" spans="1:10" ht="45" customHeight="1" x14ac:dyDescent="0.45">
      <c r="A77" s="42">
        <v>76</v>
      </c>
      <c r="B77" s="411" t="s">
        <v>770</v>
      </c>
      <c r="C77" s="72" t="s">
        <v>107</v>
      </c>
      <c r="D77" s="413" t="s">
        <v>2258</v>
      </c>
      <c r="E77" s="70" t="s">
        <v>2191</v>
      </c>
      <c r="F77" s="70" t="s">
        <v>106</v>
      </c>
      <c r="G77" s="71" t="s">
        <v>110</v>
      </c>
      <c r="H77" s="86" t="s">
        <v>66</v>
      </c>
      <c r="I77" s="66" t="s">
        <v>559</v>
      </c>
      <c r="J77" s="87" t="s">
        <v>196</v>
      </c>
    </row>
    <row r="78" spans="1:10" ht="45" customHeight="1" x14ac:dyDescent="0.45">
      <c r="A78" s="42">
        <v>77</v>
      </c>
      <c r="B78" s="411" t="s">
        <v>586</v>
      </c>
      <c r="C78" s="72" t="s">
        <v>587</v>
      </c>
      <c r="D78" s="413" t="s">
        <v>2270</v>
      </c>
      <c r="E78" s="70" t="s">
        <v>2191</v>
      </c>
      <c r="F78" s="70" t="s">
        <v>589</v>
      </c>
      <c r="G78" s="71" t="s">
        <v>591</v>
      </c>
      <c r="H78" s="86" t="s">
        <v>66</v>
      </c>
      <c r="I78" s="66" t="s">
        <v>559</v>
      </c>
      <c r="J78" s="87" t="s">
        <v>593</v>
      </c>
    </row>
    <row r="79" spans="1:10" ht="45" customHeight="1" x14ac:dyDescent="0.45">
      <c r="A79" s="42">
        <v>78</v>
      </c>
      <c r="B79" s="411" t="s">
        <v>630</v>
      </c>
      <c r="C79" s="72" t="s">
        <v>2193</v>
      </c>
      <c r="D79" s="413" t="s">
        <v>2270</v>
      </c>
      <c r="E79" s="70" t="s">
        <v>2191</v>
      </c>
      <c r="F79" s="70" t="s">
        <v>633</v>
      </c>
      <c r="G79" s="71" t="s">
        <v>634</v>
      </c>
      <c r="H79" s="86" t="s">
        <v>66</v>
      </c>
      <c r="I79" s="66" t="s">
        <v>559</v>
      </c>
      <c r="J79" s="87" t="s">
        <v>593</v>
      </c>
    </row>
    <row r="80" spans="1:10" ht="45" customHeight="1" x14ac:dyDescent="0.45">
      <c r="A80" s="42">
        <v>79</v>
      </c>
      <c r="B80" s="411" t="s">
        <v>655</v>
      </c>
      <c r="C80" s="72" t="s">
        <v>656</v>
      </c>
      <c r="D80" s="413" t="s">
        <v>2270</v>
      </c>
      <c r="E80" s="70" t="s">
        <v>2191</v>
      </c>
      <c r="F80" s="70" t="s">
        <v>589</v>
      </c>
      <c r="G80" s="71" t="s">
        <v>659</v>
      </c>
      <c r="H80" s="86" t="s">
        <v>66</v>
      </c>
      <c r="I80" s="66" t="s">
        <v>559</v>
      </c>
      <c r="J80" s="87" t="s">
        <v>593</v>
      </c>
    </row>
    <row r="81" spans="1:10" ht="45" customHeight="1" x14ac:dyDescent="0.45">
      <c r="A81" s="42">
        <v>80</v>
      </c>
      <c r="B81" s="411" t="s">
        <v>930</v>
      </c>
      <c r="C81" s="72" t="s">
        <v>2199</v>
      </c>
      <c r="D81" s="413" t="s">
        <v>2270</v>
      </c>
      <c r="E81" s="70" t="s">
        <v>2191</v>
      </c>
      <c r="F81" s="70" t="s">
        <v>2200</v>
      </c>
      <c r="G81" s="71" t="s">
        <v>934</v>
      </c>
      <c r="H81" s="86" t="s">
        <v>66</v>
      </c>
      <c r="I81" s="92" t="s">
        <v>935</v>
      </c>
      <c r="J81" s="87" t="s">
        <v>937</v>
      </c>
    </row>
    <row r="82" spans="1:10" ht="45" customHeight="1" x14ac:dyDescent="0.45">
      <c r="A82" s="42">
        <v>81</v>
      </c>
      <c r="B82" s="411" t="s">
        <v>557</v>
      </c>
      <c r="C82" s="72" t="s">
        <v>58</v>
      </c>
      <c r="D82" s="413" t="s">
        <v>2270</v>
      </c>
      <c r="E82" s="70" t="s">
        <v>2191</v>
      </c>
      <c r="F82" s="70" t="s">
        <v>57</v>
      </c>
      <c r="G82" s="71" t="s">
        <v>62</v>
      </c>
      <c r="H82" s="86" t="s">
        <v>66</v>
      </c>
      <c r="I82" s="66" t="s">
        <v>559</v>
      </c>
      <c r="J82" s="87" t="s">
        <v>196</v>
      </c>
    </row>
    <row r="83" spans="1:10" ht="45" customHeight="1" x14ac:dyDescent="0.45">
      <c r="A83" s="42">
        <v>82</v>
      </c>
      <c r="B83" s="411" t="s">
        <v>382</v>
      </c>
      <c r="C83" s="72" t="s">
        <v>383</v>
      </c>
      <c r="D83" s="413" t="s">
        <v>2270</v>
      </c>
      <c r="E83" s="70" t="s">
        <v>2191</v>
      </c>
      <c r="F83" s="70" t="s">
        <v>765</v>
      </c>
      <c r="G83" s="71" t="s">
        <v>386</v>
      </c>
      <c r="H83" s="86" t="s">
        <v>66</v>
      </c>
      <c r="I83" s="66" t="s">
        <v>559</v>
      </c>
      <c r="J83" s="87" t="s">
        <v>540</v>
      </c>
    </row>
    <row r="84" spans="1:10" ht="45" customHeight="1" x14ac:dyDescent="0.45">
      <c r="A84" s="42">
        <v>83</v>
      </c>
      <c r="B84" s="411" t="s">
        <v>1246</v>
      </c>
      <c r="C84" s="72" t="s">
        <v>2205</v>
      </c>
      <c r="D84" s="413" t="s">
        <v>2270</v>
      </c>
      <c r="E84" s="70" t="s">
        <v>2191</v>
      </c>
      <c r="F84" s="70" t="s">
        <v>633</v>
      </c>
      <c r="G84" s="71" t="s">
        <v>194</v>
      </c>
      <c r="H84" s="86" t="s">
        <v>66</v>
      </c>
      <c r="I84" s="66" t="s">
        <v>559</v>
      </c>
      <c r="J84" s="87" t="s">
        <v>1250</v>
      </c>
    </row>
    <row r="85" spans="1:10" ht="45" customHeight="1" x14ac:dyDescent="0.45">
      <c r="A85" s="42">
        <v>84</v>
      </c>
      <c r="B85" s="411" t="s">
        <v>770</v>
      </c>
      <c r="C85" s="72" t="s">
        <v>107</v>
      </c>
      <c r="D85" s="413" t="s">
        <v>2270</v>
      </c>
      <c r="E85" s="70" t="s">
        <v>2191</v>
      </c>
      <c r="F85" s="70" t="s">
        <v>106</v>
      </c>
      <c r="G85" s="71" t="s">
        <v>110</v>
      </c>
      <c r="H85" s="86" t="s">
        <v>66</v>
      </c>
      <c r="I85" s="66" t="s">
        <v>559</v>
      </c>
      <c r="J85" s="87" t="s">
        <v>196</v>
      </c>
    </row>
    <row r="86" spans="1:10" ht="45" customHeight="1" x14ac:dyDescent="0.45">
      <c r="A86" s="42">
        <v>85</v>
      </c>
      <c r="B86" s="411" t="s">
        <v>586</v>
      </c>
      <c r="C86" s="72" t="s">
        <v>587</v>
      </c>
      <c r="D86" s="413" t="s">
        <v>2282</v>
      </c>
      <c r="E86" s="70" t="s">
        <v>2191</v>
      </c>
      <c r="F86" s="70" t="s">
        <v>589</v>
      </c>
      <c r="G86" s="71" t="s">
        <v>591</v>
      </c>
      <c r="H86" s="86" t="s">
        <v>66</v>
      </c>
      <c r="I86" s="66" t="s">
        <v>559</v>
      </c>
      <c r="J86" s="87" t="s">
        <v>593</v>
      </c>
    </row>
    <row r="87" spans="1:10" ht="45" customHeight="1" x14ac:dyDescent="0.45">
      <c r="A87" s="42">
        <v>86</v>
      </c>
      <c r="B87" s="411" t="s">
        <v>630</v>
      </c>
      <c r="C87" s="72" t="s">
        <v>2193</v>
      </c>
      <c r="D87" s="413" t="s">
        <v>2282</v>
      </c>
      <c r="E87" s="70" t="s">
        <v>2191</v>
      </c>
      <c r="F87" s="70" t="s">
        <v>633</v>
      </c>
      <c r="G87" s="71" t="s">
        <v>634</v>
      </c>
      <c r="H87" s="86" t="s">
        <v>66</v>
      </c>
      <c r="I87" s="66" t="s">
        <v>559</v>
      </c>
      <c r="J87" s="87" t="s">
        <v>593</v>
      </c>
    </row>
    <row r="88" spans="1:10" ht="45" customHeight="1" x14ac:dyDescent="0.45">
      <c r="A88" s="42">
        <v>87</v>
      </c>
      <c r="B88" s="411" t="s">
        <v>655</v>
      </c>
      <c r="C88" s="72" t="s">
        <v>656</v>
      </c>
      <c r="D88" s="413" t="s">
        <v>2282</v>
      </c>
      <c r="E88" s="70" t="s">
        <v>2191</v>
      </c>
      <c r="F88" s="70" t="s">
        <v>589</v>
      </c>
      <c r="G88" s="71" t="s">
        <v>659</v>
      </c>
      <c r="H88" s="86" t="s">
        <v>66</v>
      </c>
      <c r="I88" s="66" t="s">
        <v>559</v>
      </c>
      <c r="J88" s="87" t="s">
        <v>593</v>
      </c>
    </row>
    <row r="89" spans="1:10" ht="45" customHeight="1" x14ac:dyDescent="0.45">
      <c r="A89" s="42">
        <v>88</v>
      </c>
      <c r="B89" s="411" t="s">
        <v>930</v>
      </c>
      <c r="C89" s="72" t="s">
        <v>2199</v>
      </c>
      <c r="D89" s="413" t="s">
        <v>2282</v>
      </c>
      <c r="E89" s="70" t="s">
        <v>2191</v>
      </c>
      <c r="F89" s="70" t="s">
        <v>2200</v>
      </c>
      <c r="G89" s="71" t="s">
        <v>934</v>
      </c>
      <c r="H89" s="86" t="s">
        <v>66</v>
      </c>
      <c r="I89" s="92" t="s">
        <v>935</v>
      </c>
      <c r="J89" s="87" t="s">
        <v>937</v>
      </c>
    </row>
    <row r="90" spans="1:10" ht="45" customHeight="1" x14ac:dyDescent="0.45">
      <c r="A90" s="42">
        <v>89</v>
      </c>
      <c r="B90" s="411" t="s">
        <v>557</v>
      </c>
      <c r="C90" s="72" t="s">
        <v>58</v>
      </c>
      <c r="D90" s="413" t="s">
        <v>2282</v>
      </c>
      <c r="E90" s="70" t="s">
        <v>2191</v>
      </c>
      <c r="F90" s="70" t="s">
        <v>57</v>
      </c>
      <c r="G90" s="71" t="s">
        <v>62</v>
      </c>
      <c r="H90" s="86" t="s">
        <v>66</v>
      </c>
      <c r="I90" s="66" t="s">
        <v>559</v>
      </c>
      <c r="J90" s="87" t="s">
        <v>196</v>
      </c>
    </row>
    <row r="91" spans="1:10" ht="45" customHeight="1" x14ac:dyDescent="0.45">
      <c r="A91" s="42">
        <v>90</v>
      </c>
      <c r="B91" s="411" t="s">
        <v>382</v>
      </c>
      <c r="C91" s="72" t="s">
        <v>383</v>
      </c>
      <c r="D91" s="413" t="s">
        <v>2282</v>
      </c>
      <c r="E91" s="70" t="s">
        <v>2191</v>
      </c>
      <c r="F91" s="70" t="s">
        <v>765</v>
      </c>
      <c r="G91" s="71" t="s">
        <v>386</v>
      </c>
      <c r="H91" s="86" t="s">
        <v>66</v>
      </c>
      <c r="I91" s="66" t="s">
        <v>559</v>
      </c>
      <c r="J91" s="87" t="s">
        <v>540</v>
      </c>
    </row>
    <row r="92" spans="1:10" ht="45" customHeight="1" x14ac:dyDescent="0.45">
      <c r="A92" s="42">
        <v>91</v>
      </c>
      <c r="B92" s="411" t="s">
        <v>1246</v>
      </c>
      <c r="C92" s="72" t="s">
        <v>2205</v>
      </c>
      <c r="D92" s="413" t="s">
        <v>2282</v>
      </c>
      <c r="E92" s="70" t="s">
        <v>2191</v>
      </c>
      <c r="F92" s="70" t="s">
        <v>633</v>
      </c>
      <c r="G92" s="71" t="s">
        <v>194</v>
      </c>
      <c r="H92" s="86" t="s">
        <v>66</v>
      </c>
      <c r="I92" s="66" t="s">
        <v>559</v>
      </c>
      <c r="J92" s="87" t="s">
        <v>1250</v>
      </c>
    </row>
    <row r="93" spans="1:10" ht="45" customHeight="1" x14ac:dyDescent="0.45">
      <c r="A93" s="42">
        <v>92</v>
      </c>
      <c r="B93" s="411" t="s">
        <v>770</v>
      </c>
      <c r="C93" s="72" t="s">
        <v>107</v>
      </c>
      <c r="D93" s="413" t="s">
        <v>2282</v>
      </c>
      <c r="E93" s="70" t="s">
        <v>2191</v>
      </c>
      <c r="F93" s="70" t="s">
        <v>106</v>
      </c>
      <c r="G93" s="71" t="s">
        <v>110</v>
      </c>
      <c r="H93" s="86" t="s">
        <v>66</v>
      </c>
      <c r="I93" s="66" t="s">
        <v>559</v>
      </c>
      <c r="J93" s="87" t="s">
        <v>196</v>
      </c>
    </row>
    <row r="94" spans="1:10" ht="45" customHeight="1" x14ac:dyDescent="0.45">
      <c r="A94" s="42">
        <v>93</v>
      </c>
      <c r="B94" s="411" t="s">
        <v>586</v>
      </c>
      <c r="C94" s="72" t="s">
        <v>587</v>
      </c>
      <c r="D94" s="413" t="s">
        <v>2294</v>
      </c>
      <c r="E94" s="70" t="s">
        <v>2191</v>
      </c>
      <c r="F94" s="70" t="s">
        <v>589</v>
      </c>
      <c r="G94" s="71" t="s">
        <v>591</v>
      </c>
      <c r="H94" s="86" t="s">
        <v>66</v>
      </c>
      <c r="I94" s="66" t="s">
        <v>559</v>
      </c>
      <c r="J94" s="87" t="s">
        <v>593</v>
      </c>
    </row>
    <row r="95" spans="1:10" ht="45" customHeight="1" x14ac:dyDescent="0.45">
      <c r="A95" s="42">
        <v>94</v>
      </c>
      <c r="B95" s="411" t="s">
        <v>630</v>
      </c>
      <c r="C95" s="72" t="s">
        <v>2193</v>
      </c>
      <c r="D95" s="413" t="s">
        <v>2294</v>
      </c>
      <c r="E95" s="70" t="s">
        <v>2191</v>
      </c>
      <c r="F95" s="70" t="s">
        <v>633</v>
      </c>
      <c r="G95" s="71" t="s">
        <v>634</v>
      </c>
      <c r="H95" s="86" t="s">
        <v>66</v>
      </c>
      <c r="I95" s="66" t="s">
        <v>559</v>
      </c>
      <c r="J95" s="87" t="s">
        <v>593</v>
      </c>
    </row>
    <row r="96" spans="1:10" ht="45" customHeight="1" x14ac:dyDescent="0.45">
      <c r="A96" s="42">
        <v>95</v>
      </c>
      <c r="B96" s="411" t="s">
        <v>655</v>
      </c>
      <c r="C96" s="72" t="s">
        <v>656</v>
      </c>
      <c r="D96" s="413" t="s">
        <v>2294</v>
      </c>
      <c r="E96" s="70" t="s">
        <v>2191</v>
      </c>
      <c r="F96" s="70" t="s">
        <v>589</v>
      </c>
      <c r="G96" s="71" t="s">
        <v>659</v>
      </c>
      <c r="H96" s="86" t="s">
        <v>66</v>
      </c>
      <c r="I96" s="66" t="s">
        <v>559</v>
      </c>
      <c r="J96" s="87" t="s">
        <v>593</v>
      </c>
    </row>
    <row r="97" spans="1:10" ht="45" customHeight="1" x14ac:dyDescent="0.45">
      <c r="A97" s="42">
        <v>96</v>
      </c>
      <c r="B97" s="411" t="s">
        <v>930</v>
      </c>
      <c r="C97" s="72" t="s">
        <v>2199</v>
      </c>
      <c r="D97" s="413" t="s">
        <v>2294</v>
      </c>
      <c r="E97" s="70" t="s">
        <v>2191</v>
      </c>
      <c r="F97" s="70" t="s">
        <v>2200</v>
      </c>
      <c r="G97" s="71" t="s">
        <v>934</v>
      </c>
      <c r="H97" s="86" t="s">
        <v>66</v>
      </c>
      <c r="I97" s="92" t="s">
        <v>935</v>
      </c>
      <c r="J97" s="87" t="s">
        <v>937</v>
      </c>
    </row>
    <row r="98" spans="1:10" ht="45" customHeight="1" x14ac:dyDescent="0.45">
      <c r="A98" s="42">
        <v>97</v>
      </c>
      <c r="B98" s="411" t="s">
        <v>557</v>
      </c>
      <c r="C98" s="72" t="s">
        <v>58</v>
      </c>
      <c r="D98" s="413" t="s">
        <v>2294</v>
      </c>
      <c r="E98" s="70" t="s">
        <v>2191</v>
      </c>
      <c r="F98" s="70" t="s">
        <v>57</v>
      </c>
      <c r="G98" s="71" t="s">
        <v>62</v>
      </c>
      <c r="H98" s="86" t="s">
        <v>66</v>
      </c>
      <c r="I98" s="66" t="s">
        <v>559</v>
      </c>
      <c r="J98" s="87" t="s">
        <v>196</v>
      </c>
    </row>
    <row r="99" spans="1:10" ht="45" customHeight="1" x14ac:dyDescent="0.45">
      <c r="A99" s="42">
        <v>98</v>
      </c>
      <c r="B99" s="411" t="s">
        <v>382</v>
      </c>
      <c r="C99" s="72" t="s">
        <v>383</v>
      </c>
      <c r="D99" s="413" t="s">
        <v>2294</v>
      </c>
      <c r="E99" s="70" t="s">
        <v>2191</v>
      </c>
      <c r="F99" s="70" t="s">
        <v>765</v>
      </c>
      <c r="G99" s="71" t="s">
        <v>386</v>
      </c>
      <c r="H99" s="86" t="s">
        <v>66</v>
      </c>
      <c r="I99" s="66" t="s">
        <v>559</v>
      </c>
      <c r="J99" s="87" t="s">
        <v>540</v>
      </c>
    </row>
    <row r="100" spans="1:10" ht="45" customHeight="1" x14ac:dyDescent="0.45">
      <c r="A100" s="42">
        <v>99</v>
      </c>
      <c r="B100" s="411" t="s">
        <v>1246</v>
      </c>
      <c r="C100" s="72" t="s">
        <v>2205</v>
      </c>
      <c r="D100" s="413" t="s">
        <v>2294</v>
      </c>
      <c r="E100" s="70" t="s">
        <v>2191</v>
      </c>
      <c r="F100" s="70" t="s">
        <v>633</v>
      </c>
      <c r="G100" s="71" t="s">
        <v>194</v>
      </c>
      <c r="H100" s="86" t="s">
        <v>66</v>
      </c>
      <c r="I100" s="66" t="s">
        <v>559</v>
      </c>
      <c r="J100" s="87" t="s">
        <v>1250</v>
      </c>
    </row>
    <row r="101" spans="1:10" ht="45" customHeight="1" x14ac:dyDescent="0.45">
      <c r="A101" s="42">
        <v>100</v>
      </c>
      <c r="B101" s="411" t="s">
        <v>770</v>
      </c>
      <c r="C101" s="72" t="s">
        <v>107</v>
      </c>
      <c r="D101" s="413" t="s">
        <v>2294</v>
      </c>
      <c r="E101" s="70" t="s">
        <v>2191</v>
      </c>
      <c r="F101" s="70" t="s">
        <v>106</v>
      </c>
      <c r="G101" s="71" t="s">
        <v>110</v>
      </c>
      <c r="H101" s="86" t="s">
        <v>66</v>
      </c>
      <c r="I101" s="66" t="s">
        <v>559</v>
      </c>
      <c r="J101" s="87" t="s">
        <v>196</v>
      </c>
    </row>
    <row r="102" spans="1:10" ht="45" customHeight="1" x14ac:dyDescent="0.45">
      <c r="A102" s="42">
        <v>101</v>
      </c>
      <c r="B102" s="411" t="s">
        <v>586</v>
      </c>
      <c r="C102" s="72" t="s">
        <v>587</v>
      </c>
      <c r="D102" s="413" t="s">
        <v>2306</v>
      </c>
      <c r="E102" s="70" t="s">
        <v>2191</v>
      </c>
      <c r="F102" s="70" t="s">
        <v>589</v>
      </c>
      <c r="G102" s="71" t="s">
        <v>591</v>
      </c>
      <c r="H102" s="86" t="s">
        <v>66</v>
      </c>
      <c r="I102" s="66" t="s">
        <v>559</v>
      </c>
      <c r="J102" s="87" t="s">
        <v>593</v>
      </c>
    </row>
    <row r="103" spans="1:10" ht="45" customHeight="1" x14ac:dyDescent="0.45">
      <c r="A103" s="42">
        <v>102</v>
      </c>
      <c r="B103" s="411" t="s">
        <v>630</v>
      </c>
      <c r="C103" s="72" t="s">
        <v>2193</v>
      </c>
      <c r="D103" s="413" t="s">
        <v>2306</v>
      </c>
      <c r="E103" s="70" t="s">
        <v>2191</v>
      </c>
      <c r="F103" s="70" t="s">
        <v>633</v>
      </c>
      <c r="G103" s="71" t="s">
        <v>634</v>
      </c>
      <c r="H103" s="86" t="s">
        <v>66</v>
      </c>
      <c r="I103" s="66" t="s">
        <v>559</v>
      </c>
      <c r="J103" s="87" t="s">
        <v>593</v>
      </c>
    </row>
    <row r="104" spans="1:10" ht="45" customHeight="1" x14ac:dyDescent="0.45">
      <c r="A104" s="42">
        <v>103</v>
      </c>
      <c r="B104" s="411" t="s">
        <v>655</v>
      </c>
      <c r="C104" s="72" t="s">
        <v>656</v>
      </c>
      <c r="D104" s="413" t="s">
        <v>2306</v>
      </c>
      <c r="E104" s="70" t="s">
        <v>2191</v>
      </c>
      <c r="F104" s="70" t="s">
        <v>589</v>
      </c>
      <c r="G104" s="71" t="s">
        <v>659</v>
      </c>
      <c r="H104" s="86" t="s">
        <v>66</v>
      </c>
      <c r="I104" s="66" t="s">
        <v>559</v>
      </c>
      <c r="J104" s="87" t="s">
        <v>593</v>
      </c>
    </row>
    <row r="105" spans="1:10" ht="45" customHeight="1" x14ac:dyDescent="0.45">
      <c r="A105" s="42">
        <v>104</v>
      </c>
      <c r="B105" s="411" t="s">
        <v>930</v>
      </c>
      <c r="C105" s="72" t="s">
        <v>2199</v>
      </c>
      <c r="D105" s="413" t="s">
        <v>2306</v>
      </c>
      <c r="E105" s="70" t="s">
        <v>2191</v>
      </c>
      <c r="F105" s="70" t="s">
        <v>2200</v>
      </c>
      <c r="G105" s="71" t="s">
        <v>934</v>
      </c>
      <c r="H105" s="86" t="s">
        <v>66</v>
      </c>
      <c r="I105" s="92" t="s">
        <v>935</v>
      </c>
      <c r="J105" s="87" t="s">
        <v>937</v>
      </c>
    </row>
    <row r="106" spans="1:10" ht="45" customHeight="1" x14ac:dyDescent="0.45">
      <c r="A106" s="42">
        <v>105</v>
      </c>
      <c r="B106" s="411" t="s">
        <v>557</v>
      </c>
      <c r="C106" s="72" t="s">
        <v>58</v>
      </c>
      <c r="D106" s="413" t="s">
        <v>2306</v>
      </c>
      <c r="E106" s="70" t="s">
        <v>2191</v>
      </c>
      <c r="F106" s="70" t="s">
        <v>57</v>
      </c>
      <c r="G106" s="71" t="s">
        <v>62</v>
      </c>
      <c r="H106" s="86" t="s">
        <v>66</v>
      </c>
      <c r="I106" s="66" t="s">
        <v>559</v>
      </c>
      <c r="J106" s="87" t="s">
        <v>196</v>
      </c>
    </row>
    <row r="107" spans="1:10" ht="45" customHeight="1" x14ac:dyDescent="0.45">
      <c r="A107" s="42">
        <v>106</v>
      </c>
      <c r="B107" s="411" t="s">
        <v>382</v>
      </c>
      <c r="C107" s="72" t="s">
        <v>383</v>
      </c>
      <c r="D107" s="413" t="s">
        <v>2306</v>
      </c>
      <c r="E107" s="70" t="s">
        <v>2191</v>
      </c>
      <c r="F107" s="70" t="s">
        <v>765</v>
      </c>
      <c r="G107" s="71" t="s">
        <v>386</v>
      </c>
      <c r="H107" s="86" t="s">
        <v>66</v>
      </c>
      <c r="I107" s="66" t="s">
        <v>559</v>
      </c>
      <c r="J107" s="87" t="s">
        <v>540</v>
      </c>
    </row>
    <row r="108" spans="1:10" ht="45" customHeight="1" x14ac:dyDescent="0.45">
      <c r="A108" s="42">
        <v>107</v>
      </c>
      <c r="B108" s="411" t="s">
        <v>1246</v>
      </c>
      <c r="C108" s="72" t="s">
        <v>2205</v>
      </c>
      <c r="D108" s="413" t="s">
        <v>2306</v>
      </c>
      <c r="E108" s="70" t="s">
        <v>2191</v>
      </c>
      <c r="F108" s="70" t="s">
        <v>633</v>
      </c>
      <c r="G108" s="71" t="s">
        <v>194</v>
      </c>
      <c r="H108" s="86" t="s">
        <v>66</v>
      </c>
      <c r="I108" s="66" t="s">
        <v>559</v>
      </c>
      <c r="J108" s="87" t="s">
        <v>1250</v>
      </c>
    </row>
    <row r="109" spans="1:10" ht="45" customHeight="1" x14ac:dyDescent="0.45">
      <c r="A109" s="42">
        <v>108</v>
      </c>
      <c r="B109" s="411" t="s">
        <v>770</v>
      </c>
      <c r="C109" s="72" t="s">
        <v>107</v>
      </c>
      <c r="D109" s="413" t="s">
        <v>2306</v>
      </c>
      <c r="E109" s="70" t="s">
        <v>2191</v>
      </c>
      <c r="F109" s="70" t="s">
        <v>106</v>
      </c>
      <c r="G109" s="71" t="s">
        <v>110</v>
      </c>
      <c r="H109" s="86" t="s">
        <v>66</v>
      </c>
      <c r="I109" s="66" t="s">
        <v>559</v>
      </c>
      <c r="J109" s="87" t="s">
        <v>196</v>
      </c>
    </row>
    <row r="110" spans="1:10" ht="45" customHeight="1" x14ac:dyDescent="0.45">
      <c r="A110" s="42">
        <v>109</v>
      </c>
      <c r="B110" s="411" t="s">
        <v>586</v>
      </c>
      <c r="C110" s="72" t="s">
        <v>587</v>
      </c>
      <c r="D110" s="413" t="s">
        <v>2318</v>
      </c>
      <c r="E110" s="70" t="s">
        <v>2191</v>
      </c>
      <c r="F110" s="70" t="s">
        <v>589</v>
      </c>
      <c r="G110" s="71" t="s">
        <v>591</v>
      </c>
      <c r="H110" s="86" t="s">
        <v>66</v>
      </c>
      <c r="I110" s="66" t="s">
        <v>559</v>
      </c>
      <c r="J110" s="87" t="s">
        <v>593</v>
      </c>
    </row>
    <row r="111" spans="1:10" ht="45" customHeight="1" x14ac:dyDescent="0.45">
      <c r="A111" s="42">
        <v>110</v>
      </c>
      <c r="B111" s="411" t="s">
        <v>630</v>
      </c>
      <c r="C111" s="72" t="s">
        <v>2193</v>
      </c>
      <c r="D111" s="413" t="s">
        <v>2318</v>
      </c>
      <c r="E111" s="70" t="s">
        <v>2191</v>
      </c>
      <c r="F111" s="70" t="s">
        <v>633</v>
      </c>
      <c r="G111" s="71" t="s">
        <v>634</v>
      </c>
      <c r="H111" s="86" t="s">
        <v>66</v>
      </c>
      <c r="I111" s="66" t="s">
        <v>559</v>
      </c>
      <c r="J111" s="87" t="s">
        <v>593</v>
      </c>
    </row>
    <row r="112" spans="1:10" ht="45" customHeight="1" x14ac:dyDescent="0.45">
      <c r="A112" s="42">
        <v>111</v>
      </c>
      <c r="B112" s="411" t="s">
        <v>655</v>
      </c>
      <c r="C112" s="72" t="s">
        <v>656</v>
      </c>
      <c r="D112" s="413" t="s">
        <v>2318</v>
      </c>
      <c r="E112" s="70" t="s">
        <v>2191</v>
      </c>
      <c r="F112" s="70" t="s">
        <v>589</v>
      </c>
      <c r="G112" s="71" t="s">
        <v>659</v>
      </c>
      <c r="H112" s="86" t="s">
        <v>66</v>
      </c>
      <c r="I112" s="66" t="s">
        <v>559</v>
      </c>
      <c r="J112" s="87" t="s">
        <v>593</v>
      </c>
    </row>
    <row r="113" spans="1:10" ht="45" customHeight="1" x14ac:dyDescent="0.45">
      <c r="A113" s="42">
        <v>112</v>
      </c>
      <c r="B113" s="411" t="s">
        <v>930</v>
      </c>
      <c r="C113" s="72" t="s">
        <v>2199</v>
      </c>
      <c r="D113" s="413" t="s">
        <v>2318</v>
      </c>
      <c r="E113" s="70" t="s">
        <v>2191</v>
      </c>
      <c r="F113" s="70" t="s">
        <v>2200</v>
      </c>
      <c r="G113" s="71" t="s">
        <v>934</v>
      </c>
      <c r="H113" s="86" t="s">
        <v>66</v>
      </c>
      <c r="I113" s="92" t="s">
        <v>935</v>
      </c>
      <c r="J113" s="87" t="s">
        <v>937</v>
      </c>
    </row>
    <row r="114" spans="1:10" ht="45" customHeight="1" x14ac:dyDescent="0.45">
      <c r="A114" s="42">
        <v>113</v>
      </c>
      <c r="B114" s="411" t="s">
        <v>557</v>
      </c>
      <c r="C114" s="72" t="s">
        <v>58</v>
      </c>
      <c r="D114" s="413" t="s">
        <v>2318</v>
      </c>
      <c r="E114" s="70" t="s">
        <v>2191</v>
      </c>
      <c r="F114" s="70" t="s">
        <v>57</v>
      </c>
      <c r="G114" s="71" t="s">
        <v>62</v>
      </c>
      <c r="H114" s="86" t="s">
        <v>66</v>
      </c>
      <c r="I114" s="66" t="s">
        <v>559</v>
      </c>
      <c r="J114" s="87" t="s">
        <v>196</v>
      </c>
    </row>
    <row r="115" spans="1:10" ht="45" customHeight="1" x14ac:dyDescent="0.45">
      <c r="A115" s="42">
        <v>114</v>
      </c>
      <c r="B115" s="411" t="s">
        <v>382</v>
      </c>
      <c r="C115" s="72" t="s">
        <v>383</v>
      </c>
      <c r="D115" s="413" t="s">
        <v>2318</v>
      </c>
      <c r="E115" s="70" t="s">
        <v>2191</v>
      </c>
      <c r="F115" s="70" t="s">
        <v>765</v>
      </c>
      <c r="G115" s="71" t="s">
        <v>386</v>
      </c>
      <c r="H115" s="86" t="s">
        <v>66</v>
      </c>
      <c r="I115" s="66" t="s">
        <v>559</v>
      </c>
      <c r="J115" s="87" t="s">
        <v>540</v>
      </c>
    </row>
    <row r="116" spans="1:10" ht="45" customHeight="1" x14ac:dyDescent="0.45">
      <c r="A116" s="42">
        <v>115</v>
      </c>
      <c r="B116" s="411" t="s">
        <v>1246</v>
      </c>
      <c r="C116" s="72" t="s">
        <v>2205</v>
      </c>
      <c r="D116" s="413" t="s">
        <v>2318</v>
      </c>
      <c r="E116" s="70" t="s">
        <v>2191</v>
      </c>
      <c r="F116" s="70" t="s">
        <v>633</v>
      </c>
      <c r="G116" s="71" t="s">
        <v>194</v>
      </c>
      <c r="H116" s="86" t="s">
        <v>66</v>
      </c>
      <c r="I116" s="66" t="s">
        <v>559</v>
      </c>
      <c r="J116" s="87" t="s">
        <v>1250</v>
      </c>
    </row>
    <row r="117" spans="1:10" ht="45" customHeight="1" x14ac:dyDescent="0.45">
      <c r="A117" s="42">
        <v>116</v>
      </c>
      <c r="B117" s="411" t="s">
        <v>770</v>
      </c>
      <c r="C117" s="72" t="s">
        <v>107</v>
      </c>
      <c r="D117" s="413" t="s">
        <v>2318</v>
      </c>
      <c r="E117" s="70" t="s">
        <v>2191</v>
      </c>
      <c r="F117" s="70" t="s">
        <v>106</v>
      </c>
      <c r="G117" s="71" t="s">
        <v>110</v>
      </c>
      <c r="H117" s="86" t="s">
        <v>66</v>
      </c>
      <c r="I117" s="66" t="s">
        <v>559</v>
      </c>
      <c r="J117" s="87" t="s">
        <v>196</v>
      </c>
    </row>
    <row r="118" spans="1:10" ht="45" customHeight="1" x14ac:dyDescent="0.45">
      <c r="A118" s="42">
        <v>117</v>
      </c>
      <c r="B118" s="411" t="s">
        <v>586</v>
      </c>
      <c r="C118" s="72" t="s">
        <v>587</v>
      </c>
      <c r="D118" s="413" t="s">
        <v>2330</v>
      </c>
      <c r="E118" s="70" t="s">
        <v>2191</v>
      </c>
      <c r="F118" s="70" t="s">
        <v>589</v>
      </c>
      <c r="G118" s="71" t="s">
        <v>591</v>
      </c>
      <c r="H118" s="86" t="s">
        <v>66</v>
      </c>
      <c r="I118" s="66" t="s">
        <v>559</v>
      </c>
      <c r="J118" s="87" t="s">
        <v>593</v>
      </c>
    </row>
    <row r="119" spans="1:10" ht="45" customHeight="1" x14ac:dyDescent="0.45">
      <c r="A119" s="42">
        <v>118</v>
      </c>
      <c r="B119" s="411" t="s">
        <v>630</v>
      </c>
      <c r="C119" s="72" t="s">
        <v>2193</v>
      </c>
      <c r="D119" s="413" t="s">
        <v>2330</v>
      </c>
      <c r="E119" s="70" t="s">
        <v>2191</v>
      </c>
      <c r="F119" s="70" t="s">
        <v>633</v>
      </c>
      <c r="G119" s="71" t="s">
        <v>634</v>
      </c>
      <c r="H119" s="86" t="s">
        <v>66</v>
      </c>
      <c r="I119" s="66" t="s">
        <v>559</v>
      </c>
      <c r="J119" s="87" t="s">
        <v>593</v>
      </c>
    </row>
    <row r="120" spans="1:10" ht="45" customHeight="1" x14ac:dyDescent="0.45">
      <c r="A120" s="42">
        <v>119</v>
      </c>
      <c r="B120" s="411" t="s">
        <v>655</v>
      </c>
      <c r="C120" s="72" t="s">
        <v>656</v>
      </c>
      <c r="D120" s="413" t="s">
        <v>2330</v>
      </c>
      <c r="E120" s="70" t="s">
        <v>2191</v>
      </c>
      <c r="F120" s="70" t="s">
        <v>589</v>
      </c>
      <c r="G120" s="71" t="s">
        <v>659</v>
      </c>
      <c r="H120" s="86" t="s">
        <v>66</v>
      </c>
      <c r="I120" s="66" t="s">
        <v>559</v>
      </c>
      <c r="J120" s="87" t="s">
        <v>593</v>
      </c>
    </row>
    <row r="121" spans="1:10" ht="45" customHeight="1" x14ac:dyDescent="0.45">
      <c r="A121" s="42">
        <v>120</v>
      </c>
      <c r="B121" s="411" t="s">
        <v>930</v>
      </c>
      <c r="C121" s="72" t="s">
        <v>2199</v>
      </c>
      <c r="D121" s="413" t="s">
        <v>2330</v>
      </c>
      <c r="E121" s="70" t="s">
        <v>2191</v>
      </c>
      <c r="F121" s="70" t="s">
        <v>2200</v>
      </c>
      <c r="G121" s="71" t="s">
        <v>934</v>
      </c>
      <c r="H121" s="86" t="s">
        <v>66</v>
      </c>
      <c r="I121" s="92" t="s">
        <v>935</v>
      </c>
      <c r="J121" s="87" t="s">
        <v>937</v>
      </c>
    </row>
    <row r="122" spans="1:10" ht="45" customHeight="1" x14ac:dyDescent="0.45">
      <c r="A122" s="42">
        <v>121</v>
      </c>
      <c r="B122" s="411" t="s">
        <v>557</v>
      </c>
      <c r="C122" s="72" t="s">
        <v>58</v>
      </c>
      <c r="D122" s="413" t="s">
        <v>2330</v>
      </c>
      <c r="E122" s="70" t="s">
        <v>2191</v>
      </c>
      <c r="F122" s="70" t="s">
        <v>57</v>
      </c>
      <c r="G122" s="71" t="s">
        <v>62</v>
      </c>
      <c r="H122" s="86" t="s">
        <v>66</v>
      </c>
      <c r="I122" s="66" t="s">
        <v>559</v>
      </c>
      <c r="J122" s="87" t="s">
        <v>196</v>
      </c>
    </row>
    <row r="123" spans="1:10" ht="45" customHeight="1" x14ac:dyDescent="0.45">
      <c r="A123" s="42">
        <v>122</v>
      </c>
      <c r="B123" s="411" t="s">
        <v>382</v>
      </c>
      <c r="C123" s="72" t="s">
        <v>383</v>
      </c>
      <c r="D123" s="413" t="s">
        <v>2330</v>
      </c>
      <c r="E123" s="70" t="s">
        <v>2191</v>
      </c>
      <c r="F123" s="70" t="s">
        <v>765</v>
      </c>
      <c r="G123" s="71" t="s">
        <v>386</v>
      </c>
      <c r="H123" s="86" t="s">
        <v>66</v>
      </c>
      <c r="I123" s="66" t="s">
        <v>559</v>
      </c>
      <c r="J123" s="87" t="s">
        <v>540</v>
      </c>
    </row>
    <row r="124" spans="1:10" ht="45" customHeight="1" x14ac:dyDescent="0.45">
      <c r="A124" s="42">
        <v>123</v>
      </c>
      <c r="B124" s="411" t="s">
        <v>1246</v>
      </c>
      <c r="C124" s="72" t="s">
        <v>2205</v>
      </c>
      <c r="D124" s="413" t="s">
        <v>2330</v>
      </c>
      <c r="E124" s="70" t="s">
        <v>2191</v>
      </c>
      <c r="F124" s="70" t="s">
        <v>633</v>
      </c>
      <c r="G124" s="71" t="s">
        <v>194</v>
      </c>
      <c r="H124" s="86" t="s">
        <v>66</v>
      </c>
      <c r="I124" s="66" t="s">
        <v>559</v>
      </c>
      <c r="J124" s="87" t="s">
        <v>1250</v>
      </c>
    </row>
    <row r="125" spans="1:10" ht="45" customHeight="1" x14ac:dyDescent="0.45">
      <c r="A125" s="42">
        <v>124</v>
      </c>
      <c r="B125" s="411" t="s">
        <v>770</v>
      </c>
      <c r="C125" s="72" t="s">
        <v>107</v>
      </c>
      <c r="D125" s="413" t="s">
        <v>2330</v>
      </c>
      <c r="E125" s="70" t="s">
        <v>2191</v>
      </c>
      <c r="F125" s="70" t="s">
        <v>106</v>
      </c>
      <c r="G125" s="71" t="s">
        <v>110</v>
      </c>
      <c r="H125" s="86" t="s">
        <v>66</v>
      </c>
      <c r="I125" s="66" t="s">
        <v>559</v>
      </c>
      <c r="J125" s="87" t="s">
        <v>196</v>
      </c>
    </row>
    <row r="126" spans="1:10" ht="45" customHeight="1" x14ac:dyDescent="0.45">
      <c r="A126" s="42">
        <v>125</v>
      </c>
      <c r="B126" s="411" t="s">
        <v>586</v>
      </c>
      <c r="C126" s="72" t="s">
        <v>587</v>
      </c>
      <c r="D126" s="413" t="s">
        <v>2342</v>
      </c>
      <c r="E126" s="70" t="s">
        <v>2191</v>
      </c>
      <c r="F126" s="70" t="s">
        <v>589</v>
      </c>
      <c r="G126" s="71" t="s">
        <v>591</v>
      </c>
      <c r="H126" s="86" t="s">
        <v>66</v>
      </c>
      <c r="I126" s="66" t="s">
        <v>559</v>
      </c>
      <c r="J126" s="87" t="s">
        <v>593</v>
      </c>
    </row>
    <row r="127" spans="1:10" ht="45" customHeight="1" x14ac:dyDescent="0.45">
      <c r="A127" s="42">
        <v>126</v>
      </c>
      <c r="B127" s="411" t="s">
        <v>630</v>
      </c>
      <c r="C127" s="72" t="s">
        <v>2193</v>
      </c>
      <c r="D127" s="413" t="s">
        <v>2342</v>
      </c>
      <c r="E127" s="70" t="s">
        <v>2191</v>
      </c>
      <c r="F127" s="70" t="s">
        <v>633</v>
      </c>
      <c r="G127" s="71" t="s">
        <v>634</v>
      </c>
      <c r="H127" s="86" t="s">
        <v>66</v>
      </c>
      <c r="I127" s="66" t="s">
        <v>559</v>
      </c>
      <c r="J127" s="87" t="s">
        <v>593</v>
      </c>
    </row>
    <row r="128" spans="1:10" ht="45" customHeight="1" x14ac:dyDescent="0.45">
      <c r="A128" s="42">
        <v>127</v>
      </c>
      <c r="B128" s="411" t="s">
        <v>655</v>
      </c>
      <c r="C128" s="72" t="s">
        <v>656</v>
      </c>
      <c r="D128" s="413" t="s">
        <v>2342</v>
      </c>
      <c r="E128" s="70" t="s">
        <v>2191</v>
      </c>
      <c r="F128" s="70" t="s">
        <v>589</v>
      </c>
      <c r="G128" s="71" t="s">
        <v>659</v>
      </c>
      <c r="H128" s="86" t="s">
        <v>66</v>
      </c>
      <c r="I128" s="66" t="s">
        <v>559</v>
      </c>
      <c r="J128" s="87" t="s">
        <v>593</v>
      </c>
    </row>
    <row r="129" spans="1:10" ht="45" customHeight="1" x14ac:dyDescent="0.45">
      <c r="A129" s="42">
        <v>128</v>
      </c>
      <c r="B129" s="411" t="s">
        <v>930</v>
      </c>
      <c r="C129" s="72" t="s">
        <v>2199</v>
      </c>
      <c r="D129" s="413" t="s">
        <v>2342</v>
      </c>
      <c r="E129" s="70" t="s">
        <v>2191</v>
      </c>
      <c r="F129" s="70" t="s">
        <v>2200</v>
      </c>
      <c r="G129" s="71" t="s">
        <v>934</v>
      </c>
      <c r="H129" s="86" t="s">
        <v>66</v>
      </c>
      <c r="I129" s="92" t="s">
        <v>935</v>
      </c>
      <c r="J129" s="87" t="s">
        <v>937</v>
      </c>
    </row>
    <row r="130" spans="1:10" ht="45" customHeight="1" x14ac:dyDescent="0.45">
      <c r="A130" s="42">
        <v>129</v>
      </c>
      <c r="B130" s="411" t="s">
        <v>557</v>
      </c>
      <c r="C130" s="72" t="s">
        <v>58</v>
      </c>
      <c r="D130" s="413" t="s">
        <v>2342</v>
      </c>
      <c r="E130" s="70" t="s">
        <v>2191</v>
      </c>
      <c r="F130" s="70" t="s">
        <v>57</v>
      </c>
      <c r="G130" s="71" t="s">
        <v>62</v>
      </c>
      <c r="H130" s="86" t="s">
        <v>66</v>
      </c>
      <c r="I130" s="66" t="s">
        <v>559</v>
      </c>
      <c r="J130" s="87" t="s">
        <v>196</v>
      </c>
    </row>
    <row r="131" spans="1:10" ht="45" customHeight="1" x14ac:dyDescent="0.45">
      <c r="A131" s="42">
        <v>130</v>
      </c>
      <c r="B131" s="411" t="s">
        <v>382</v>
      </c>
      <c r="C131" s="72" t="s">
        <v>383</v>
      </c>
      <c r="D131" s="413" t="s">
        <v>2342</v>
      </c>
      <c r="E131" s="70" t="s">
        <v>2191</v>
      </c>
      <c r="F131" s="70" t="s">
        <v>765</v>
      </c>
      <c r="G131" s="71" t="s">
        <v>386</v>
      </c>
      <c r="H131" s="86" t="s">
        <v>66</v>
      </c>
      <c r="I131" s="66" t="s">
        <v>559</v>
      </c>
      <c r="J131" s="87" t="s">
        <v>540</v>
      </c>
    </row>
    <row r="132" spans="1:10" ht="45" customHeight="1" x14ac:dyDescent="0.45">
      <c r="A132" s="42">
        <v>131</v>
      </c>
      <c r="B132" s="411" t="s">
        <v>1246</v>
      </c>
      <c r="C132" s="72" t="s">
        <v>2205</v>
      </c>
      <c r="D132" s="413" t="s">
        <v>2342</v>
      </c>
      <c r="E132" s="70" t="s">
        <v>2191</v>
      </c>
      <c r="F132" s="70" t="s">
        <v>633</v>
      </c>
      <c r="G132" s="71" t="s">
        <v>194</v>
      </c>
      <c r="H132" s="86" t="s">
        <v>66</v>
      </c>
      <c r="I132" s="66" t="s">
        <v>559</v>
      </c>
      <c r="J132" s="87" t="s">
        <v>1250</v>
      </c>
    </row>
    <row r="133" spans="1:10" ht="45" customHeight="1" x14ac:dyDescent="0.45">
      <c r="A133" s="42">
        <v>132</v>
      </c>
      <c r="B133" s="411" t="s">
        <v>770</v>
      </c>
      <c r="C133" s="72" t="s">
        <v>107</v>
      </c>
      <c r="D133" s="413" t="s">
        <v>2342</v>
      </c>
      <c r="E133" s="70" t="s">
        <v>2191</v>
      </c>
      <c r="F133" s="70" t="s">
        <v>106</v>
      </c>
      <c r="G133" s="71" t="s">
        <v>110</v>
      </c>
      <c r="H133" s="86" t="s">
        <v>66</v>
      </c>
      <c r="I133" s="66" t="s">
        <v>559</v>
      </c>
      <c r="J133" s="87" t="s">
        <v>196</v>
      </c>
    </row>
    <row r="134" spans="1:10" ht="45" customHeight="1" x14ac:dyDescent="0.45">
      <c r="A134" s="42">
        <v>133</v>
      </c>
      <c r="B134" s="411" t="s">
        <v>586</v>
      </c>
      <c r="C134" s="72" t="s">
        <v>587</v>
      </c>
      <c r="D134" s="413" t="s">
        <v>2354</v>
      </c>
      <c r="E134" s="70" t="s">
        <v>2191</v>
      </c>
      <c r="F134" s="70" t="s">
        <v>589</v>
      </c>
      <c r="G134" s="71" t="s">
        <v>591</v>
      </c>
      <c r="H134" s="86" t="s">
        <v>66</v>
      </c>
      <c r="I134" s="66" t="s">
        <v>559</v>
      </c>
      <c r="J134" s="87" t="s">
        <v>593</v>
      </c>
    </row>
    <row r="135" spans="1:10" ht="45" customHeight="1" x14ac:dyDescent="0.45">
      <c r="A135" s="42">
        <v>134</v>
      </c>
      <c r="B135" s="411" t="s">
        <v>630</v>
      </c>
      <c r="C135" s="72" t="s">
        <v>2193</v>
      </c>
      <c r="D135" s="413" t="s">
        <v>2354</v>
      </c>
      <c r="E135" s="70" t="s">
        <v>2191</v>
      </c>
      <c r="F135" s="70" t="s">
        <v>633</v>
      </c>
      <c r="G135" s="71" t="s">
        <v>634</v>
      </c>
      <c r="H135" s="86" t="s">
        <v>66</v>
      </c>
      <c r="I135" s="66" t="s">
        <v>559</v>
      </c>
      <c r="J135" s="87" t="s">
        <v>593</v>
      </c>
    </row>
    <row r="136" spans="1:10" ht="45" customHeight="1" x14ac:dyDescent="0.45">
      <c r="A136" s="42">
        <v>135</v>
      </c>
      <c r="B136" s="411" t="s">
        <v>655</v>
      </c>
      <c r="C136" s="72" t="s">
        <v>656</v>
      </c>
      <c r="D136" s="413" t="s">
        <v>2354</v>
      </c>
      <c r="E136" s="70" t="s">
        <v>2191</v>
      </c>
      <c r="F136" s="70" t="s">
        <v>589</v>
      </c>
      <c r="G136" s="71" t="s">
        <v>659</v>
      </c>
      <c r="H136" s="86" t="s">
        <v>66</v>
      </c>
      <c r="I136" s="66" t="s">
        <v>559</v>
      </c>
      <c r="J136" s="87" t="s">
        <v>593</v>
      </c>
    </row>
    <row r="137" spans="1:10" ht="45" customHeight="1" x14ac:dyDescent="0.45">
      <c r="A137" s="42">
        <v>136</v>
      </c>
      <c r="B137" s="411" t="s">
        <v>930</v>
      </c>
      <c r="C137" s="72" t="s">
        <v>2199</v>
      </c>
      <c r="D137" s="413" t="s">
        <v>2354</v>
      </c>
      <c r="E137" s="70" t="s">
        <v>2191</v>
      </c>
      <c r="F137" s="70" t="s">
        <v>2200</v>
      </c>
      <c r="G137" s="71" t="s">
        <v>934</v>
      </c>
      <c r="H137" s="86" t="s">
        <v>66</v>
      </c>
      <c r="I137" s="92" t="s">
        <v>935</v>
      </c>
      <c r="J137" s="87" t="s">
        <v>937</v>
      </c>
    </row>
    <row r="138" spans="1:10" ht="45" customHeight="1" x14ac:dyDescent="0.45">
      <c r="A138" s="42">
        <v>137</v>
      </c>
      <c r="B138" s="411" t="s">
        <v>557</v>
      </c>
      <c r="C138" s="72" t="s">
        <v>58</v>
      </c>
      <c r="D138" s="413" t="s">
        <v>2354</v>
      </c>
      <c r="E138" s="70" t="s">
        <v>2191</v>
      </c>
      <c r="F138" s="70" t="s">
        <v>57</v>
      </c>
      <c r="G138" s="71" t="s">
        <v>62</v>
      </c>
      <c r="H138" s="86" t="s">
        <v>66</v>
      </c>
      <c r="I138" s="66" t="s">
        <v>559</v>
      </c>
      <c r="J138" s="87" t="s">
        <v>196</v>
      </c>
    </row>
    <row r="139" spans="1:10" ht="45" customHeight="1" x14ac:dyDescent="0.45">
      <c r="A139" s="42">
        <v>138</v>
      </c>
      <c r="B139" s="411" t="s">
        <v>382</v>
      </c>
      <c r="C139" s="72" t="s">
        <v>383</v>
      </c>
      <c r="D139" s="413" t="s">
        <v>2354</v>
      </c>
      <c r="E139" s="70" t="s">
        <v>2191</v>
      </c>
      <c r="F139" s="70" t="s">
        <v>765</v>
      </c>
      <c r="G139" s="71" t="s">
        <v>386</v>
      </c>
      <c r="H139" s="86" t="s">
        <v>66</v>
      </c>
      <c r="I139" s="66" t="s">
        <v>559</v>
      </c>
      <c r="J139" s="87" t="s">
        <v>540</v>
      </c>
    </row>
    <row r="140" spans="1:10" ht="45" customHeight="1" x14ac:dyDescent="0.45">
      <c r="A140" s="42">
        <v>139</v>
      </c>
      <c r="B140" s="411" t="s">
        <v>1246</v>
      </c>
      <c r="C140" s="72" t="s">
        <v>2205</v>
      </c>
      <c r="D140" s="413" t="s">
        <v>2354</v>
      </c>
      <c r="E140" s="70" t="s">
        <v>2191</v>
      </c>
      <c r="F140" s="70" t="s">
        <v>633</v>
      </c>
      <c r="G140" s="71" t="s">
        <v>194</v>
      </c>
      <c r="H140" s="86" t="s">
        <v>66</v>
      </c>
      <c r="I140" s="66" t="s">
        <v>559</v>
      </c>
      <c r="J140" s="87" t="s">
        <v>1250</v>
      </c>
    </row>
    <row r="141" spans="1:10" ht="45" customHeight="1" x14ac:dyDescent="0.45">
      <c r="A141" s="42">
        <v>140</v>
      </c>
      <c r="B141" s="411" t="s">
        <v>770</v>
      </c>
      <c r="C141" s="72" t="s">
        <v>107</v>
      </c>
      <c r="D141" s="413" t="s">
        <v>2354</v>
      </c>
      <c r="E141" s="70" t="s">
        <v>2191</v>
      </c>
      <c r="F141" s="70" t="s">
        <v>106</v>
      </c>
      <c r="G141" s="71" t="s">
        <v>110</v>
      </c>
      <c r="H141" s="86" t="s">
        <v>66</v>
      </c>
      <c r="I141" s="66" t="s">
        <v>559</v>
      </c>
      <c r="J141" s="87" t="s">
        <v>196</v>
      </c>
    </row>
    <row r="142" spans="1:10" ht="45" customHeight="1" x14ac:dyDescent="0.45">
      <c r="A142" s="42">
        <v>141</v>
      </c>
      <c r="B142" s="18" t="s">
        <v>148</v>
      </c>
      <c r="C142" s="20" t="s">
        <v>149</v>
      </c>
      <c r="D142" s="37" t="s">
        <v>54</v>
      </c>
      <c r="E142" s="19" t="s">
        <v>56</v>
      </c>
      <c r="F142" s="19" t="s">
        <v>148</v>
      </c>
      <c r="G142" s="21" t="s">
        <v>152</v>
      </c>
      <c r="H142" s="52" t="s">
        <v>154</v>
      </c>
      <c r="I142" s="22" t="s">
        <v>64</v>
      </c>
      <c r="J142" s="24" t="s">
        <v>155</v>
      </c>
    </row>
    <row r="143" spans="1:10" ht="45" customHeight="1" x14ac:dyDescent="0.45">
      <c r="A143" s="42">
        <v>142</v>
      </c>
      <c r="B143" s="18" t="s">
        <v>191</v>
      </c>
      <c r="C143" s="20" t="s">
        <v>192</v>
      </c>
      <c r="D143" s="37" t="s">
        <v>54</v>
      </c>
      <c r="E143" s="19" t="s">
        <v>56</v>
      </c>
      <c r="F143" s="19" t="s">
        <v>191</v>
      </c>
      <c r="G143" s="21" t="s">
        <v>194</v>
      </c>
      <c r="H143" s="52" t="s">
        <v>154</v>
      </c>
      <c r="I143" s="22" t="s">
        <v>64</v>
      </c>
      <c r="J143" s="24" t="s">
        <v>196</v>
      </c>
    </row>
    <row r="144" spans="1:10" ht="45" customHeight="1" x14ac:dyDescent="0.45">
      <c r="A144" s="42">
        <v>143</v>
      </c>
      <c r="B144" s="18" t="s">
        <v>222</v>
      </c>
      <c r="C144" s="20" t="s">
        <v>223</v>
      </c>
      <c r="D144" s="37" t="s">
        <v>54</v>
      </c>
      <c r="E144" s="19" t="s">
        <v>56</v>
      </c>
      <c r="F144" s="19" t="s">
        <v>222</v>
      </c>
      <c r="G144" s="21" t="s">
        <v>226</v>
      </c>
      <c r="H144" s="52" t="s">
        <v>154</v>
      </c>
      <c r="I144" s="22" t="s">
        <v>64</v>
      </c>
      <c r="J144" s="24" t="s">
        <v>228</v>
      </c>
    </row>
    <row r="145" spans="1:10" ht="45" customHeight="1" x14ac:dyDescent="0.45">
      <c r="A145" s="42">
        <v>144</v>
      </c>
      <c r="B145" s="18" t="s">
        <v>294</v>
      </c>
      <c r="C145" s="20" t="s">
        <v>295</v>
      </c>
      <c r="D145" s="37" t="s">
        <v>54</v>
      </c>
      <c r="E145" s="19" t="s">
        <v>56</v>
      </c>
      <c r="F145" s="19" t="s">
        <v>294</v>
      </c>
      <c r="G145" s="21" t="s">
        <v>297</v>
      </c>
      <c r="H145" s="52" t="s">
        <v>154</v>
      </c>
      <c r="I145" s="22" t="s">
        <v>64</v>
      </c>
      <c r="J145" s="24" t="s">
        <v>299</v>
      </c>
    </row>
    <row r="146" spans="1:10" ht="45" customHeight="1" x14ac:dyDescent="0.45">
      <c r="A146" s="42">
        <v>145</v>
      </c>
      <c r="B146" s="18" t="s">
        <v>306</v>
      </c>
      <c r="C146" s="20" t="s">
        <v>307</v>
      </c>
      <c r="D146" s="37" t="s">
        <v>54</v>
      </c>
      <c r="E146" s="19" t="s">
        <v>56</v>
      </c>
      <c r="F146" s="19" t="s">
        <v>309</v>
      </c>
      <c r="G146" s="21" t="s">
        <v>310</v>
      </c>
      <c r="H146" s="52" t="s">
        <v>154</v>
      </c>
      <c r="I146" s="22" t="s">
        <v>64</v>
      </c>
      <c r="J146" s="24" t="s">
        <v>312</v>
      </c>
    </row>
    <row r="147" spans="1:10" ht="45" customHeight="1" x14ac:dyDescent="0.45">
      <c r="A147" s="42">
        <v>146</v>
      </c>
      <c r="B147" s="18" t="s">
        <v>473</v>
      </c>
      <c r="C147" s="20" t="s">
        <v>474</v>
      </c>
      <c r="D147" s="37" t="s">
        <v>380</v>
      </c>
      <c r="E147" s="19" t="s">
        <v>56</v>
      </c>
      <c r="F147" s="19" t="s">
        <v>476</v>
      </c>
      <c r="G147" s="21" t="s">
        <v>251</v>
      </c>
      <c r="H147" s="52" t="s">
        <v>154</v>
      </c>
      <c r="I147" s="22" t="s">
        <v>64</v>
      </c>
      <c r="J147" s="24" t="s">
        <v>388</v>
      </c>
    </row>
    <row r="148" spans="1:10" ht="45" customHeight="1" x14ac:dyDescent="0.45">
      <c r="A148" s="42">
        <v>147</v>
      </c>
      <c r="B148" s="18" t="s">
        <v>484</v>
      </c>
      <c r="C148" s="20" t="s">
        <v>485</v>
      </c>
      <c r="D148" s="37" t="s">
        <v>380</v>
      </c>
      <c r="E148" s="19" t="s">
        <v>56</v>
      </c>
      <c r="F148" s="19" t="s">
        <v>250</v>
      </c>
      <c r="G148" s="21" t="s">
        <v>487</v>
      </c>
      <c r="H148" s="52" t="s">
        <v>154</v>
      </c>
      <c r="I148" s="22" t="s">
        <v>64</v>
      </c>
      <c r="J148" s="24" t="s">
        <v>388</v>
      </c>
    </row>
    <row r="149" spans="1:10" ht="45" customHeight="1" x14ac:dyDescent="0.45">
      <c r="A149" s="42">
        <v>148</v>
      </c>
      <c r="B149" s="18" t="s">
        <v>492</v>
      </c>
      <c r="C149" s="20" t="s">
        <v>493</v>
      </c>
      <c r="D149" s="37" t="s">
        <v>380</v>
      </c>
      <c r="E149" s="19" t="s">
        <v>56</v>
      </c>
      <c r="F149" s="19" t="s">
        <v>151</v>
      </c>
      <c r="G149" s="21" t="s">
        <v>310</v>
      </c>
      <c r="H149" s="52" t="s">
        <v>154</v>
      </c>
      <c r="I149" s="22" t="s">
        <v>64</v>
      </c>
      <c r="J149" s="24" t="s">
        <v>388</v>
      </c>
    </row>
    <row r="150" spans="1:10" ht="45" customHeight="1" x14ac:dyDescent="0.45">
      <c r="A150" s="42">
        <v>149</v>
      </c>
      <c r="B150" s="18" t="s">
        <v>534</v>
      </c>
      <c r="C150" s="20" t="s">
        <v>535</v>
      </c>
      <c r="D150" s="37" t="s">
        <v>380</v>
      </c>
      <c r="E150" s="19" t="s">
        <v>56</v>
      </c>
      <c r="F150" s="19" t="s">
        <v>537</v>
      </c>
      <c r="G150" s="21" t="s">
        <v>310</v>
      </c>
      <c r="H150" s="52" t="s">
        <v>154</v>
      </c>
      <c r="I150" s="64" t="s">
        <v>538</v>
      </c>
      <c r="J150" s="24" t="s">
        <v>540</v>
      </c>
    </row>
    <row r="151" spans="1:10" ht="45" customHeight="1" x14ac:dyDescent="0.45">
      <c r="A151" s="42">
        <v>150</v>
      </c>
      <c r="B151" s="85" t="s">
        <v>679</v>
      </c>
      <c r="C151" s="72" t="s">
        <v>680</v>
      </c>
      <c r="D151" s="50" t="s">
        <v>569</v>
      </c>
      <c r="E151" s="70" t="s">
        <v>571</v>
      </c>
      <c r="F151" s="70" t="s">
        <v>225</v>
      </c>
      <c r="G151" s="71" t="s">
        <v>386</v>
      </c>
      <c r="H151" s="88" t="s">
        <v>154</v>
      </c>
      <c r="I151" s="22" t="s">
        <v>64</v>
      </c>
      <c r="J151" s="87" t="s">
        <v>593</v>
      </c>
    </row>
    <row r="152" spans="1:10" ht="45" customHeight="1" x14ac:dyDescent="0.45">
      <c r="A152" s="42">
        <v>151</v>
      </c>
      <c r="B152" s="85" t="s">
        <v>729</v>
      </c>
      <c r="C152" s="72" t="s">
        <v>730</v>
      </c>
      <c r="D152" s="50" t="s">
        <v>569</v>
      </c>
      <c r="E152" s="70" t="s">
        <v>571</v>
      </c>
      <c r="F152" s="70" t="s">
        <v>732</v>
      </c>
      <c r="G152" s="71" t="s">
        <v>226</v>
      </c>
      <c r="H152" s="88" t="s">
        <v>154</v>
      </c>
      <c r="I152" s="22" t="s">
        <v>64</v>
      </c>
      <c r="J152" s="87" t="s">
        <v>578</v>
      </c>
    </row>
    <row r="153" spans="1:10" ht="45" customHeight="1" x14ac:dyDescent="0.45">
      <c r="A153" s="42">
        <v>152</v>
      </c>
      <c r="B153" s="85" t="s">
        <v>740</v>
      </c>
      <c r="C153" s="72" t="s">
        <v>741</v>
      </c>
      <c r="D153" s="50" t="s">
        <v>569</v>
      </c>
      <c r="E153" s="70" t="s">
        <v>571</v>
      </c>
      <c r="F153" s="70" t="s">
        <v>337</v>
      </c>
      <c r="G153" s="71" t="s">
        <v>743</v>
      </c>
      <c r="H153" s="88" t="s">
        <v>154</v>
      </c>
      <c r="I153" s="22" t="s">
        <v>64</v>
      </c>
      <c r="J153" s="87" t="s">
        <v>593</v>
      </c>
    </row>
    <row r="154" spans="1:10" ht="45" customHeight="1" x14ac:dyDescent="0.45">
      <c r="A154" s="42">
        <v>153</v>
      </c>
      <c r="B154" s="85" t="s">
        <v>751</v>
      </c>
      <c r="C154" s="72" t="s">
        <v>752</v>
      </c>
      <c r="D154" s="50" t="s">
        <v>569</v>
      </c>
      <c r="E154" s="70" t="s">
        <v>571</v>
      </c>
      <c r="F154" s="70" t="s">
        <v>263</v>
      </c>
      <c r="G154" s="71" t="s">
        <v>755</v>
      </c>
      <c r="H154" s="88" t="s">
        <v>154</v>
      </c>
      <c r="I154" s="22" t="s">
        <v>64</v>
      </c>
      <c r="J154" s="87" t="s">
        <v>593</v>
      </c>
    </row>
    <row r="155" spans="1:10" ht="45" customHeight="1" x14ac:dyDescent="0.45">
      <c r="A155" s="42">
        <v>154</v>
      </c>
      <c r="B155" s="85" t="s">
        <v>768</v>
      </c>
      <c r="C155" s="72" t="s">
        <v>192</v>
      </c>
      <c r="D155" s="50" t="s">
        <v>569</v>
      </c>
      <c r="E155" s="70" t="s">
        <v>571</v>
      </c>
      <c r="F155" s="70" t="s">
        <v>191</v>
      </c>
      <c r="G155" s="71" t="s">
        <v>194</v>
      </c>
      <c r="H155" s="88" t="s">
        <v>154</v>
      </c>
      <c r="I155" s="66" t="s">
        <v>559</v>
      </c>
      <c r="J155" s="87" t="s">
        <v>196</v>
      </c>
    </row>
    <row r="156" spans="1:10" ht="45" customHeight="1" x14ac:dyDescent="0.45">
      <c r="A156" s="42">
        <v>155</v>
      </c>
      <c r="B156" s="85" t="s">
        <v>883</v>
      </c>
      <c r="C156" s="72" t="s">
        <v>884</v>
      </c>
      <c r="D156" s="50" t="s">
        <v>783</v>
      </c>
      <c r="E156" s="70" t="s">
        <v>571</v>
      </c>
      <c r="F156" s="70" t="s">
        <v>886</v>
      </c>
      <c r="G156" s="71" t="s">
        <v>888</v>
      </c>
      <c r="H156" s="88" t="s">
        <v>154</v>
      </c>
      <c r="I156" s="22" t="s">
        <v>64</v>
      </c>
      <c r="J156" s="87" t="s">
        <v>792</v>
      </c>
    </row>
    <row r="157" spans="1:10" ht="45" customHeight="1" x14ac:dyDescent="0.45">
      <c r="A157" s="42">
        <v>156</v>
      </c>
      <c r="B157" s="85" t="s">
        <v>916</v>
      </c>
      <c r="C157" s="72" t="s">
        <v>917</v>
      </c>
      <c r="D157" s="50" t="s">
        <v>783</v>
      </c>
      <c r="E157" s="70" t="s">
        <v>571</v>
      </c>
      <c r="F157" s="70" t="s">
        <v>919</v>
      </c>
      <c r="G157" s="71" t="s">
        <v>194</v>
      </c>
      <c r="H157" s="88" t="s">
        <v>154</v>
      </c>
      <c r="I157" s="22" t="s">
        <v>64</v>
      </c>
      <c r="J157" s="87" t="s">
        <v>792</v>
      </c>
    </row>
    <row r="158" spans="1:10" ht="45" customHeight="1" x14ac:dyDescent="0.45">
      <c r="A158" s="42">
        <v>157</v>
      </c>
      <c r="B158" s="85" t="s">
        <v>382</v>
      </c>
      <c r="C158" s="72" t="s">
        <v>383</v>
      </c>
      <c r="D158" s="50" t="s">
        <v>783</v>
      </c>
      <c r="E158" s="70" t="s">
        <v>571</v>
      </c>
      <c r="F158" s="70" t="s">
        <v>765</v>
      </c>
      <c r="G158" s="71" t="s">
        <v>386</v>
      </c>
      <c r="H158" s="88" t="s">
        <v>154</v>
      </c>
      <c r="I158" s="66" t="s">
        <v>559</v>
      </c>
      <c r="J158" s="87" t="s">
        <v>540</v>
      </c>
    </row>
    <row r="159" spans="1:10" ht="45" customHeight="1" x14ac:dyDescent="0.45">
      <c r="A159" s="42">
        <v>158</v>
      </c>
      <c r="B159" s="85" t="s">
        <v>973</v>
      </c>
      <c r="C159" s="72" t="s">
        <v>974</v>
      </c>
      <c r="D159" s="50" t="s">
        <v>928</v>
      </c>
      <c r="E159" s="70" t="s">
        <v>571</v>
      </c>
      <c r="F159" s="70" t="s">
        <v>976</v>
      </c>
      <c r="G159" s="71" t="s">
        <v>977</v>
      </c>
      <c r="H159" s="88" t="s">
        <v>154</v>
      </c>
      <c r="I159" s="92" t="s">
        <v>935</v>
      </c>
      <c r="J159" s="87" t="s">
        <v>937</v>
      </c>
    </row>
    <row r="160" spans="1:10" ht="45" customHeight="1" x14ac:dyDescent="0.45">
      <c r="A160" s="42">
        <v>159</v>
      </c>
      <c r="B160" s="85" t="s">
        <v>985</v>
      </c>
      <c r="C160" s="72" t="s">
        <v>986</v>
      </c>
      <c r="D160" s="50" t="s">
        <v>928</v>
      </c>
      <c r="E160" s="70" t="s">
        <v>571</v>
      </c>
      <c r="F160" s="70" t="s">
        <v>988</v>
      </c>
      <c r="G160" s="71" t="s">
        <v>989</v>
      </c>
      <c r="H160" s="88" t="s">
        <v>154</v>
      </c>
      <c r="I160" s="92" t="s">
        <v>935</v>
      </c>
      <c r="J160" s="87" t="s">
        <v>937</v>
      </c>
    </row>
    <row r="161" spans="1:10" ht="45" customHeight="1" x14ac:dyDescent="0.45">
      <c r="A161" s="42">
        <v>160</v>
      </c>
      <c r="B161" s="85" t="s">
        <v>996</v>
      </c>
      <c r="C161" s="72" t="s">
        <v>997</v>
      </c>
      <c r="D161" s="50" t="s">
        <v>928</v>
      </c>
      <c r="E161" s="70" t="s">
        <v>571</v>
      </c>
      <c r="F161" s="70" t="s">
        <v>999</v>
      </c>
      <c r="G161" s="71" t="s">
        <v>1000</v>
      </c>
      <c r="H161" s="88" t="s">
        <v>154</v>
      </c>
      <c r="I161" s="92" t="s">
        <v>935</v>
      </c>
      <c r="J161" s="87" t="s">
        <v>937</v>
      </c>
    </row>
    <row r="162" spans="1:10" ht="45" customHeight="1" x14ac:dyDescent="0.45">
      <c r="A162" s="42">
        <v>161</v>
      </c>
      <c r="B162" s="85" t="s">
        <v>1007</v>
      </c>
      <c r="C162" s="72" t="s">
        <v>1008</v>
      </c>
      <c r="D162" s="50" t="s">
        <v>928</v>
      </c>
      <c r="E162" s="70" t="s">
        <v>571</v>
      </c>
      <c r="F162" s="70" t="s">
        <v>988</v>
      </c>
      <c r="G162" s="71" t="s">
        <v>1010</v>
      </c>
      <c r="H162" s="88" t="s">
        <v>154</v>
      </c>
      <c r="I162" s="92" t="s">
        <v>935</v>
      </c>
      <c r="J162" s="87" t="s">
        <v>937</v>
      </c>
    </row>
    <row r="163" spans="1:10" ht="45" customHeight="1" x14ac:dyDescent="0.45">
      <c r="A163" s="42">
        <v>162</v>
      </c>
      <c r="B163" s="85" t="s">
        <v>557</v>
      </c>
      <c r="C163" s="72" t="s">
        <v>58</v>
      </c>
      <c r="D163" s="50" t="s">
        <v>928</v>
      </c>
      <c r="E163" s="70" t="s">
        <v>571</v>
      </c>
      <c r="F163" s="70" t="s">
        <v>57</v>
      </c>
      <c r="G163" s="71" t="s">
        <v>62</v>
      </c>
      <c r="H163" s="88" t="s">
        <v>154</v>
      </c>
      <c r="I163" s="66" t="s">
        <v>559</v>
      </c>
      <c r="J163" s="87" t="s">
        <v>196</v>
      </c>
    </row>
    <row r="164" spans="1:10" ht="45" customHeight="1" x14ac:dyDescent="0.45">
      <c r="A164" s="42">
        <v>163</v>
      </c>
      <c r="B164" s="85" t="s">
        <v>586</v>
      </c>
      <c r="C164" s="72" t="s">
        <v>587</v>
      </c>
      <c r="D164" s="50" t="s">
        <v>928</v>
      </c>
      <c r="E164" s="70" t="s">
        <v>571</v>
      </c>
      <c r="F164" s="70" t="s">
        <v>589</v>
      </c>
      <c r="G164" s="71" t="s">
        <v>591</v>
      </c>
      <c r="H164" s="88" t="s">
        <v>154</v>
      </c>
      <c r="I164" s="66" t="s">
        <v>559</v>
      </c>
      <c r="J164" s="87" t="s">
        <v>593</v>
      </c>
    </row>
    <row r="165" spans="1:10" ht="45" customHeight="1" x14ac:dyDescent="0.45">
      <c r="A165" s="42">
        <v>164</v>
      </c>
      <c r="B165" s="85" t="s">
        <v>1020</v>
      </c>
      <c r="C165" s="72" t="s">
        <v>1021</v>
      </c>
      <c r="D165" s="50" t="s">
        <v>1018</v>
      </c>
      <c r="E165" s="70" t="s">
        <v>571</v>
      </c>
      <c r="F165" s="70" t="s">
        <v>1023</v>
      </c>
      <c r="G165" s="71" t="s">
        <v>310</v>
      </c>
      <c r="H165" s="88" t="s">
        <v>154</v>
      </c>
      <c r="I165" s="22" t="s">
        <v>64</v>
      </c>
      <c r="J165" s="87" t="s">
        <v>1026</v>
      </c>
    </row>
    <row r="166" spans="1:10" ht="45" customHeight="1" x14ac:dyDescent="0.45">
      <c r="A166" s="42">
        <v>165</v>
      </c>
      <c r="B166" s="85" t="s">
        <v>1056</v>
      </c>
      <c r="C166" s="72" t="s">
        <v>1057</v>
      </c>
      <c r="D166" s="50" t="s">
        <v>1018</v>
      </c>
      <c r="E166" s="70" t="s">
        <v>571</v>
      </c>
      <c r="F166" s="70" t="s">
        <v>1023</v>
      </c>
      <c r="G166" s="71" t="s">
        <v>310</v>
      </c>
      <c r="H166" s="88" t="s">
        <v>154</v>
      </c>
      <c r="I166" s="22" t="s">
        <v>64</v>
      </c>
      <c r="J166" s="87" t="s">
        <v>1026</v>
      </c>
    </row>
    <row r="167" spans="1:10" ht="45" customHeight="1" x14ac:dyDescent="0.45">
      <c r="A167" s="42">
        <v>166</v>
      </c>
      <c r="B167" s="85" t="s">
        <v>1085</v>
      </c>
      <c r="C167" s="72" t="s">
        <v>1086</v>
      </c>
      <c r="D167" s="50" t="s">
        <v>1083</v>
      </c>
      <c r="E167" s="70" t="s">
        <v>571</v>
      </c>
      <c r="F167" s="70" t="s">
        <v>1023</v>
      </c>
      <c r="G167" s="71" t="s">
        <v>1089</v>
      </c>
      <c r="H167" s="88" t="s">
        <v>154</v>
      </c>
      <c r="I167" s="22" t="s">
        <v>64</v>
      </c>
      <c r="J167" s="87" t="s">
        <v>1091</v>
      </c>
    </row>
    <row r="168" spans="1:10" ht="45" customHeight="1" x14ac:dyDescent="0.45">
      <c r="A168" s="42">
        <v>167</v>
      </c>
      <c r="B168" s="85" t="s">
        <v>1120</v>
      </c>
      <c r="C168" s="72" t="s">
        <v>1121</v>
      </c>
      <c r="D168" s="50" t="s">
        <v>1083</v>
      </c>
      <c r="E168" s="70" t="s">
        <v>571</v>
      </c>
      <c r="F168" s="70" t="s">
        <v>1123</v>
      </c>
      <c r="G168" s="71" t="s">
        <v>226</v>
      </c>
      <c r="H168" s="88" t="s">
        <v>154</v>
      </c>
      <c r="I168" s="22" t="s">
        <v>64</v>
      </c>
      <c r="J168" s="87" t="s">
        <v>1091</v>
      </c>
    </row>
    <row r="169" spans="1:10" ht="45" customHeight="1" x14ac:dyDescent="0.45">
      <c r="A169" s="42">
        <v>168</v>
      </c>
      <c r="B169" s="85" t="s">
        <v>557</v>
      </c>
      <c r="C169" s="72" t="s">
        <v>58</v>
      </c>
      <c r="D169" s="50" t="s">
        <v>1083</v>
      </c>
      <c r="E169" s="70" t="s">
        <v>571</v>
      </c>
      <c r="F169" s="70" t="s">
        <v>57</v>
      </c>
      <c r="G169" s="71" t="s">
        <v>62</v>
      </c>
      <c r="H169" s="88" t="s">
        <v>154</v>
      </c>
      <c r="I169" s="66" t="s">
        <v>559</v>
      </c>
      <c r="J169" s="87" t="s">
        <v>196</v>
      </c>
    </row>
    <row r="170" spans="1:10" ht="45" customHeight="1" x14ac:dyDescent="0.45">
      <c r="A170" s="42">
        <v>169</v>
      </c>
      <c r="B170" s="85" t="s">
        <v>382</v>
      </c>
      <c r="C170" s="72" t="s">
        <v>383</v>
      </c>
      <c r="D170" s="50" t="s">
        <v>1083</v>
      </c>
      <c r="E170" s="70" t="s">
        <v>571</v>
      </c>
      <c r="F170" s="70" t="s">
        <v>765</v>
      </c>
      <c r="G170" s="71" t="s">
        <v>386</v>
      </c>
      <c r="H170" s="88" t="s">
        <v>154</v>
      </c>
      <c r="I170" s="66" t="s">
        <v>559</v>
      </c>
      <c r="J170" s="87" t="s">
        <v>540</v>
      </c>
    </row>
    <row r="171" spans="1:10" ht="45" customHeight="1" x14ac:dyDescent="0.45">
      <c r="A171" s="42">
        <v>170</v>
      </c>
      <c r="B171" s="85" t="s">
        <v>1152</v>
      </c>
      <c r="C171" s="72" t="s">
        <v>1153</v>
      </c>
      <c r="D171" s="50" t="s">
        <v>1083</v>
      </c>
      <c r="E171" s="70" t="s">
        <v>571</v>
      </c>
      <c r="F171" s="70" t="s">
        <v>1155</v>
      </c>
      <c r="G171" s="71" t="s">
        <v>1156</v>
      </c>
      <c r="H171" s="88" t="s">
        <v>154</v>
      </c>
      <c r="I171" s="66" t="s">
        <v>559</v>
      </c>
      <c r="J171" s="87" t="s">
        <v>1158</v>
      </c>
    </row>
    <row r="172" spans="1:10" ht="45" customHeight="1" x14ac:dyDescent="0.45">
      <c r="A172" s="42">
        <v>171</v>
      </c>
      <c r="B172" s="85" t="s">
        <v>1234</v>
      </c>
      <c r="C172" s="72" t="s">
        <v>1235</v>
      </c>
      <c r="D172" s="50" t="s">
        <v>1196</v>
      </c>
      <c r="E172" s="70" t="s">
        <v>571</v>
      </c>
      <c r="F172" s="70" t="s">
        <v>912</v>
      </c>
      <c r="G172" s="71" t="s">
        <v>310</v>
      </c>
      <c r="H172" s="88" t="s">
        <v>154</v>
      </c>
      <c r="I172" s="64" t="s">
        <v>538</v>
      </c>
      <c r="J172" s="87" t="s">
        <v>1204</v>
      </c>
    </row>
    <row r="173" spans="1:10" ht="45" customHeight="1" x14ac:dyDescent="0.45">
      <c r="A173" s="42">
        <v>172</v>
      </c>
      <c r="B173" s="85" t="s">
        <v>1238</v>
      </c>
      <c r="C173" s="72" t="s">
        <v>1239</v>
      </c>
      <c r="D173" s="50" t="s">
        <v>1196</v>
      </c>
      <c r="E173" s="70" t="s">
        <v>571</v>
      </c>
      <c r="F173" s="70" t="s">
        <v>1075</v>
      </c>
      <c r="G173" s="71" t="s">
        <v>310</v>
      </c>
      <c r="H173" s="88" t="s">
        <v>154</v>
      </c>
      <c r="I173" s="64" t="s">
        <v>538</v>
      </c>
      <c r="J173" s="87" t="s">
        <v>1204</v>
      </c>
    </row>
    <row r="174" spans="1:10" ht="45" customHeight="1" x14ac:dyDescent="0.45">
      <c r="A174" s="42">
        <v>173</v>
      </c>
      <c r="B174" s="85" t="s">
        <v>557</v>
      </c>
      <c r="C174" s="72" t="s">
        <v>58</v>
      </c>
      <c r="D174" s="50" t="s">
        <v>1196</v>
      </c>
      <c r="E174" s="70" t="s">
        <v>571</v>
      </c>
      <c r="F174" s="70" t="s">
        <v>57</v>
      </c>
      <c r="G174" s="71" t="s">
        <v>62</v>
      </c>
      <c r="H174" s="88" t="s">
        <v>154</v>
      </c>
      <c r="I174" s="66" t="s">
        <v>559</v>
      </c>
      <c r="J174" s="87" t="s">
        <v>196</v>
      </c>
    </row>
    <row r="175" spans="1:10" ht="45" customHeight="1" x14ac:dyDescent="0.45">
      <c r="A175" s="42">
        <v>174</v>
      </c>
      <c r="B175" s="85" t="s">
        <v>1268</v>
      </c>
      <c r="C175" s="72" t="s">
        <v>1269</v>
      </c>
      <c r="D175" s="50" t="s">
        <v>1244</v>
      </c>
      <c r="E175" s="70" t="s">
        <v>571</v>
      </c>
      <c r="F175" s="70" t="s">
        <v>1271</v>
      </c>
      <c r="G175" s="71" t="s">
        <v>743</v>
      </c>
      <c r="H175" s="88" t="s">
        <v>154</v>
      </c>
      <c r="I175" s="22" t="s">
        <v>64</v>
      </c>
      <c r="J175" s="87" t="s">
        <v>1250</v>
      </c>
    </row>
    <row r="176" spans="1:10" ht="45" customHeight="1" x14ac:dyDescent="0.45">
      <c r="A176" s="42">
        <v>175</v>
      </c>
      <c r="B176" s="85" t="s">
        <v>1279</v>
      </c>
      <c r="C176" s="72" t="s">
        <v>1280</v>
      </c>
      <c r="D176" s="50" t="s">
        <v>1244</v>
      </c>
      <c r="E176" s="70" t="s">
        <v>571</v>
      </c>
      <c r="F176" s="70" t="s">
        <v>912</v>
      </c>
      <c r="G176" s="71" t="s">
        <v>310</v>
      </c>
      <c r="H176" s="88" t="s">
        <v>154</v>
      </c>
      <c r="I176" s="22" t="s">
        <v>64</v>
      </c>
      <c r="J176" s="87" t="s">
        <v>1250</v>
      </c>
    </row>
    <row r="177" spans="1:10" ht="45" customHeight="1" x14ac:dyDescent="0.45">
      <c r="A177" s="42">
        <v>176</v>
      </c>
      <c r="B177" s="120" t="s">
        <v>1343</v>
      </c>
      <c r="C177" s="122" t="s">
        <v>1344</v>
      </c>
      <c r="D177" s="125" t="s">
        <v>1340</v>
      </c>
      <c r="E177" s="121" t="s">
        <v>1342</v>
      </c>
      <c r="F177" s="121" t="s">
        <v>912</v>
      </c>
      <c r="G177" s="123" t="s">
        <v>310</v>
      </c>
      <c r="H177" s="124" t="s">
        <v>154</v>
      </c>
      <c r="I177" s="22" t="s">
        <v>64</v>
      </c>
      <c r="J177" s="125" t="s">
        <v>1348</v>
      </c>
    </row>
    <row r="178" spans="1:10" ht="45" customHeight="1" x14ac:dyDescent="0.45">
      <c r="A178" s="42">
        <v>177</v>
      </c>
      <c r="B178" s="120" t="s">
        <v>1356</v>
      </c>
      <c r="C178" s="122" t="s">
        <v>1357</v>
      </c>
      <c r="D178" s="125" t="s">
        <v>1340</v>
      </c>
      <c r="E178" s="121" t="s">
        <v>1342</v>
      </c>
      <c r="F178" s="121" t="s">
        <v>1359</v>
      </c>
      <c r="G178" s="123" t="s">
        <v>386</v>
      </c>
      <c r="H178" s="124" t="s">
        <v>154</v>
      </c>
      <c r="I178" s="22" t="s">
        <v>64</v>
      </c>
      <c r="J178" s="125" t="s">
        <v>1348</v>
      </c>
    </row>
    <row r="179" spans="1:10" ht="45" customHeight="1" x14ac:dyDescent="0.45">
      <c r="A179" s="42">
        <v>178</v>
      </c>
      <c r="B179" s="120" t="s">
        <v>1362</v>
      </c>
      <c r="C179" s="122" t="s">
        <v>1363</v>
      </c>
      <c r="D179" s="125" t="s">
        <v>1340</v>
      </c>
      <c r="E179" s="121" t="s">
        <v>1342</v>
      </c>
      <c r="F179" s="121" t="s">
        <v>1365</v>
      </c>
      <c r="G179" s="123" t="s">
        <v>226</v>
      </c>
      <c r="H179" s="124" t="s">
        <v>154</v>
      </c>
      <c r="I179" s="22" t="s">
        <v>64</v>
      </c>
      <c r="J179" s="125" t="s">
        <v>1348</v>
      </c>
    </row>
    <row r="180" spans="1:10" ht="45" customHeight="1" x14ac:dyDescent="0.45">
      <c r="A180" s="42">
        <v>179</v>
      </c>
      <c r="B180" s="120" t="s">
        <v>1367</v>
      </c>
      <c r="C180" s="122" t="s">
        <v>1368</v>
      </c>
      <c r="D180" s="125" t="s">
        <v>1340</v>
      </c>
      <c r="E180" s="121" t="s">
        <v>1342</v>
      </c>
      <c r="F180" s="121" t="s">
        <v>1148</v>
      </c>
      <c r="G180" s="123" t="s">
        <v>1370</v>
      </c>
      <c r="H180" s="124" t="s">
        <v>154</v>
      </c>
      <c r="I180" s="22" t="s">
        <v>64</v>
      </c>
      <c r="J180" s="125" t="s">
        <v>1348</v>
      </c>
    </row>
    <row r="181" spans="1:10" ht="45" customHeight="1" x14ac:dyDescent="0.45">
      <c r="A181" s="42">
        <v>180</v>
      </c>
      <c r="B181" s="120" t="s">
        <v>1379</v>
      </c>
      <c r="C181" s="122" t="s">
        <v>1380</v>
      </c>
      <c r="D181" s="125" t="s">
        <v>1340</v>
      </c>
      <c r="E181" s="121" t="s">
        <v>1342</v>
      </c>
      <c r="F181" s="121" t="s">
        <v>337</v>
      </c>
      <c r="G181" s="123" t="s">
        <v>743</v>
      </c>
      <c r="H181" s="124" t="s">
        <v>154</v>
      </c>
      <c r="I181" s="22" t="s">
        <v>64</v>
      </c>
      <c r="J181" s="125" t="s">
        <v>1348</v>
      </c>
    </row>
    <row r="182" spans="1:10" ht="45" customHeight="1" x14ac:dyDescent="0.45">
      <c r="A182" s="42">
        <v>181</v>
      </c>
      <c r="B182" s="120" t="s">
        <v>1389</v>
      </c>
      <c r="C182" s="122" t="s">
        <v>1390</v>
      </c>
      <c r="D182" s="125" t="s">
        <v>1340</v>
      </c>
      <c r="E182" s="121" t="s">
        <v>1342</v>
      </c>
      <c r="F182" s="121" t="s">
        <v>337</v>
      </c>
      <c r="G182" s="123" t="s">
        <v>755</v>
      </c>
      <c r="H182" s="124" t="s">
        <v>154</v>
      </c>
      <c r="I182" s="22" t="s">
        <v>64</v>
      </c>
      <c r="J182" s="125" t="s">
        <v>1348</v>
      </c>
    </row>
    <row r="183" spans="1:10" ht="45" customHeight="1" x14ac:dyDescent="0.45">
      <c r="A183" s="42">
        <v>182</v>
      </c>
      <c r="B183" s="120" t="s">
        <v>557</v>
      </c>
      <c r="C183" s="122" t="s">
        <v>58</v>
      </c>
      <c r="D183" s="125" t="s">
        <v>1340</v>
      </c>
      <c r="E183" s="121" t="s">
        <v>1342</v>
      </c>
      <c r="F183" s="121" t="s">
        <v>57</v>
      </c>
      <c r="G183" s="123" t="s">
        <v>62</v>
      </c>
      <c r="H183" s="124" t="s">
        <v>154</v>
      </c>
      <c r="I183" s="66" t="s">
        <v>559</v>
      </c>
      <c r="J183" s="125" t="s">
        <v>196</v>
      </c>
    </row>
    <row r="184" spans="1:10" ht="45" customHeight="1" x14ac:dyDescent="0.45">
      <c r="A184" s="42">
        <v>183</v>
      </c>
      <c r="B184" s="120" t="s">
        <v>1431</v>
      </c>
      <c r="C184" s="122" t="s">
        <v>1432</v>
      </c>
      <c r="D184" s="125" t="s">
        <v>1429</v>
      </c>
      <c r="E184" s="121" t="s">
        <v>1342</v>
      </c>
      <c r="F184" s="121" t="s">
        <v>250</v>
      </c>
      <c r="G184" s="123" t="s">
        <v>251</v>
      </c>
      <c r="H184" s="124" t="s">
        <v>154</v>
      </c>
      <c r="I184" s="22" t="s">
        <v>64</v>
      </c>
      <c r="J184" s="125" t="s">
        <v>1435</v>
      </c>
    </row>
    <row r="185" spans="1:10" ht="45" customHeight="1" x14ac:dyDescent="0.45">
      <c r="A185" s="42">
        <v>184</v>
      </c>
      <c r="B185" s="120" t="s">
        <v>557</v>
      </c>
      <c r="C185" s="122" t="s">
        <v>58</v>
      </c>
      <c r="D185" s="125" t="s">
        <v>1429</v>
      </c>
      <c r="E185" s="121" t="s">
        <v>1342</v>
      </c>
      <c r="F185" s="121" t="s">
        <v>57</v>
      </c>
      <c r="G185" s="123" t="s">
        <v>62</v>
      </c>
      <c r="H185" s="124" t="s">
        <v>154</v>
      </c>
      <c r="I185" s="66" t="s">
        <v>559</v>
      </c>
      <c r="J185" s="125" t="s">
        <v>196</v>
      </c>
    </row>
    <row r="186" spans="1:10" ht="45" customHeight="1" x14ac:dyDescent="0.45">
      <c r="A186" s="42">
        <v>185</v>
      </c>
      <c r="B186" s="167" t="s">
        <v>1513</v>
      </c>
      <c r="C186" s="169" t="s">
        <v>1514</v>
      </c>
      <c r="D186" s="414" t="s">
        <v>1510</v>
      </c>
      <c r="E186" s="168" t="s">
        <v>1512</v>
      </c>
      <c r="F186" s="168" t="s">
        <v>1516</v>
      </c>
      <c r="G186" s="170" t="s">
        <v>1518</v>
      </c>
      <c r="H186" s="171" t="s">
        <v>154</v>
      </c>
      <c r="I186" s="22" t="s">
        <v>64</v>
      </c>
      <c r="J186" s="172" t="s">
        <v>1520</v>
      </c>
    </row>
    <row r="187" spans="1:10" ht="45" customHeight="1" x14ac:dyDescent="0.45">
      <c r="A187" s="42">
        <v>186</v>
      </c>
      <c r="B187" s="167" t="s">
        <v>1539</v>
      </c>
      <c r="C187" s="169" t="s">
        <v>1540</v>
      </c>
      <c r="D187" s="414" t="s">
        <v>1510</v>
      </c>
      <c r="E187" s="168" t="s">
        <v>1512</v>
      </c>
      <c r="F187" s="168" t="s">
        <v>1542</v>
      </c>
      <c r="G187" s="170" t="s">
        <v>310</v>
      </c>
      <c r="H187" s="171" t="s">
        <v>154</v>
      </c>
      <c r="I187" s="22" t="s">
        <v>64</v>
      </c>
      <c r="J187" s="172" t="s">
        <v>1544</v>
      </c>
    </row>
    <row r="188" spans="1:10" ht="45" customHeight="1" x14ac:dyDescent="0.45">
      <c r="A188" s="42">
        <v>187</v>
      </c>
      <c r="B188" s="167" t="s">
        <v>557</v>
      </c>
      <c r="C188" s="169" t="s">
        <v>58</v>
      </c>
      <c r="D188" s="414" t="s">
        <v>1510</v>
      </c>
      <c r="E188" s="168" t="s">
        <v>1512</v>
      </c>
      <c r="F188" s="168" t="s">
        <v>57</v>
      </c>
      <c r="G188" s="170" t="s">
        <v>62</v>
      </c>
      <c r="H188" s="171" t="s">
        <v>154</v>
      </c>
      <c r="I188" s="66" t="s">
        <v>559</v>
      </c>
      <c r="J188" s="172" t="s">
        <v>196</v>
      </c>
    </row>
    <row r="189" spans="1:10" ht="45" customHeight="1" x14ac:dyDescent="0.45">
      <c r="A189" s="42">
        <v>188</v>
      </c>
      <c r="B189" s="205" t="s">
        <v>1575</v>
      </c>
      <c r="C189" s="192" t="s">
        <v>1576</v>
      </c>
      <c r="D189" s="26" t="s">
        <v>1560</v>
      </c>
      <c r="E189" s="190" t="s">
        <v>1562</v>
      </c>
      <c r="F189" s="190" t="s">
        <v>1138</v>
      </c>
      <c r="G189" s="191" t="s">
        <v>310</v>
      </c>
      <c r="H189" s="206" t="s">
        <v>154</v>
      </c>
      <c r="I189" s="22" t="s">
        <v>64</v>
      </c>
      <c r="J189" s="207" t="s">
        <v>1568</v>
      </c>
    </row>
    <row r="190" spans="1:10" ht="45" customHeight="1" x14ac:dyDescent="0.45">
      <c r="A190" s="42">
        <v>189</v>
      </c>
      <c r="B190" s="205" t="s">
        <v>1609</v>
      </c>
      <c r="C190" s="192" t="s">
        <v>1610</v>
      </c>
      <c r="D190" s="26" t="s">
        <v>1560</v>
      </c>
      <c r="E190" s="190" t="s">
        <v>1562</v>
      </c>
      <c r="F190" s="190" t="s">
        <v>906</v>
      </c>
      <c r="G190" s="191" t="s">
        <v>989</v>
      </c>
      <c r="H190" s="206" t="s">
        <v>154</v>
      </c>
      <c r="I190" s="22" t="s">
        <v>64</v>
      </c>
      <c r="J190" s="207" t="s">
        <v>1568</v>
      </c>
    </row>
    <row r="191" spans="1:10" ht="45" customHeight="1" x14ac:dyDescent="0.45">
      <c r="A191" s="42">
        <v>190</v>
      </c>
      <c r="B191" s="97" t="s">
        <v>382</v>
      </c>
      <c r="C191" s="99" t="s">
        <v>383</v>
      </c>
      <c r="D191" s="415" t="s">
        <v>1704</v>
      </c>
      <c r="E191" s="98" t="s">
        <v>1288</v>
      </c>
      <c r="F191" s="98" t="s">
        <v>765</v>
      </c>
      <c r="G191" s="100" t="s">
        <v>386</v>
      </c>
      <c r="H191" s="416" t="s">
        <v>154</v>
      </c>
      <c r="I191" s="66" t="s">
        <v>559</v>
      </c>
      <c r="J191" s="102" t="s">
        <v>540</v>
      </c>
    </row>
    <row r="192" spans="1:10" ht="45" customHeight="1" x14ac:dyDescent="0.45">
      <c r="A192" s="42">
        <v>191</v>
      </c>
      <c r="B192" s="411" t="s">
        <v>679</v>
      </c>
      <c r="C192" s="72" t="s">
        <v>680</v>
      </c>
      <c r="D192" s="413" t="s">
        <v>2189</v>
      </c>
      <c r="E192" s="70" t="s">
        <v>2191</v>
      </c>
      <c r="F192" s="70" t="s">
        <v>225</v>
      </c>
      <c r="G192" s="71" t="s">
        <v>386</v>
      </c>
      <c r="H192" s="88" t="s">
        <v>154</v>
      </c>
      <c r="I192" s="66" t="s">
        <v>559</v>
      </c>
      <c r="J192" s="87" t="s">
        <v>593</v>
      </c>
    </row>
    <row r="193" spans="1:10" ht="45" customHeight="1" x14ac:dyDescent="0.45">
      <c r="A193" s="42">
        <v>192</v>
      </c>
      <c r="B193" s="411" t="s">
        <v>688</v>
      </c>
      <c r="C193" s="72" t="s">
        <v>689</v>
      </c>
      <c r="D193" s="413" t="s">
        <v>2189</v>
      </c>
      <c r="E193" s="70" t="s">
        <v>2191</v>
      </c>
      <c r="F193" s="70" t="s">
        <v>691</v>
      </c>
      <c r="G193" s="71" t="s">
        <v>692</v>
      </c>
      <c r="H193" s="88" t="s">
        <v>154</v>
      </c>
      <c r="I193" s="66" t="s">
        <v>559</v>
      </c>
      <c r="J193" s="87" t="s">
        <v>593</v>
      </c>
    </row>
    <row r="194" spans="1:10" ht="45" customHeight="1" x14ac:dyDescent="0.45">
      <c r="A194" s="42">
        <v>193</v>
      </c>
      <c r="B194" s="411" t="s">
        <v>679</v>
      </c>
      <c r="C194" s="72" t="s">
        <v>680</v>
      </c>
      <c r="D194" s="413" t="s">
        <v>2210</v>
      </c>
      <c r="E194" s="70" t="s">
        <v>2191</v>
      </c>
      <c r="F194" s="70" t="s">
        <v>225</v>
      </c>
      <c r="G194" s="71" t="s">
        <v>386</v>
      </c>
      <c r="H194" s="88" t="s">
        <v>154</v>
      </c>
      <c r="I194" s="66" t="s">
        <v>559</v>
      </c>
      <c r="J194" s="87" t="s">
        <v>593</v>
      </c>
    </row>
    <row r="195" spans="1:10" ht="45" customHeight="1" x14ac:dyDescent="0.45">
      <c r="A195" s="42">
        <v>194</v>
      </c>
      <c r="B195" s="411" t="s">
        <v>688</v>
      </c>
      <c r="C195" s="72" t="s">
        <v>689</v>
      </c>
      <c r="D195" s="413" t="s">
        <v>2210</v>
      </c>
      <c r="E195" s="70" t="s">
        <v>2191</v>
      </c>
      <c r="F195" s="70" t="s">
        <v>691</v>
      </c>
      <c r="G195" s="71" t="s">
        <v>692</v>
      </c>
      <c r="H195" s="88" t="s">
        <v>154</v>
      </c>
      <c r="I195" s="66" t="s">
        <v>559</v>
      </c>
      <c r="J195" s="87" t="s">
        <v>593</v>
      </c>
    </row>
    <row r="196" spans="1:10" ht="45" customHeight="1" x14ac:dyDescent="0.45">
      <c r="A196" s="42">
        <v>195</v>
      </c>
      <c r="B196" s="411" t="s">
        <v>679</v>
      </c>
      <c r="C196" s="72" t="s">
        <v>680</v>
      </c>
      <c r="D196" s="413" t="s">
        <v>2222</v>
      </c>
      <c r="E196" s="70" t="s">
        <v>2191</v>
      </c>
      <c r="F196" s="70" t="s">
        <v>225</v>
      </c>
      <c r="G196" s="71" t="s">
        <v>386</v>
      </c>
      <c r="H196" s="88" t="s">
        <v>154</v>
      </c>
      <c r="I196" s="66" t="s">
        <v>559</v>
      </c>
      <c r="J196" s="87" t="s">
        <v>593</v>
      </c>
    </row>
    <row r="197" spans="1:10" ht="45" customHeight="1" x14ac:dyDescent="0.45">
      <c r="A197" s="42">
        <v>196</v>
      </c>
      <c r="B197" s="411" t="s">
        <v>688</v>
      </c>
      <c r="C197" s="72" t="s">
        <v>689</v>
      </c>
      <c r="D197" s="413" t="s">
        <v>2222</v>
      </c>
      <c r="E197" s="70" t="s">
        <v>2191</v>
      </c>
      <c r="F197" s="70" t="s">
        <v>691</v>
      </c>
      <c r="G197" s="71" t="s">
        <v>692</v>
      </c>
      <c r="H197" s="88" t="s">
        <v>154</v>
      </c>
      <c r="I197" s="66" t="s">
        <v>559</v>
      </c>
      <c r="J197" s="87" t="s">
        <v>593</v>
      </c>
    </row>
    <row r="198" spans="1:10" ht="45" customHeight="1" x14ac:dyDescent="0.45">
      <c r="A198" s="42">
        <v>197</v>
      </c>
      <c r="B198" s="411" t="s">
        <v>679</v>
      </c>
      <c r="C198" s="72" t="s">
        <v>680</v>
      </c>
      <c r="D198" s="413" t="s">
        <v>2234</v>
      </c>
      <c r="E198" s="70" t="s">
        <v>2191</v>
      </c>
      <c r="F198" s="70" t="s">
        <v>225</v>
      </c>
      <c r="G198" s="71" t="s">
        <v>386</v>
      </c>
      <c r="H198" s="88" t="s">
        <v>154</v>
      </c>
      <c r="I198" s="66" t="s">
        <v>559</v>
      </c>
      <c r="J198" s="87" t="s">
        <v>593</v>
      </c>
    </row>
    <row r="199" spans="1:10" ht="45" customHeight="1" x14ac:dyDescent="0.45">
      <c r="A199" s="42">
        <v>198</v>
      </c>
      <c r="B199" s="411" t="s">
        <v>688</v>
      </c>
      <c r="C199" s="72" t="s">
        <v>689</v>
      </c>
      <c r="D199" s="413" t="s">
        <v>2234</v>
      </c>
      <c r="E199" s="70" t="s">
        <v>2191</v>
      </c>
      <c r="F199" s="70" t="s">
        <v>691</v>
      </c>
      <c r="G199" s="71" t="s">
        <v>692</v>
      </c>
      <c r="H199" s="88" t="s">
        <v>154</v>
      </c>
      <c r="I199" s="66" t="s">
        <v>559</v>
      </c>
      <c r="J199" s="87" t="s">
        <v>593</v>
      </c>
    </row>
    <row r="200" spans="1:10" ht="45" customHeight="1" x14ac:dyDescent="0.45">
      <c r="A200" s="42">
        <v>199</v>
      </c>
      <c r="B200" s="411" t="s">
        <v>679</v>
      </c>
      <c r="C200" s="72" t="s">
        <v>680</v>
      </c>
      <c r="D200" s="413" t="s">
        <v>2246</v>
      </c>
      <c r="E200" s="70" t="s">
        <v>2191</v>
      </c>
      <c r="F200" s="70" t="s">
        <v>225</v>
      </c>
      <c r="G200" s="71" t="s">
        <v>386</v>
      </c>
      <c r="H200" s="88" t="s">
        <v>154</v>
      </c>
      <c r="I200" s="66" t="s">
        <v>559</v>
      </c>
      <c r="J200" s="87" t="s">
        <v>593</v>
      </c>
    </row>
    <row r="201" spans="1:10" ht="45" customHeight="1" x14ac:dyDescent="0.45">
      <c r="A201" s="42">
        <v>200</v>
      </c>
      <c r="B201" s="411" t="s">
        <v>688</v>
      </c>
      <c r="C201" s="72" t="s">
        <v>689</v>
      </c>
      <c r="D201" s="413" t="s">
        <v>2246</v>
      </c>
      <c r="E201" s="70" t="s">
        <v>2191</v>
      </c>
      <c r="F201" s="70" t="s">
        <v>691</v>
      </c>
      <c r="G201" s="71" t="s">
        <v>692</v>
      </c>
      <c r="H201" s="88" t="s">
        <v>154</v>
      </c>
      <c r="I201" s="66" t="s">
        <v>559</v>
      </c>
      <c r="J201" s="87" t="s">
        <v>593</v>
      </c>
    </row>
    <row r="202" spans="1:10" ht="45" customHeight="1" x14ac:dyDescent="0.45">
      <c r="A202" s="42">
        <v>201</v>
      </c>
      <c r="B202" s="411" t="s">
        <v>679</v>
      </c>
      <c r="C202" s="72" t="s">
        <v>680</v>
      </c>
      <c r="D202" s="413" t="s">
        <v>2258</v>
      </c>
      <c r="E202" s="70" t="s">
        <v>2191</v>
      </c>
      <c r="F202" s="70" t="s">
        <v>225</v>
      </c>
      <c r="G202" s="71" t="s">
        <v>386</v>
      </c>
      <c r="H202" s="88" t="s">
        <v>154</v>
      </c>
      <c r="I202" s="66" t="s">
        <v>559</v>
      </c>
      <c r="J202" s="87" t="s">
        <v>593</v>
      </c>
    </row>
    <row r="203" spans="1:10" ht="45" customHeight="1" x14ac:dyDescent="0.45">
      <c r="A203" s="42">
        <v>202</v>
      </c>
      <c r="B203" s="411" t="s">
        <v>688</v>
      </c>
      <c r="C203" s="72" t="s">
        <v>689</v>
      </c>
      <c r="D203" s="413" t="s">
        <v>2258</v>
      </c>
      <c r="E203" s="70" t="s">
        <v>2191</v>
      </c>
      <c r="F203" s="70" t="s">
        <v>691</v>
      </c>
      <c r="G203" s="71" t="s">
        <v>692</v>
      </c>
      <c r="H203" s="88" t="s">
        <v>154</v>
      </c>
      <c r="I203" s="66" t="s">
        <v>559</v>
      </c>
      <c r="J203" s="87" t="s">
        <v>593</v>
      </c>
    </row>
    <row r="204" spans="1:10" ht="45" customHeight="1" x14ac:dyDescent="0.45">
      <c r="A204" s="42">
        <v>203</v>
      </c>
      <c r="B204" s="411" t="s">
        <v>679</v>
      </c>
      <c r="C204" s="72" t="s">
        <v>680</v>
      </c>
      <c r="D204" s="413" t="s">
        <v>2270</v>
      </c>
      <c r="E204" s="70" t="s">
        <v>2191</v>
      </c>
      <c r="F204" s="70" t="s">
        <v>225</v>
      </c>
      <c r="G204" s="71" t="s">
        <v>386</v>
      </c>
      <c r="H204" s="88" t="s">
        <v>154</v>
      </c>
      <c r="I204" s="66" t="s">
        <v>559</v>
      </c>
      <c r="J204" s="87" t="s">
        <v>593</v>
      </c>
    </row>
    <row r="205" spans="1:10" ht="45" customHeight="1" x14ac:dyDescent="0.45">
      <c r="A205" s="42">
        <v>204</v>
      </c>
      <c r="B205" s="411" t="s">
        <v>688</v>
      </c>
      <c r="C205" s="72" t="s">
        <v>689</v>
      </c>
      <c r="D205" s="413" t="s">
        <v>2270</v>
      </c>
      <c r="E205" s="70" t="s">
        <v>2191</v>
      </c>
      <c r="F205" s="70" t="s">
        <v>691</v>
      </c>
      <c r="G205" s="71" t="s">
        <v>692</v>
      </c>
      <c r="H205" s="88" t="s">
        <v>154</v>
      </c>
      <c r="I205" s="66" t="s">
        <v>559</v>
      </c>
      <c r="J205" s="87" t="s">
        <v>593</v>
      </c>
    </row>
    <row r="206" spans="1:10" ht="45" customHeight="1" x14ac:dyDescent="0.45">
      <c r="A206" s="42">
        <v>205</v>
      </c>
      <c r="B206" s="411" t="s">
        <v>679</v>
      </c>
      <c r="C206" s="72" t="s">
        <v>680</v>
      </c>
      <c r="D206" s="413" t="s">
        <v>2282</v>
      </c>
      <c r="E206" s="70" t="s">
        <v>2191</v>
      </c>
      <c r="F206" s="70" t="s">
        <v>225</v>
      </c>
      <c r="G206" s="71" t="s">
        <v>386</v>
      </c>
      <c r="H206" s="88" t="s">
        <v>154</v>
      </c>
      <c r="I206" s="66" t="s">
        <v>559</v>
      </c>
      <c r="J206" s="87" t="s">
        <v>593</v>
      </c>
    </row>
    <row r="207" spans="1:10" ht="45" customHeight="1" x14ac:dyDescent="0.45">
      <c r="A207" s="42">
        <v>206</v>
      </c>
      <c r="B207" s="411" t="s">
        <v>688</v>
      </c>
      <c r="C207" s="72" t="s">
        <v>689</v>
      </c>
      <c r="D207" s="413" t="s">
        <v>2282</v>
      </c>
      <c r="E207" s="70" t="s">
        <v>2191</v>
      </c>
      <c r="F207" s="70" t="s">
        <v>691</v>
      </c>
      <c r="G207" s="71" t="s">
        <v>692</v>
      </c>
      <c r="H207" s="88" t="s">
        <v>154</v>
      </c>
      <c r="I207" s="66" t="s">
        <v>559</v>
      </c>
      <c r="J207" s="87" t="s">
        <v>593</v>
      </c>
    </row>
    <row r="208" spans="1:10" ht="45" customHeight="1" x14ac:dyDescent="0.45">
      <c r="A208" s="42">
        <v>207</v>
      </c>
      <c r="B208" s="411" t="s">
        <v>679</v>
      </c>
      <c r="C208" s="72" t="s">
        <v>680</v>
      </c>
      <c r="D208" s="413" t="s">
        <v>2294</v>
      </c>
      <c r="E208" s="70" t="s">
        <v>2191</v>
      </c>
      <c r="F208" s="70" t="s">
        <v>225</v>
      </c>
      <c r="G208" s="71" t="s">
        <v>386</v>
      </c>
      <c r="H208" s="88" t="s">
        <v>154</v>
      </c>
      <c r="I208" s="66" t="s">
        <v>559</v>
      </c>
      <c r="J208" s="87" t="s">
        <v>593</v>
      </c>
    </row>
    <row r="209" spans="1:10" ht="45" customHeight="1" x14ac:dyDescent="0.45">
      <c r="A209" s="42">
        <v>208</v>
      </c>
      <c r="B209" s="411" t="s">
        <v>688</v>
      </c>
      <c r="C209" s="72" t="s">
        <v>689</v>
      </c>
      <c r="D209" s="413" t="s">
        <v>2294</v>
      </c>
      <c r="E209" s="70" t="s">
        <v>2191</v>
      </c>
      <c r="F209" s="70" t="s">
        <v>691</v>
      </c>
      <c r="G209" s="71" t="s">
        <v>692</v>
      </c>
      <c r="H209" s="88" t="s">
        <v>154</v>
      </c>
      <c r="I209" s="66" t="s">
        <v>559</v>
      </c>
      <c r="J209" s="87" t="s">
        <v>593</v>
      </c>
    </row>
    <row r="210" spans="1:10" ht="45" customHeight="1" x14ac:dyDescent="0.45">
      <c r="A210" s="42">
        <v>209</v>
      </c>
      <c r="B210" s="411" t="s">
        <v>679</v>
      </c>
      <c r="C210" s="72" t="s">
        <v>680</v>
      </c>
      <c r="D210" s="413" t="s">
        <v>2306</v>
      </c>
      <c r="E210" s="70" t="s">
        <v>2191</v>
      </c>
      <c r="F210" s="70" t="s">
        <v>225</v>
      </c>
      <c r="G210" s="71" t="s">
        <v>386</v>
      </c>
      <c r="H210" s="88" t="s">
        <v>154</v>
      </c>
      <c r="I210" s="66" t="s">
        <v>559</v>
      </c>
      <c r="J210" s="87" t="s">
        <v>593</v>
      </c>
    </row>
    <row r="211" spans="1:10" ht="45" customHeight="1" x14ac:dyDescent="0.45">
      <c r="A211" s="42">
        <v>210</v>
      </c>
      <c r="B211" s="411" t="s">
        <v>688</v>
      </c>
      <c r="C211" s="72" t="s">
        <v>689</v>
      </c>
      <c r="D211" s="413" t="s">
        <v>2306</v>
      </c>
      <c r="E211" s="70" t="s">
        <v>2191</v>
      </c>
      <c r="F211" s="70" t="s">
        <v>691</v>
      </c>
      <c r="G211" s="71" t="s">
        <v>692</v>
      </c>
      <c r="H211" s="88" t="s">
        <v>154</v>
      </c>
      <c r="I211" s="66" t="s">
        <v>559</v>
      </c>
      <c r="J211" s="87" t="s">
        <v>593</v>
      </c>
    </row>
    <row r="212" spans="1:10" ht="45" customHeight="1" x14ac:dyDescent="0.45">
      <c r="A212" s="42">
        <v>211</v>
      </c>
      <c r="B212" s="411" t="s">
        <v>679</v>
      </c>
      <c r="C212" s="72" t="s">
        <v>680</v>
      </c>
      <c r="D212" s="413" t="s">
        <v>2318</v>
      </c>
      <c r="E212" s="70" t="s">
        <v>2191</v>
      </c>
      <c r="F212" s="70" t="s">
        <v>225</v>
      </c>
      <c r="G212" s="71" t="s">
        <v>386</v>
      </c>
      <c r="H212" s="88" t="s">
        <v>154</v>
      </c>
      <c r="I212" s="66" t="s">
        <v>559</v>
      </c>
      <c r="J212" s="87" t="s">
        <v>593</v>
      </c>
    </row>
    <row r="213" spans="1:10" ht="45" customHeight="1" x14ac:dyDescent="0.45">
      <c r="A213" s="42">
        <v>212</v>
      </c>
      <c r="B213" s="411" t="s">
        <v>688</v>
      </c>
      <c r="C213" s="72" t="s">
        <v>689</v>
      </c>
      <c r="D213" s="413" t="s">
        <v>2318</v>
      </c>
      <c r="E213" s="70" t="s">
        <v>2191</v>
      </c>
      <c r="F213" s="70" t="s">
        <v>691</v>
      </c>
      <c r="G213" s="71" t="s">
        <v>692</v>
      </c>
      <c r="H213" s="88" t="s">
        <v>154</v>
      </c>
      <c r="I213" s="66" t="s">
        <v>559</v>
      </c>
      <c r="J213" s="87" t="s">
        <v>593</v>
      </c>
    </row>
    <row r="214" spans="1:10" ht="45" customHeight="1" x14ac:dyDescent="0.45">
      <c r="A214" s="42">
        <v>213</v>
      </c>
      <c r="B214" s="411" t="s">
        <v>679</v>
      </c>
      <c r="C214" s="72" t="s">
        <v>680</v>
      </c>
      <c r="D214" s="413" t="s">
        <v>2330</v>
      </c>
      <c r="E214" s="70" t="s">
        <v>2191</v>
      </c>
      <c r="F214" s="70" t="s">
        <v>225</v>
      </c>
      <c r="G214" s="71" t="s">
        <v>386</v>
      </c>
      <c r="H214" s="88" t="s">
        <v>154</v>
      </c>
      <c r="I214" s="66" t="s">
        <v>559</v>
      </c>
      <c r="J214" s="87" t="s">
        <v>593</v>
      </c>
    </row>
    <row r="215" spans="1:10" ht="45" customHeight="1" x14ac:dyDescent="0.45">
      <c r="A215" s="42">
        <v>214</v>
      </c>
      <c r="B215" s="411" t="s">
        <v>688</v>
      </c>
      <c r="C215" s="72" t="s">
        <v>689</v>
      </c>
      <c r="D215" s="413" t="s">
        <v>2330</v>
      </c>
      <c r="E215" s="70" t="s">
        <v>2191</v>
      </c>
      <c r="F215" s="70" t="s">
        <v>691</v>
      </c>
      <c r="G215" s="71" t="s">
        <v>692</v>
      </c>
      <c r="H215" s="88" t="s">
        <v>154</v>
      </c>
      <c r="I215" s="66" t="s">
        <v>559</v>
      </c>
      <c r="J215" s="87" t="s">
        <v>593</v>
      </c>
    </row>
    <row r="216" spans="1:10" ht="45" customHeight="1" x14ac:dyDescent="0.45">
      <c r="A216" s="42">
        <v>215</v>
      </c>
      <c r="B216" s="411" t="s">
        <v>679</v>
      </c>
      <c r="C216" s="72" t="s">
        <v>680</v>
      </c>
      <c r="D216" s="413" t="s">
        <v>2342</v>
      </c>
      <c r="E216" s="70" t="s">
        <v>2191</v>
      </c>
      <c r="F216" s="70" t="s">
        <v>225</v>
      </c>
      <c r="G216" s="71" t="s">
        <v>386</v>
      </c>
      <c r="H216" s="88" t="s">
        <v>154</v>
      </c>
      <c r="I216" s="66" t="s">
        <v>559</v>
      </c>
      <c r="J216" s="87" t="s">
        <v>593</v>
      </c>
    </row>
    <row r="217" spans="1:10" ht="45" customHeight="1" x14ac:dyDescent="0.45">
      <c r="A217" s="42">
        <v>216</v>
      </c>
      <c r="B217" s="411" t="s">
        <v>688</v>
      </c>
      <c r="C217" s="72" t="s">
        <v>689</v>
      </c>
      <c r="D217" s="413" t="s">
        <v>2342</v>
      </c>
      <c r="E217" s="70" t="s">
        <v>2191</v>
      </c>
      <c r="F217" s="70" t="s">
        <v>691</v>
      </c>
      <c r="G217" s="71" t="s">
        <v>692</v>
      </c>
      <c r="H217" s="88" t="s">
        <v>154</v>
      </c>
      <c r="I217" s="66" t="s">
        <v>559</v>
      </c>
      <c r="J217" s="87" t="s">
        <v>593</v>
      </c>
    </row>
    <row r="218" spans="1:10" ht="45" customHeight="1" x14ac:dyDescent="0.45">
      <c r="A218" s="42">
        <v>217</v>
      </c>
      <c r="B218" s="411" t="s">
        <v>679</v>
      </c>
      <c r="C218" s="72" t="s">
        <v>680</v>
      </c>
      <c r="D218" s="413" t="s">
        <v>2354</v>
      </c>
      <c r="E218" s="70" t="s">
        <v>2191</v>
      </c>
      <c r="F218" s="70" t="s">
        <v>225</v>
      </c>
      <c r="G218" s="71" t="s">
        <v>386</v>
      </c>
      <c r="H218" s="88" t="s">
        <v>154</v>
      </c>
      <c r="I218" s="66" t="s">
        <v>559</v>
      </c>
      <c r="J218" s="87" t="s">
        <v>593</v>
      </c>
    </row>
    <row r="219" spans="1:10" ht="45" customHeight="1" x14ac:dyDescent="0.45">
      <c r="A219" s="42">
        <v>218</v>
      </c>
      <c r="B219" s="411" t="s">
        <v>688</v>
      </c>
      <c r="C219" s="72" t="s">
        <v>689</v>
      </c>
      <c r="D219" s="413" t="s">
        <v>2354</v>
      </c>
      <c r="E219" s="70" t="s">
        <v>2191</v>
      </c>
      <c r="F219" s="70" t="s">
        <v>691</v>
      </c>
      <c r="G219" s="71" t="s">
        <v>692</v>
      </c>
      <c r="H219" s="88" t="s">
        <v>154</v>
      </c>
      <c r="I219" s="66" t="s">
        <v>559</v>
      </c>
      <c r="J219" s="87" t="s">
        <v>593</v>
      </c>
    </row>
    <row r="220" spans="1:10" ht="45" customHeight="1" x14ac:dyDescent="0.45">
      <c r="A220" s="42">
        <v>219</v>
      </c>
      <c r="B220" s="18" t="s">
        <v>247</v>
      </c>
      <c r="C220" s="20" t="s">
        <v>248</v>
      </c>
      <c r="D220" s="37" t="s">
        <v>54</v>
      </c>
      <c r="E220" s="19" t="s">
        <v>56</v>
      </c>
      <c r="F220" s="19" t="s">
        <v>247</v>
      </c>
      <c r="G220" s="21" t="s">
        <v>251</v>
      </c>
      <c r="H220" s="63" t="s">
        <v>253</v>
      </c>
      <c r="I220" s="22" t="s">
        <v>64</v>
      </c>
      <c r="J220" s="24" t="s">
        <v>254</v>
      </c>
    </row>
    <row r="221" spans="1:10" ht="45" customHeight="1" x14ac:dyDescent="0.45">
      <c r="A221" s="42">
        <v>220</v>
      </c>
      <c r="B221" s="18" t="s">
        <v>359</v>
      </c>
      <c r="C221" s="20" t="s">
        <v>360</v>
      </c>
      <c r="D221" s="37" t="s">
        <v>54</v>
      </c>
      <c r="E221" s="19" t="s">
        <v>56</v>
      </c>
      <c r="F221" s="19" t="s">
        <v>337</v>
      </c>
      <c r="G221" s="21" t="s">
        <v>310</v>
      </c>
      <c r="H221" s="63" t="s">
        <v>253</v>
      </c>
      <c r="I221" s="22" t="s">
        <v>64</v>
      </c>
      <c r="J221" s="24" t="s">
        <v>363</v>
      </c>
    </row>
    <row r="222" spans="1:10" ht="45" customHeight="1" x14ac:dyDescent="0.45">
      <c r="A222" s="42">
        <v>221</v>
      </c>
      <c r="B222" s="18" t="s">
        <v>502</v>
      </c>
      <c r="C222" s="20" t="s">
        <v>503</v>
      </c>
      <c r="D222" s="37" t="s">
        <v>380</v>
      </c>
      <c r="E222" s="19" t="s">
        <v>56</v>
      </c>
      <c r="F222" s="19" t="s">
        <v>505</v>
      </c>
      <c r="G222" s="21" t="s">
        <v>310</v>
      </c>
      <c r="H222" s="63" t="s">
        <v>253</v>
      </c>
      <c r="I222" s="61" t="s">
        <v>373</v>
      </c>
      <c r="J222" s="24" t="s">
        <v>388</v>
      </c>
    </row>
    <row r="223" spans="1:10" ht="45" customHeight="1" x14ac:dyDescent="0.45">
      <c r="A223" s="42">
        <v>222</v>
      </c>
      <c r="B223" s="18" t="s">
        <v>514</v>
      </c>
      <c r="C223" s="20" t="s">
        <v>515</v>
      </c>
      <c r="D223" s="37" t="s">
        <v>380</v>
      </c>
      <c r="E223" s="19" t="s">
        <v>56</v>
      </c>
      <c r="F223" s="19" t="s">
        <v>464</v>
      </c>
      <c r="G223" s="21" t="s">
        <v>310</v>
      </c>
      <c r="H223" s="63" t="s">
        <v>253</v>
      </c>
      <c r="I223" s="61" t="s">
        <v>373</v>
      </c>
      <c r="J223" s="24" t="s">
        <v>388</v>
      </c>
    </row>
    <row r="224" spans="1:10" ht="45" customHeight="1" x14ac:dyDescent="0.45">
      <c r="A224" s="42">
        <v>223</v>
      </c>
      <c r="B224" s="18" t="s">
        <v>522</v>
      </c>
      <c r="C224" s="20" t="s">
        <v>523</v>
      </c>
      <c r="D224" s="37" t="s">
        <v>380</v>
      </c>
      <c r="E224" s="19" t="s">
        <v>56</v>
      </c>
      <c r="F224" s="19" t="s">
        <v>525</v>
      </c>
      <c r="G224" s="21" t="s">
        <v>310</v>
      </c>
      <c r="H224" s="63" t="s">
        <v>253</v>
      </c>
      <c r="I224" s="61" t="s">
        <v>373</v>
      </c>
      <c r="J224" s="24" t="s">
        <v>388</v>
      </c>
    </row>
    <row r="225" spans="1:10" ht="45" customHeight="1" x14ac:dyDescent="0.45">
      <c r="A225" s="42">
        <v>224</v>
      </c>
      <c r="B225" s="85" t="s">
        <v>1066</v>
      </c>
      <c r="C225" s="72" t="s">
        <v>1067</v>
      </c>
      <c r="D225" s="50" t="s">
        <v>1018</v>
      </c>
      <c r="E225" s="70" t="s">
        <v>571</v>
      </c>
      <c r="F225" s="70" t="s">
        <v>1069</v>
      </c>
      <c r="G225" s="71" t="s">
        <v>310</v>
      </c>
      <c r="H225" s="93" t="s">
        <v>253</v>
      </c>
      <c r="I225" s="22" t="s">
        <v>64</v>
      </c>
      <c r="J225" s="87" t="s">
        <v>1071</v>
      </c>
    </row>
    <row r="226" spans="1:10" ht="45" customHeight="1" x14ac:dyDescent="0.45">
      <c r="A226" s="42">
        <v>225</v>
      </c>
      <c r="B226" s="85" t="s">
        <v>1072</v>
      </c>
      <c r="C226" s="72" t="s">
        <v>1073</v>
      </c>
      <c r="D226" s="50" t="s">
        <v>1018</v>
      </c>
      <c r="E226" s="70" t="s">
        <v>571</v>
      </c>
      <c r="F226" s="70" t="s">
        <v>1075</v>
      </c>
      <c r="G226" s="71" t="s">
        <v>310</v>
      </c>
      <c r="H226" s="93" t="s">
        <v>253</v>
      </c>
      <c r="I226" s="22" t="s">
        <v>64</v>
      </c>
      <c r="J226" s="87" t="s">
        <v>1026</v>
      </c>
    </row>
    <row r="227" spans="1:10" ht="45" customHeight="1" x14ac:dyDescent="0.45">
      <c r="A227" s="42">
        <v>226</v>
      </c>
      <c r="B227" s="85" t="s">
        <v>1077</v>
      </c>
      <c r="C227" s="72" t="s">
        <v>1078</v>
      </c>
      <c r="D227" s="50" t="s">
        <v>1018</v>
      </c>
      <c r="E227" s="70" t="s">
        <v>571</v>
      </c>
      <c r="F227" s="70" t="s">
        <v>1023</v>
      </c>
      <c r="G227" s="71" t="s">
        <v>310</v>
      </c>
      <c r="H227" s="93" t="s">
        <v>253</v>
      </c>
      <c r="I227" s="22" t="s">
        <v>64</v>
      </c>
      <c r="J227" s="87" t="s">
        <v>1026</v>
      </c>
    </row>
    <row r="228" spans="1:10" ht="45" customHeight="1" x14ac:dyDescent="0.45">
      <c r="A228" s="42">
        <v>227</v>
      </c>
      <c r="B228" s="85" t="s">
        <v>557</v>
      </c>
      <c r="C228" s="72" t="s">
        <v>58</v>
      </c>
      <c r="D228" s="50" t="s">
        <v>1018</v>
      </c>
      <c r="E228" s="70" t="s">
        <v>571</v>
      </c>
      <c r="F228" s="70" t="s">
        <v>57</v>
      </c>
      <c r="G228" s="71" t="s">
        <v>62</v>
      </c>
      <c r="H228" s="93" t="s">
        <v>253</v>
      </c>
      <c r="I228" s="66" t="s">
        <v>559</v>
      </c>
      <c r="J228" s="87" t="s">
        <v>196</v>
      </c>
    </row>
    <row r="229" spans="1:10" ht="45" customHeight="1" x14ac:dyDescent="0.45">
      <c r="A229" s="42">
        <v>228</v>
      </c>
      <c r="B229" s="85" t="s">
        <v>382</v>
      </c>
      <c r="C229" s="72" t="s">
        <v>383</v>
      </c>
      <c r="D229" s="50" t="s">
        <v>1018</v>
      </c>
      <c r="E229" s="70" t="s">
        <v>571</v>
      </c>
      <c r="F229" s="70" t="s">
        <v>765</v>
      </c>
      <c r="G229" s="71" t="s">
        <v>386</v>
      </c>
      <c r="H229" s="93" t="s">
        <v>253</v>
      </c>
      <c r="I229" s="66" t="s">
        <v>559</v>
      </c>
      <c r="J229" s="87" t="s">
        <v>540</v>
      </c>
    </row>
    <row r="230" spans="1:10" ht="45" customHeight="1" x14ac:dyDescent="0.45">
      <c r="A230" s="42">
        <v>229</v>
      </c>
      <c r="B230" s="85" t="s">
        <v>1131</v>
      </c>
      <c r="C230" s="72" t="s">
        <v>1132</v>
      </c>
      <c r="D230" s="50" t="s">
        <v>1083</v>
      </c>
      <c r="E230" s="70" t="s">
        <v>571</v>
      </c>
      <c r="F230" s="70" t="s">
        <v>1123</v>
      </c>
      <c r="G230" s="71" t="s">
        <v>1134</v>
      </c>
      <c r="H230" s="93" t="s">
        <v>253</v>
      </c>
      <c r="I230" s="22" t="s">
        <v>64</v>
      </c>
      <c r="J230" s="87" t="s">
        <v>1091</v>
      </c>
    </row>
    <row r="231" spans="1:10" ht="45" customHeight="1" x14ac:dyDescent="0.45">
      <c r="A231" s="42">
        <v>230</v>
      </c>
      <c r="B231" s="85" t="s">
        <v>1140</v>
      </c>
      <c r="C231" s="72" t="s">
        <v>1141</v>
      </c>
      <c r="D231" s="50" t="s">
        <v>1083</v>
      </c>
      <c r="E231" s="70" t="s">
        <v>571</v>
      </c>
      <c r="F231" s="70" t="s">
        <v>1023</v>
      </c>
      <c r="G231" s="71" t="s">
        <v>743</v>
      </c>
      <c r="H231" s="93" t="s">
        <v>253</v>
      </c>
      <c r="I231" s="22" t="s">
        <v>64</v>
      </c>
      <c r="J231" s="87" t="s">
        <v>1091</v>
      </c>
    </row>
    <row r="232" spans="1:10" ht="45" customHeight="1" x14ac:dyDescent="0.45">
      <c r="A232" s="42">
        <v>231</v>
      </c>
      <c r="B232" s="85" t="s">
        <v>1145</v>
      </c>
      <c r="C232" s="72" t="s">
        <v>1146</v>
      </c>
      <c r="D232" s="50" t="s">
        <v>1083</v>
      </c>
      <c r="E232" s="70" t="s">
        <v>571</v>
      </c>
      <c r="F232" s="70" t="s">
        <v>1148</v>
      </c>
      <c r="G232" s="71" t="s">
        <v>755</v>
      </c>
      <c r="H232" s="93" t="s">
        <v>253</v>
      </c>
      <c r="I232" s="22" t="s">
        <v>64</v>
      </c>
      <c r="J232" s="87" t="s">
        <v>1091</v>
      </c>
    </row>
    <row r="233" spans="1:10" ht="45" customHeight="1" x14ac:dyDescent="0.45">
      <c r="A233" s="42">
        <v>232</v>
      </c>
      <c r="B233" s="85" t="s">
        <v>1229</v>
      </c>
      <c r="C233" s="72" t="s">
        <v>1230</v>
      </c>
      <c r="D233" s="50" t="s">
        <v>1196</v>
      </c>
      <c r="E233" s="70" t="s">
        <v>571</v>
      </c>
      <c r="F233" s="70" t="s">
        <v>263</v>
      </c>
      <c r="G233" s="71" t="s">
        <v>310</v>
      </c>
      <c r="H233" s="93" t="s">
        <v>253</v>
      </c>
      <c r="I233" s="64" t="s">
        <v>538</v>
      </c>
      <c r="J233" s="87" t="s">
        <v>1204</v>
      </c>
    </row>
    <row r="234" spans="1:10" ht="45" customHeight="1" x14ac:dyDescent="0.45">
      <c r="A234" s="42">
        <v>233</v>
      </c>
      <c r="B234" s="97" t="s">
        <v>1152</v>
      </c>
      <c r="C234" s="99" t="s">
        <v>1289</v>
      </c>
      <c r="D234" s="415" t="s">
        <v>1286</v>
      </c>
      <c r="E234" s="98" t="s">
        <v>1288</v>
      </c>
      <c r="F234" s="98" t="s">
        <v>1155</v>
      </c>
      <c r="G234" s="100" t="s">
        <v>1156</v>
      </c>
      <c r="H234" s="101" t="s">
        <v>253</v>
      </c>
      <c r="I234" s="22" t="s">
        <v>64</v>
      </c>
      <c r="J234" s="102" t="s">
        <v>1292</v>
      </c>
    </row>
    <row r="235" spans="1:10" ht="45" customHeight="1" x14ac:dyDescent="0.45">
      <c r="A235" s="42">
        <v>234</v>
      </c>
      <c r="B235" s="97" t="s">
        <v>1318</v>
      </c>
      <c r="C235" s="99" t="s">
        <v>1319</v>
      </c>
      <c r="D235" s="415" t="s">
        <v>1286</v>
      </c>
      <c r="E235" s="98" t="s">
        <v>1288</v>
      </c>
      <c r="F235" s="98" t="s">
        <v>1148</v>
      </c>
      <c r="G235" s="100" t="s">
        <v>194</v>
      </c>
      <c r="H235" s="101" t="s">
        <v>253</v>
      </c>
      <c r="I235" s="22" t="s">
        <v>64</v>
      </c>
      <c r="J235" s="102" t="s">
        <v>1158</v>
      </c>
    </row>
    <row r="236" spans="1:10" ht="45" customHeight="1" x14ac:dyDescent="0.45">
      <c r="A236" s="42">
        <v>235</v>
      </c>
      <c r="B236" s="97" t="s">
        <v>1327</v>
      </c>
      <c r="C236" s="99" t="s">
        <v>1328</v>
      </c>
      <c r="D236" s="415" t="s">
        <v>1286</v>
      </c>
      <c r="E236" s="98" t="s">
        <v>1288</v>
      </c>
      <c r="F236" s="98" t="s">
        <v>912</v>
      </c>
      <c r="G236" s="100" t="s">
        <v>1330</v>
      </c>
      <c r="H236" s="101" t="s">
        <v>253</v>
      </c>
      <c r="I236" s="22" t="s">
        <v>64</v>
      </c>
      <c r="J236" s="102" t="s">
        <v>1158</v>
      </c>
    </row>
    <row r="237" spans="1:10" ht="45" customHeight="1" x14ac:dyDescent="0.45">
      <c r="A237" s="42">
        <v>236</v>
      </c>
      <c r="B237" s="97" t="s">
        <v>1332</v>
      </c>
      <c r="C237" s="99" t="s">
        <v>1333</v>
      </c>
      <c r="D237" s="415" t="s">
        <v>1286</v>
      </c>
      <c r="E237" s="98" t="s">
        <v>1288</v>
      </c>
      <c r="F237" s="98" t="s">
        <v>1075</v>
      </c>
      <c r="G237" s="100" t="s">
        <v>310</v>
      </c>
      <c r="H237" s="101" t="s">
        <v>253</v>
      </c>
      <c r="I237" s="22" t="s">
        <v>64</v>
      </c>
      <c r="J237" s="102" t="s">
        <v>1158</v>
      </c>
    </row>
    <row r="238" spans="1:10" ht="45" customHeight="1" x14ac:dyDescent="0.45">
      <c r="A238" s="42">
        <v>237</v>
      </c>
      <c r="B238" s="97" t="s">
        <v>557</v>
      </c>
      <c r="C238" s="99" t="s">
        <v>58</v>
      </c>
      <c r="D238" s="415" t="s">
        <v>1286</v>
      </c>
      <c r="E238" s="98" t="s">
        <v>1288</v>
      </c>
      <c r="F238" s="98" t="s">
        <v>57</v>
      </c>
      <c r="G238" s="100" t="s">
        <v>62</v>
      </c>
      <c r="H238" s="101" t="s">
        <v>253</v>
      </c>
      <c r="I238" s="66" t="s">
        <v>559</v>
      </c>
      <c r="J238" s="102" t="s">
        <v>196</v>
      </c>
    </row>
    <row r="239" spans="1:10" ht="45" customHeight="1" x14ac:dyDescent="0.45">
      <c r="A239" s="42">
        <v>238</v>
      </c>
      <c r="B239" s="97" t="s">
        <v>382</v>
      </c>
      <c r="C239" s="99" t="s">
        <v>383</v>
      </c>
      <c r="D239" s="415" t="s">
        <v>1286</v>
      </c>
      <c r="E239" s="98" t="s">
        <v>1288</v>
      </c>
      <c r="F239" s="98" t="s">
        <v>765</v>
      </c>
      <c r="G239" s="100" t="s">
        <v>386</v>
      </c>
      <c r="H239" s="101" t="s">
        <v>253</v>
      </c>
      <c r="I239" s="66" t="s">
        <v>559</v>
      </c>
      <c r="J239" s="102" t="s">
        <v>540</v>
      </c>
    </row>
    <row r="240" spans="1:10" ht="45" customHeight="1" x14ac:dyDescent="0.45">
      <c r="A240" s="42">
        <v>239</v>
      </c>
      <c r="B240" s="120" t="s">
        <v>1424</v>
      </c>
      <c r="C240" s="122" t="s">
        <v>1425</v>
      </c>
      <c r="D240" s="125" t="s">
        <v>1340</v>
      </c>
      <c r="E240" s="121" t="s">
        <v>1342</v>
      </c>
      <c r="F240" s="121" t="s">
        <v>1023</v>
      </c>
      <c r="G240" s="123" t="s">
        <v>310</v>
      </c>
      <c r="H240" s="140" t="s">
        <v>253</v>
      </c>
      <c r="I240" s="22" t="s">
        <v>64</v>
      </c>
      <c r="J240" s="125" t="s">
        <v>1348</v>
      </c>
    </row>
    <row r="241" spans="1:10" ht="45" customHeight="1" x14ac:dyDescent="0.45">
      <c r="A241" s="42">
        <v>240</v>
      </c>
      <c r="B241" s="120" t="s">
        <v>1443</v>
      </c>
      <c r="C241" s="122" t="s">
        <v>1444</v>
      </c>
      <c r="D241" s="125" t="s">
        <v>1429</v>
      </c>
      <c r="E241" s="121" t="s">
        <v>1342</v>
      </c>
      <c r="F241" s="121" t="s">
        <v>912</v>
      </c>
      <c r="G241" s="123" t="s">
        <v>1446</v>
      </c>
      <c r="H241" s="140" t="s">
        <v>253</v>
      </c>
      <c r="I241" s="22" t="s">
        <v>64</v>
      </c>
      <c r="J241" s="125" t="s">
        <v>1435</v>
      </c>
    </row>
    <row r="242" spans="1:10" ht="45" customHeight="1" x14ac:dyDescent="0.45">
      <c r="A242" s="42">
        <v>241</v>
      </c>
      <c r="B242" s="120" t="s">
        <v>1448</v>
      </c>
      <c r="C242" s="122" t="s">
        <v>1449</v>
      </c>
      <c r="D242" s="125" t="s">
        <v>1429</v>
      </c>
      <c r="E242" s="121" t="s">
        <v>1342</v>
      </c>
      <c r="F242" s="121" t="s">
        <v>250</v>
      </c>
      <c r="G242" s="123" t="s">
        <v>1451</v>
      </c>
      <c r="H242" s="140" t="s">
        <v>253</v>
      </c>
      <c r="I242" s="22" t="s">
        <v>64</v>
      </c>
      <c r="J242" s="125" t="s">
        <v>1435</v>
      </c>
    </row>
    <row r="243" spans="1:10" ht="45" customHeight="1" x14ac:dyDescent="0.45">
      <c r="A243" s="42">
        <v>242</v>
      </c>
      <c r="B243" s="120" t="s">
        <v>1454</v>
      </c>
      <c r="C243" s="122" t="s">
        <v>1455</v>
      </c>
      <c r="D243" s="125" t="s">
        <v>1429</v>
      </c>
      <c r="E243" s="121" t="s">
        <v>1342</v>
      </c>
      <c r="F243" s="121" t="s">
        <v>1148</v>
      </c>
      <c r="G243" s="123" t="s">
        <v>226</v>
      </c>
      <c r="H243" s="140" t="s">
        <v>253</v>
      </c>
      <c r="I243" s="22" t="s">
        <v>64</v>
      </c>
      <c r="J243" s="125" t="s">
        <v>1435</v>
      </c>
    </row>
    <row r="244" spans="1:10" ht="45" customHeight="1" x14ac:dyDescent="0.45">
      <c r="A244" s="42">
        <v>243</v>
      </c>
      <c r="B244" s="120" t="s">
        <v>1459</v>
      </c>
      <c r="C244" s="122" t="s">
        <v>1460</v>
      </c>
      <c r="D244" s="125" t="s">
        <v>1429</v>
      </c>
      <c r="E244" s="121" t="s">
        <v>1342</v>
      </c>
      <c r="F244" s="121" t="s">
        <v>109</v>
      </c>
      <c r="G244" s="123" t="s">
        <v>310</v>
      </c>
      <c r="H244" s="140" t="s">
        <v>253</v>
      </c>
      <c r="I244" s="22" t="s">
        <v>64</v>
      </c>
      <c r="J244" s="125" t="s">
        <v>1435</v>
      </c>
    </row>
    <row r="245" spans="1:10" ht="45" customHeight="1" x14ac:dyDescent="0.45">
      <c r="A245" s="42">
        <v>244</v>
      </c>
      <c r="B245" s="144" t="s">
        <v>1468</v>
      </c>
      <c r="C245" s="146" t="s">
        <v>1469</v>
      </c>
      <c r="D245" s="417" t="s">
        <v>1465</v>
      </c>
      <c r="E245" s="145" t="s">
        <v>1467</v>
      </c>
      <c r="F245" s="145" t="s">
        <v>1471</v>
      </c>
      <c r="G245" s="147" t="s">
        <v>465</v>
      </c>
      <c r="H245" s="148" t="s">
        <v>253</v>
      </c>
      <c r="I245" s="22" t="s">
        <v>64</v>
      </c>
      <c r="J245" s="149" t="s">
        <v>1473</v>
      </c>
    </row>
    <row r="246" spans="1:10" ht="45" customHeight="1" x14ac:dyDescent="0.45">
      <c r="A246" s="42">
        <v>245</v>
      </c>
      <c r="B246" s="144" t="s">
        <v>1481</v>
      </c>
      <c r="C246" s="146" t="s">
        <v>1482</v>
      </c>
      <c r="D246" s="417" t="s">
        <v>1465</v>
      </c>
      <c r="E246" s="145" t="s">
        <v>1467</v>
      </c>
      <c r="F246" s="145" t="s">
        <v>1484</v>
      </c>
      <c r="G246" s="147" t="s">
        <v>1451</v>
      </c>
      <c r="H246" s="148" t="s">
        <v>253</v>
      </c>
      <c r="I246" s="22" t="s">
        <v>64</v>
      </c>
      <c r="J246" s="149" t="s">
        <v>1473</v>
      </c>
    </row>
    <row r="247" spans="1:10" ht="45" customHeight="1" x14ac:dyDescent="0.45">
      <c r="A247" s="42">
        <v>246</v>
      </c>
      <c r="B247" s="144" t="s">
        <v>1503</v>
      </c>
      <c r="C247" s="146" t="s">
        <v>1504</v>
      </c>
      <c r="D247" s="417" t="s">
        <v>1465</v>
      </c>
      <c r="E247" s="145" t="s">
        <v>1467</v>
      </c>
      <c r="F247" s="145" t="s">
        <v>912</v>
      </c>
      <c r="G247" s="147" t="s">
        <v>310</v>
      </c>
      <c r="H247" s="148" t="s">
        <v>253</v>
      </c>
      <c r="I247" s="22" t="s">
        <v>64</v>
      </c>
      <c r="J247" s="149" t="s">
        <v>1473</v>
      </c>
    </row>
    <row r="248" spans="1:10" ht="45" customHeight="1" x14ac:dyDescent="0.45">
      <c r="A248" s="42">
        <v>247</v>
      </c>
      <c r="B248" s="144" t="s">
        <v>557</v>
      </c>
      <c r="C248" s="146" t="s">
        <v>58</v>
      </c>
      <c r="D248" s="417" t="s">
        <v>1465</v>
      </c>
      <c r="E248" s="145" t="s">
        <v>1467</v>
      </c>
      <c r="F248" s="145" t="s">
        <v>57</v>
      </c>
      <c r="G248" s="147" t="s">
        <v>62</v>
      </c>
      <c r="H248" s="148" t="s">
        <v>253</v>
      </c>
      <c r="I248" s="66" t="s">
        <v>559</v>
      </c>
      <c r="J248" s="149" t="s">
        <v>196</v>
      </c>
    </row>
    <row r="249" spans="1:10" ht="45" customHeight="1" x14ac:dyDescent="0.45">
      <c r="A249" s="42">
        <v>248</v>
      </c>
      <c r="B249" s="167" t="s">
        <v>1547</v>
      </c>
      <c r="C249" s="169" t="s">
        <v>1548</v>
      </c>
      <c r="D249" s="414" t="s">
        <v>1510</v>
      </c>
      <c r="E249" s="168" t="s">
        <v>1512</v>
      </c>
      <c r="F249" s="168" t="s">
        <v>1075</v>
      </c>
      <c r="G249" s="170" t="s">
        <v>310</v>
      </c>
      <c r="H249" s="186" t="s">
        <v>253</v>
      </c>
      <c r="I249" s="22" t="s">
        <v>64</v>
      </c>
      <c r="J249" s="172" t="s">
        <v>1520</v>
      </c>
    </row>
    <row r="250" spans="1:10" ht="45" customHeight="1" x14ac:dyDescent="0.45">
      <c r="A250" s="42">
        <v>249</v>
      </c>
      <c r="B250" s="205" t="s">
        <v>1563</v>
      </c>
      <c r="C250" s="192" t="s">
        <v>1564</v>
      </c>
      <c r="D250" s="26" t="s">
        <v>1560</v>
      </c>
      <c r="E250" s="190" t="s">
        <v>1562</v>
      </c>
      <c r="F250" s="190" t="s">
        <v>1023</v>
      </c>
      <c r="G250" s="191" t="s">
        <v>1566</v>
      </c>
      <c r="H250" s="208" t="s">
        <v>253</v>
      </c>
      <c r="I250" s="22" t="s">
        <v>64</v>
      </c>
      <c r="J250" s="207" t="s">
        <v>1568</v>
      </c>
    </row>
    <row r="251" spans="1:10" ht="45" customHeight="1" x14ac:dyDescent="0.45">
      <c r="A251" s="42">
        <v>250</v>
      </c>
      <c r="B251" s="205" t="s">
        <v>1619</v>
      </c>
      <c r="C251" s="192" t="s">
        <v>1620</v>
      </c>
      <c r="D251" s="26" t="s">
        <v>1560</v>
      </c>
      <c r="E251" s="190" t="s">
        <v>1562</v>
      </c>
      <c r="F251" s="190" t="s">
        <v>1499</v>
      </c>
      <c r="G251" s="191" t="s">
        <v>310</v>
      </c>
      <c r="H251" s="208" t="s">
        <v>253</v>
      </c>
      <c r="I251" s="22" t="s">
        <v>64</v>
      </c>
      <c r="J251" s="207" t="s">
        <v>1568</v>
      </c>
    </row>
    <row r="252" spans="1:10" ht="45" customHeight="1" x14ac:dyDescent="0.45">
      <c r="A252" s="42">
        <v>251</v>
      </c>
      <c r="B252" s="205" t="s">
        <v>1626</v>
      </c>
      <c r="C252" s="192" t="s">
        <v>1627</v>
      </c>
      <c r="D252" s="26" t="s">
        <v>1624</v>
      </c>
      <c r="E252" s="190" t="s">
        <v>1562</v>
      </c>
      <c r="F252" s="190" t="s">
        <v>1629</v>
      </c>
      <c r="G252" s="191" t="s">
        <v>310</v>
      </c>
      <c r="H252" s="208" t="s">
        <v>253</v>
      </c>
      <c r="I252" s="22" t="s">
        <v>64</v>
      </c>
      <c r="J252" s="207" t="s">
        <v>1633</v>
      </c>
    </row>
    <row r="253" spans="1:10" ht="45" customHeight="1" x14ac:dyDescent="0.45">
      <c r="A253" s="42">
        <v>252</v>
      </c>
      <c r="B253" s="205" t="s">
        <v>1636</v>
      </c>
      <c r="C253" s="192" t="s">
        <v>1637</v>
      </c>
      <c r="D253" s="26" t="s">
        <v>1624</v>
      </c>
      <c r="E253" s="190" t="s">
        <v>1562</v>
      </c>
      <c r="F253" s="190" t="s">
        <v>1639</v>
      </c>
      <c r="G253" s="191" t="s">
        <v>310</v>
      </c>
      <c r="H253" s="208" t="s">
        <v>253</v>
      </c>
      <c r="I253" s="22" t="s">
        <v>64</v>
      </c>
      <c r="J253" s="207" t="s">
        <v>1633</v>
      </c>
    </row>
    <row r="254" spans="1:10" ht="45" customHeight="1" x14ac:dyDescent="0.45">
      <c r="A254" s="42">
        <v>253</v>
      </c>
      <c r="B254" s="205" t="s">
        <v>557</v>
      </c>
      <c r="C254" s="192" t="s">
        <v>58</v>
      </c>
      <c r="D254" s="26" t="s">
        <v>1624</v>
      </c>
      <c r="E254" s="190" t="s">
        <v>1562</v>
      </c>
      <c r="F254" s="190" t="s">
        <v>57</v>
      </c>
      <c r="G254" s="191" t="s">
        <v>62</v>
      </c>
      <c r="H254" s="208" t="s">
        <v>253</v>
      </c>
      <c r="I254" s="66" t="s">
        <v>559</v>
      </c>
      <c r="J254" s="207" t="s">
        <v>196</v>
      </c>
    </row>
    <row r="255" spans="1:10" ht="45" customHeight="1" x14ac:dyDescent="0.45">
      <c r="A255" s="42">
        <v>254</v>
      </c>
      <c r="B255" s="205" t="s">
        <v>1653</v>
      </c>
      <c r="C255" s="192" t="s">
        <v>1654</v>
      </c>
      <c r="D255" s="26" t="s">
        <v>1651</v>
      </c>
      <c r="E255" s="190" t="s">
        <v>1562</v>
      </c>
      <c r="F255" s="190" t="s">
        <v>1656</v>
      </c>
      <c r="G255" s="191" t="s">
        <v>310</v>
      </c>
      <c r="H255" s="208" t="s">
        <v>253</v>
      </c>
      <c r="I255" s="64" t="s">
        <v>538</v>
      </c>
      <c r="J255" s="207" t="s">
        <v>1658</v>
      </c>
    </row>
    <row r="256" spans="1:10" ht="45" customHeight="1" x14ac:dyDescent="0.45">
      <c r="A256" s="42">
        <v>255</v>
      </c>
      <c r="B256" s="205" t="s">
        <v>1661</v>
      </c>
      <c r="C256" s="192" t="s">
        <v>1662</v>
      </c>
      <c r="D256" s="26" t="s">
        <v>1651</v>
      </c>
      <c r="E256" s="190" t="s">
        <v>1562</v>
      </c>
      <c r="F256" s="190" t="s">
        <v>1664</v>
      </c>
      <c r="G256" s="191" t="s">
        <v>310</v>
      </c>
      <c r="H256" s="208" t="s">
        <v>253</v>
      </c>
      <c r="I256" s="64" t="s">
        <v>538</v>
      </c>
      <c r="J256" s="207" t="s">
        <v>1666</v>
      </c>
    </row>
    <row r="257" spans="1:10" ht="45" customHeight="1" x14ac:dyDescent="0.45">
      <c r="A257" s="42">
        <v>256</v>
      </c>
      <c r="B257" s="205" t="s">
        <v>1668</v>
      </c>
      <c r="C257" s="192" t="s">
        <v>1669</v>
      </c>
      <c r="D257" s="26" t="s">
        <v>1651</v>
      </c>
      <c r="E257" s="190" t="s">
        <v>1562</v>
      </c>
      <c r="F257" s="190" t="s">
        <v>886</v>
      </c>
      <c r="G257" s="191" t="s">
        <v>310</v>
      </c>
      <c r="H257" s="208" t="s">
        <v>253</v>
      </c>
      <c r="I257" s="22" t="s">
        <v>64</v>
      </c>
      <c r="J257" s="207" t="s">
        <v>1658</v>
      </c>
    </row>
    <row r="258" spans="1:10" ht="45" customHeight="1" x14ac:dyDescent="0.45">
      <c r="A258" s="42">
        <v>257</v>
      </c>
      <c r="B258" s="205" t="s">
        <v>557</v>
      </c>
      <c r="C258" s="192" t="s">
        <v>58</v>
      </c>
      <c r="D258" s="26" t="s">
        <v>1651</v>
      </c>
      <c r="E258" s="190" t="s">
        <v>1562</v>
      </c>
      <c r="F258" s="190" t="s">
        <v>57</v>
      </c>
      <c r="G258" s="191" t="s">
        <v>62</v>
      </c>
      <c r="H258" s="208" t="s">
        <v>253</v>
      </c>
      <c r="I258" s="66" t="s">
        <v>559</v>
      </c>
      <c r="J258" s="207" t="s">
        <v>196</v>
      </c>
    </row>
    <row r="259" spans="1:10" ht="45" customHeight="1" x14ac:dyDescent="0.45">
      <c r="A259" s="42">
        <v>258</v>
      </c>
      <c r="B259" s="97" t="s">
        <v>1706</v>
      </c>
      <c r="C259" s="99" t="s">
        <v>1707</v>
      </c>
      <c r="D259" s="415" t="s">
        <v>1704</v>
      </c>
      <c r="E259" s="98" t="s">
        <v>1288</v>
      </c>
      <c r="F259" s="98" t="s">
        <v>886</v>
      </c>
      <c r="G259" s="100" t="s">
        <v>310</v>
      </c>
      <c r="H259" s="101" t="s">
        <v>253</v>
      </c>
      <c r="I259" s="22" t="s">
        <v>64</v>
      </c>
      <c r="J259" s="102" t="s">
        <v>1710</v>
      </c>
    </row>
    <row r="260" spans="1:10" ht="45" customHeight="1" x14ac:dyDescent="0.45">
      <c r="A260" s="42">
        <v>259</v>
      </c>
      <c r="B260" s="97" t="s">
        <v>1712</v>
      </c>
      <c r="C260" s="99" t="s">
        <v>1713</v>
      </c>
      <c r="D260" s="415" t="s">
        <v>1704</v>
      </c>
      <c r="E260" s="98" t="s">
        <v>1288</v>
      </c>
      <c r="F260" s="98" t="s">
        <v>1715</v>
      </c>
      <c r="G260" s="100" t="s">
        <v>310</v>
      </c>
      <c r="H260" s="101" t="s">
        <v>253</v>
      </c>
      <c r="I260" s="22" t="s">
        <v>64</v>
      </c>
      <c r="J260" s="102" t="s">
        <v>1710</v>
      </c>
    </row>
    <row r="261" spans="1:10" ht="45" customHeight="1" x14ac:dyDescent="0.45">
      <c r="A261" s="42">
        <v>260</v>
      </c>
      <c r="B261" s="97" t="s">
        <v>1152</v>
      </c>
      <c r="C261" s="99" t="s">
        <v>1153</v>
      </c>
      <c r="D261" s="415" t="s">
        <v>1704</v>
      </c>
      <c r="E261" s="98" t="s">
        <v>1288</v>
      </c>
      <c r="F261" s="98" t="s">
        <v>1155</v>
      </c>
      <c r="G261" s="100" t="s">
        <v>1156</v>
      </c>
      <c r="H261" s="101" t="s">
        <v>253</v>
      </c>
      <c r="I261" s="66" t="s">
        <v>559</v>
      </c>
      <c r="J261" s="102" t="s">
        <v>1158</v>
      </c>
    </row>
    <row r="262" spans="1:10" ht="45" customHeight="1" x14ac:dyDescent="0.45">
      <c r="A262" s="42">
        <v>261</v>
      </c>
      <c r="B262" s="97" t="s">
        <v>557</v>
      </c>
      <c r="C262" s="99" t="s">
        <v>58</v>
      </c>
      <c r="D262" s="415" t="s">
        <v>1704</v>
      </c>
      <c r="E262" s="98" t="s">
        <v>1288</v>
      </c>
      <c r="F262" s="98" t="s">
        <v>57</v>
      </c>
      <c r="G262" s="100" t="s">
        <v>62</v>
      </c>
      <c r="H262" s="101" t="s">
        <v>253</v>
      </c>
      <c r="I262" s="66" t="s">
        <v>559</v>
      </c>
      <c r="J262" s="102" t="s">
        <v>196</v>
      </c>
    </row>
    <row r="263" spans="1:10" ht="45" customHeight="1" x14ac:dyDescent="0.45">
      <c r="A263" s="42">
        <v>262</v>
      </c>
      <c r="B263" s="97" t="s">
        <v>1724</v>
      </c>
      <c r="C263" s="99" t="s">
        <v>1725</v>
      </c>
      <c r="D263" s="415" t="s">
        <v>1722</v>
      </c>
      <c r="E263" s="98" t="s">
        <v>1288</v>
      </c>
      <c r="F263" s="98" t="s">
        <v>886</v>
      </c>
      <c r="G263" s="100" t="s">
        <v>386</v>
      </c>
      <c r="H263" s="101" t="s">
        <v>253</v>
      </c>
      <c r="I263" s="22" t="s">
        <v>64</v>
      </c>
      <c r="J263" s="102" t="s">
        <v>1729</v>
      </c>
    </row>
    <row r="264" spans="1:10" ht="45" customHeight="1" x14ac:dyDescent="0.45">
      <c r="A264" s="42">
        <v>263</v>
      </c>
      <c r="B264" s="97" t="s">
        <v>1735</v>
      </c>
      <c r="C264" s="99" t="s">
        <v>1736</v>
      </c>
      <c r="D264" s="415" t="s">
        <v>1722</v>
      </c>
      <c r="E264" s="98" t="s">
        <v>1288</v>
      </c>
      <c r="F264" s="98" t="s">
        <v>886</v>
      </c>
      <c r="G264" s="100" t="s">
        <v>310</v>
      </c>
      <c r="H264" s="101" t="s">
        <v>253</v>
      </c>
      <c r="I264" s="22" t="s">
        <v>64</v>
      </c>
      <c r="J264" s="102" t="s">
        <v>1729</v>
      </c>
    </row>
    <row r="265" spans="1:10" ht="45" customHeight="1" x14ac:dyDescent="0.45">
      <c r="A265" s="42">
        <v>264</v>
      </c>
      <c r="B265" s="97" t="s">
        <v>557</v>
      </c>
      <c r="C265" s="99" t="s">
        <v>58</v>
      </c>
      <c r="D265" s="415" t="s">
        <v>1722</v>
      </c>
      <c r="E265" s="98" t="s">
        <v>1288</v>
      </c>
      <c r="F265" s="98" t="s">
        <v>57</v>
      </c>
      <c r="G265" s="100" t="s">
        <v>62</v>
      </c>
      <c r="H265" s="101" t="s">
        <v>253</v>
      </c>
      <c r="I265" s="66" t="s">
        <v>559</v>
      </c>
      <c r="J265" s="102" t="s">
        <v>196</v>
      </c>
    </row>
    <row r="266" spans="1:10" ht="45" customHeight="1" x14ac:dyDescent="0.45">
      <c r="A266" s="42">
        <v>265</v>
      </c>
      <c r="B266" s="97" t="s">
        <v>382</v>
      </c>
      <c r="C266" s="99" t="s">
        <v>383</v>
      </c>
      <c r="D266" s="415" t="s">
        <v>1722</v>
      </c>
      <c r="E266" s="98" t="s">
        <v>1288</v>
      </c>
      <c r="F266" s="98" t="s">
        <v>765</v>
      </c>
      <c r="G266" s="100" t="s">
        <v>386</v>
      </c>
      <c r="H266" s="101" t="s">
        <v>253</v>
      </c>
      <c r="I266" s="66" t="s">
        <v>559</v>
      </c>
      <c r="J266" s="102" t="s">
        <v>540</v>
      </c>
    </row>
    <row r="267" spans="1:10" ht="45" customHeight="1" x14ac:dyDescent="0.45">
      <c r="A267" s="42">
        <v>266</v>
      </c>
      <c r="B267" s="205" t="s">
        <v>1743</v>
      </c>
      <c r="C267" s="192" t="s">
        <v>1744</v>
      </c>
      <c r="D267" s="26" t="s">
        <v>1741</v>
      </c>
      <c r="E267" s="190" t="s">
        <v>1562</v>
      </c>
      <c r="F267" s="190" t="s">
        <v>1746</v>
      </c>
      <c r="G267" s="191" t="s">
        <v>310</v>
      </c>
      <c r="H267" s="208" t="s">
        <v>253</v>
      </c>
      <c r="I267" s="22" t="s">
        <v>64</v>
      </c>
      <c r="J267" s="207" t="s">
        <v>1749</v>
      </c>
    </row>
    <row r="268" spans="1:10" ht="45" customHeight="1" x14ac:dyDescent="0.45">
      <c r="A268" s="42">
        <v>267</v>
      </c>
      <c r="B268" s="205" t="s">
        <v>1755</v>
      </c>
      <c r="C268" s="192" t="s">
        <v>1756</v>
      </c>
      <c r="D268" s="26" t="s">
        <v>1753</v>
      </c>
      <c r="E268" s="190" t="s">
        <v>1562</v>
      </c>
      <c r="F268" s="190" t="s">
        <v>1746</v>
      </c>
      <c r="G268" s="191" t="s">
        <v>310</v>
      </c>
      <c r="H268" s="208" t="s">
        <v>253</v>
      </c>
      <c r="I268" s="22" t="s">
        <v>64</v>
      </c>
      <c r="J268" s="207" t="s">
        <v>1758</v>
      </c>
    </row>
    <row r="269" spans="1:10" ht="45" customHeight="1" x14ac:dyDescent="0.45">
      <c r="A269" s="42">
        <v>268</v>
      </c>
      <c r="B269" s="205" t="s">
        <v>1763</v>
      </c>
      <c r="C269" s="192" t="s">
        <v>1764</v>
      </c>
      <c r="D269" s="26" t="s">
        <v>1761</v>
      </c>
      <c r="E269" s="190" t="s">
        <v>1562</v>
      </c>
      <c r="F269" s="190" t="s">
        <v>1746</v>
      </c>
      <c r="G269" s="191" t="s">
        <v>310</v>
      </c>
      <c r="H269" s="208" t="s">
        <v>253</v>
      </c>
      <c r="I269" s="22" t="s">
        <v>64</v>
      </c>
      <c r="J269" s="207" t="s">
        <v>1766</v>
      </c>
    </row>
    <row r="270" spans="1:10" ht="45" customHeight="1" x14ac:dyDescent="0.45">
      <c r="A270" s="42">
        <v>269</v>
      </c>
      <c r="B270" s="205" t="s">
        <v>1771</v>
      </c>
      <c r="C270" s="192" t="s">
        <v>1772</v>
      </c>
      <c r="D270" s="26" t="s">
        <v>1769</v>
      </c>
      <c r="E270" s="190" t="s">
        <v>1562</v>
      </c>
      <c r="F270" s="190" t="s">
        <v>1746</v>
      </c>
      <c r="G270" s="191" t="s">
        <v>310</v>
      </c>
      <c r="H270" s="208" t="s">
        <v>253</v>
      </c>
      <c r="I270" s="22" t="s">
        <v>64</v>
      </c>
      <c r="J270" s="207" t="s">
        <v>1773</v>
      </c>
    </row>
    <row r="271" spans="1:10" ht="45" customHeight="1" x14ac:dyDescent="0.45">
      <c r="A271" s="42">
        <v>270</v>
      </c>
      <c r="B271" s="205" t="s">
        <v>1778</v>
      </c>
      <c r="C271" s="192" t="s">
        <v>1779</v>
      </c>
      <c r="D271" s="26" t="s">
        <v>1776</v>
      </c>
      <c r="E271" s="190" t="s">
        <v>1562</v>
      </c>
      <c r="F271" s="190" t="s">
        <v>1746</v>
      </c>
      <c r="G271" s="191" t="s">
        <v>310</v>
      </c>
      <c r="H271" s="208" t="s">
        <v>253</v>
      </c>
      <c r="I271" s="22" t="s">
        <v>64</v>
      </c>
      <c r="J271" s="207" t="s">
        <v>1781</v>
      </c>
    </row>
    <row r="272" spans="1:10" ht="45" customHeight="1" x14ac:dyDescent="0.45">
      <c r="A272" s="42">
        <v>271</v>
      </c>
      <c r="B272" s="205" t="s">
        <v>1786</v>
      </c>
      <c r="C272" s="192" t="s">
        <v>1787</v>
      </c>
      <c r="D272" s="26" t="s">
        <v>1784</v>
      </c>
      <c r="E272" s="190" t="s">
        <v>1562</v>
      </c>
      <c r="F272" s="190" t="s">
        <v>1746</v>
      </c>
      <c r="G272" s="191" t="s">
        <v>310</v>
      </c>
      <c r="H272" s="208" t="s">
        <v>253</v>
      </c>
      <c r="I272" s="22" t="s">
        <v>64</v>
      </c>
      <c r="J272" s="207" t="s">
        <v>1789</v>
      </c>
    </row>
    <row r="273" spans="1:10" ht="45" customHeight="1" x14ac:dyDescent="0.45">
      <c r="A273" s="42">
        <v>272</v>
      </c>
      <c r="B273" s="205" t="s">
        <v>1794</v>
      </c>
      <c r="C273" s="192" t="s">
        <v>1795</v>
      </c>
      <c r="D273" s="26" t="s">
        <v>1792</v>
      </c>
      <c r="E273" s="190" t="s">
        <v>1562</v>
      </c>
      <c r="F273" s="190" t="s">
        <v>1746</v>
      </c>
      <c r="G273" s="191" t="s">
        <v>310</v>
      </c>
      <c r="H273" s="208" t="s">
        <v>253</v>
      </c>
      <c r="I273" s="22" t="s">
        <v>64</v>
      </c>
      <c r="J273" s="207" t="s">
        <v>1797</v>
      </c>
    </row>
    <row r="274" spans="1:10" ht="45" customHeight="1" x14ac:dyDescent="0.45">
      <c r="A274" s="42">
        <v>273</v>
      </c>
      <c r="B274" s="205" t="s">
        <v>1802</v>
      </c>
      <c r="C274" s="192" t="s">
        <v>1803</v>
      </c>
      <c r="D274" s="26" t="s">
        <v>1800</v>
      </c>
      <c r="E274" s="190" t="s">
        <v>1562</v>
      </c>
      <c r="F274" s="190" t="s">
        <v>1746</v>
      </c>
      <c r="G274" s="191" t="s">
        <v>310</v>
      </c>
      <c r="H274" s="208" t="s">
        <v>253</v>
      </c>
      <c r="I274" s="22" t="s">
        <v>64</v>
      </c>
      <c r="J274" s="207" t="s">
        <v>1804</v>
      </c>
    </row>
    <row r="275" spans="1:10" ht="45" customHeight="1" x14ac:dyDescent="0.45">
      <c r="A275" s="42">
        <v>274</v>
      </c>
      <c r="B275" s="205" t="s">
        <v>1809</v>
      </c>
      <c r="C275" s="192" t="s">
        <v>1810</v>
      </c>
      <c r="D275" s="26" t="s">
        <v>1807</v>
      </c>
      <c r="E275" s="190" t="s">
        <v>1562</v>
      </c>
      <c r="F275" s="190" t="s">
        <v>1746</v>
      </c>
      <c r="G275" s="191" t="s">
        <v>310</v>
      </c>
      <c r="H275" s="208" t="s">
        <v>253</v>
      </c>
      <c r="I275" s="22" t="s">
        <v>64</v>
      </c>
      <c r="J275" s="207" t="s">
        <v>1811</v>
      </c>
    </row>
    <row r="276" spans="1:10" ht="45" customHeight="1" x14ac:dyDescent="0.45">
      <c r="A276" s="42">
        <v>275</v>
      </c>
      <c r="B276" s="205" t="s">
        <v>1816</v>
      </c>
      <c r="C276" s="192" t="s">
        <v>1817</v>
      </c>
      <c r="D276" s="26" t="s">
        <v>1814</v>
      </c>
      <c r="E276" s="190" t="s">
        <v>1562</v>
      </c>
      <c r="F276" s="190" t="s">
        <v>1746</v>
      </c>
      <c r="G276" s="191" t="s">
        <v>310</v>
      </c>
      <c r="H276" s="208" t="s">
        <v>253</v>
      </c>
      <c r="I276" s="22" t="s">
        <v>64</v>
      </c>
      <c r="J276" s="207" t="s">
        <v>1819</v>
      </c>
    </row>
    <row r="277" spans="1:10" ht="45" customHeight="1" x14ac:dyDescent="0.45">
      <c r="A277" s="42">
        <v>276</v>
      </c>
      <c r="B277" s="205" t="s">
        <v>1824</v>
      </c>
      <c r="C277" s="192" t="s">
        <v>1825</v>
      </c>
      <c r="D277" s="26" t="s">
        <v>1822</v>
      </c>
      <c r="E277" s="190" t="s">
        <v>1562</v>
      </c>
      <c r="F277" s="190" t="s">
        <v>1746</v>
      </c>
      <c r="G277" s="191" t="s">
        <v>310</v>
      </c>
      <c r="H277" s="208" t="s">
        <v>253</v>
      </c>
      <c r="I277" s="22" t="s">
        <v>64</v>
      </c>
      <c r="J277" s="207" t="s">
        <v>1826</v>
      </c>
    </row>
    <row r="278" spans="1:10" ht="45" customHeight="1" x14ac:dyDescent="0.45">
      <c r="A278" s="42">
        <v>277</v>
      </c>
      <c r="B278" s="205" t="s">
        <v>1831</v>
      </c>
      <c r="C278" s="192" t="s">
        <v>1832</v>
      </c>
      <c r="D278" s="26" t="s">
        <v>1829</v>
      </c>
      <c r="E278" s="190" t="s">
        <v>1562</v>
      </c>
      <c r="F278" s="190" t="s">
        <v>1746</v>
      </c>
      <c r="G278" s="191" t="s">
        <v>310</v>
      </c>
      <c r="H278" s="208" t="s">
        <v>253</v>
      </c>
      <c r="I278" s="22" t="s">
        <v>64</v>
      </c>
      <c r="J278" s="207" t="s">
        <v>1834</v>
      </c>
    </row>
    <row r="279" spans="1:10" ht="45" customHeight="1" x14ac:dyDescent="0.45">
      <c r="A279" s="42">
        <v>278</v>
      </c>
      <c r="B279" s="205" t="s">
        <v>1839</v>
      </c>
      <c r="C279" s="192" t="s">
        <v>1840</v>
      </c>
      <c r="D279" s="26" t="s">
        <v>1837</v>
      </c>
      <c r="E279" s="190" t="s">
        <v>1562</v>
      </c>
      <c r="F279" s="190" t="s">
        <v>1746</v>
      </c>
      <c r="G279" s="191" t="s">
        <v>310</v>
      </c>
      <c r="H279" s="208" t="s">
        <v>253</v>
      </c>
      <c r="I279" s="22" t="s">
        <v>64</v>
      </c>
      <c r="J279" s="207" t="s">
        <v>1841</v>
      </c>
    </row>
    <row r="280" spans="1:10" ht="45" customHeight="1" x14ac:dyDescent="0.45">
      <c r="A280" s="42">
        <v>279</v>
      </c>
      <c r="B280" s="205" t="s">
        <v>1846</v>
      </c>
      <c r="C280" s="192" t="s">
        <v>1847</v>
      </c>
      <c r="D280" s="26" t="s">
        <v>1844</v>
      </c>
      <c r="E280" s="190" t="s">
        <v>1562</v>
      </c>
      <c r="F280" s="190" t="s">
        <v>1746</v>
      </c>
      <c r="G280" s="191" t="s">
        <v>310</v>
      </c>
      <c r="H280" s="208" t="s">
        <v>253</v>
      </c>
      <c r="I280" s="22" t="s">
        <v>64</v>
      </c>
      <c r="J280" s="207" t="s">
        <v>1848</v>
      </c>
    </row>
    <row r="281" spans="1:10" ht="45" customHeight="1" x14ac:dyDescent="0.45">
      <c r="A281" s="42">
        <v>280</v>
      </c>
      <c r="B281" s="205" t="s">
        <v>1853</v>
      </c>
      <c r="C281" s="192" t="s">
        <v>1854</v>
      </c>
      <c r="D281" s="26" t="s">
        <v>1851</v>
      </c>
      <c r="E281" s="190" t="s">
        <v>1562</v>
      </c>
      <c r="F281" s="190" t="s">
        <v>1746</v>
      </c>
      <c r="G281" s="191" t="s">
        <v>310</v>
      </c>
      <c r="H281" s="208" t="s">
        <v>253</v>
      </c>
      <c r="I281" s="22" t="s">
        <v>64</v>
      </c>
      <c r="J281" s="207" t="s">
        <v>1855</v>
      </c>
    </row>
    <row r="282" spans="1:10" ht="45" customHeight="1" x14ac:dyDescent="0.45">
      <c r="A282" s="42">
        <v>281</v>
      </c>
      <c r="B282" s="205" t="s">
        <v>1860</v>
      </c>
      <c r="C282" s="192" t="s">
        <v>1861</v>
      </c>
      <c r="D282" s="26" t="s">
        <v>1858</v>
      </c>
      <c r="E282" s="190" t="s">
        <v>1562</v>
      </c>
      <c r="F282" s="190" t="s">
        <v>1746</v>
      </c>
      <c r="G282" s="191" t="s">
        <v>310</v>
      </c>
      <c r="H282" s="208" t="s">
        <v>253</v>
      </c>
      <c r="I282" s="22" t="s">
        <v>64</v>
      </c>
      <c r="J282" s="207" t="s">
        <v>1863</v>
      </c>
    </row>
    <row r="283" spans="1:10" ht="45" customHeight="1" x14ac:dyDescent="0.45">
      <c r="A283" s="42">
        <v>282</v>
      </c>
      <c r="B283" s="205" t="s">
        <v>1868</v>
      </c>
      <c r="C283" s="192" t="s">
        <v>1869</v>
      </c>
      <c r="D283" s="26" t="s">
        <v>1866</v>
      </c>
      <c r="E283" s="190" t="s">
        <v>1562</v>
      </c>
      <c r="F283" s="190" t="s">
        <v>1746</v>
      </c>
      <c r="G283" s="191" t="s">
        <v>310</v>
      </c>
      <c r="H283" s="208" t="s">
        <v>253</v>
      </c>
      <c r="I283" s="22" t="s">
        <v>64</v>
      </c>
      <c r="J283" s="207" t="s">
        <v>1870</v>
      </c>
    </row>
    <row r="284" spans="1:10" ht="45" customHeight="1" x14ac:dyDescent="0.45">
      <c r="A284" s="42">
        <v>283</v>
      </c>
      <c r="B284" s="205" t="s">
        <v>1875</v>
      </c>
      <c r="C284" s="192" t="s">
        <v>1876</v>
      </c>
      <c r="D284" s="26" t="s">
        <v>1873</v>
      </c>
      <c r="E284" s="190" t="s">
        <v>1562</v>
      </c>
      <c r="F284" s="190" t="s">
        <v>1746</v>
      </c>
      <c r="G284" s="191" t="s">
        <v>310</v>
      </c>
      <c r="H284" s="208" t="s">
        <v>253</v>
      </c>
      <c r="I284" s="22" t="s">
        <v>64</v>
      </c>
      <c r="J284" s="207" t="s">
        <v>1877</v>
      </c>
    </row>
    <row r="285" spans="1:10" ht="45" customHeight="1" x14ac:dyDescent="0.45">
      <c r="A285" s="42">
        <v>284</v>
      </c>
      <c r="B285" s="205" t="s">
        <v>1882</v>
      </c>
      <c r="C285" s="192" t="s">
        <v>1883</v>
      </c>
      <c r="D285" s="26" t="s">
        <v>1880</v>
      </c>
      <c r="E285" s="190" t="s">
        <v>1562</v>
      </c>
      <c r="F285" s="190" t="s">
        <v>1746</v>
      </c>
      <c r="G285" s="191" t="s">
        <v>310</v>
      </c>
      <c r="H285" s="208" t="s">
        <v>253</v>
      </c>
      <c r="I285" s="22" t="s">
        <v>64</v>
      </c>
      <c r="J285" s="207" t="s">
        <v>1884</v>
      </c>
    </row>
    <row r="286" spans="1:10" ht="45" customHeight="1" x14ac:dyDescent="0.45">
      <c r="A286" s="42">
        <v>285</v>
      </c>
      <c r="B286" s="205" t="s">
        <v>1889</v>
      </c>
      <c r="C286" s="192" t="s">
        <v>1890</v>
      </c>
      <c r="D286" s="26" t="s">
        <v>1887</v>
      </c>
      <c r="E286" s="190" t="s">
        <v>1562</v>
      </c>
      <c r="F286" s="190" t="s">
        <v>1746</v>
      </c>
      <c r="G286" s="191" t="s">
        <v>310</v>
      </c>
      <c r="H286" s="208" t="s">
        <v>253</v>
      </c>
      <c r="I286" s="22" t="s">
        <v>64</v>
      </c>
      <c r="J286" s="207" t="s">
        <v>1891</v>
      </c>
    </row>
    <row r="287" spans="1:10" ht="45" customHeight="1" x14ac:dyDescent="0.45">
      <c r="A287" s="42">
        <v>286</v>
      </c>
      <c r="B287" s="97" t="s">
        <v>1896</v>
      </c>
      <c r="C287" s="99" t="s">
        <v>1897</v>
      </c>
      <c r="D287" s="415" t="s">
        <v>1894</v>
      </c>
      <c r="E287" s="98" t="s">
        <v>1288</v>
      </c>
      <c r="F287" s="98" t="s">
        <v>1746</v>
      </c>
      <c r="G287" s="100" t="s">
        <v>310</v>
      </c>
      <c r="H287" s="101" t="s">
        <v>253</v>
      </c>
      <c r="I287" s="22" t="s">
        <v>64</v>
      </c>
      <c r="J287" s="102" t="s">
        <v>1901</v>
      </c>
    </row>
    <row r="288" spans="1:10" ht="45" customHeight="1" x14ac:dyDescent="0.45">
      <c r="A288" s="42">
        <v>287</v>
      </c>
      <c r="B288" s="97" t="s">
        <v>1906</v>
      </c>
      <c r="C288" s="99" t="s">
        <v>1907</v>
      </c>
      <c r="D288" s="415" t="s">
        <v>1904</v>
      </c>
      <c r="E288" s="98" t="s">
        <v>1288</v>
      </c>
      <c r="F288" s="98" t="s">
        <v>1746</v>
      </c>
      <c r="G288" s="100" t="s">
        <v>310</v>
      </c>
      <c r="H288" s="101" t="s">
        <v>253</v>
      </c>
      <c r="I288" s="22" t="s">
        <v>64</v>
      </c>
      <c r="J288" s="102" t="s">
        <v>1901</v>
      </c>
    </row>
    <row r="289" spans="1:10" ht="45" customHeight="1" x14ac:dyDescent="0.45">
      <c r="A289" s="42">
        <v>288</v>
      </c>
      <c r="B289" s="97" t="s">
        <v>1911</v>
      </c>
      <c r="C289" s="99" t="s">
        <v>1912</v>
      </c>
      <c r="D289" s="415" t="s">
        <v>1909</v>
      </c>
      <c r="E289" s="98" t="s">
        <v>1288</v>
      </c>
      <c r="F289" s="98" t="s">
        <v>1746</v>
      </c>
      <c r="G289" s="100" t="s">
        <v>310</v>
      </c>
      <c r="H289" s="101" t="s">
        <v>253</v>
      </c>
      <c r="I289" s="22" t="s">
        <v>64</v>
      </c>
      <c r="J289" s="102" t="s">
        <v>1901</v>
      </c>
    </row>
    <row r="290" spans="1:10" ht="45" customHeight="1" x14ac:dyDescent="0.45">
      <c r="A290" s="42">
        <v>289</v>
      </c>
      <c r="B290" s="97" t="s">
        <v>1916</v>
      </c>
      <c r="C290" s="99" t="s">
        <v>1917</v>
      </c>
      <c r="D290" s="415" t="s">
        <v>1914</v>
      </c>
      <c r="E290" s="98" t="s">
        <v>1288</v>
      </c>
      <c r="F290" s="98" t="s">
        <v>1746</v>
      </c>
      <c r="G290" s="100" t="s">
        <v>310</v>
      </c>
      <c r="H290" s="101" t="s">
        <v>253</v>
      </c>
      <c r="I290" s="22" t="s">
        <v>64</v>
      </c>
      <c r="J290" s="102" t="s">
        <v>1901</v>
      </c>
    </row>
    <row r="291" spans="1:10" ht="45" customHeight="1" x14ac:dyDescent="0.45">
      <c r="A291" s="42">
        <v>290</v>
      </c>
      <c r="B291" s="97" t="s">
        <v>1921</v>
      </c>
      <c r="C291" s="99" t="s">
        <v>1922</v>
      </c>
      <c r="D291" s="415" t="s">
        <v>1919</v>
      </c>
      <c r="E291" s="98" t="s">
        <v>1288</v>
      </c>
      <c r="F291" s="98" t="s">
        <v>1746</v>
      </c>
      <c r="G291" s="100" t="s">
        <v>310</v>
      </c>
      <c r="H291" s="101" t="s">
        <v>253</v>
      </c>
      <c r="I291" s="22" t="s">
        <v>64</v>
      </c>
      <c r="J291" s="102" t="s">
        <v>1901</v>
      </c>
    </row>
    <row r="292" spans="1:10" ht="45" customHeight="1" x14ac:dyDescent="0.45">
      <c r="A292" s="42">
        <v>291</v>
      </c>
      <c r="B292" s="97" t="s">
        <v>1926</v>
      </c>
      <c r="C292" s="99" t="s">
        <v>1927</v>
      </c>
      <c r="D292" s="415" t="s">
        <v>1924</v>
      </c>
      <c r="E292" s="98" t="s">
        <v>1288</v>
      </c>
      <c r="F292" s="98" t="s">
        <v>1746</v>
      </c>
      <c r="G292" s="100" t="s">
        <v>310</v>
      </c>
      <c r="H292" s="101" t="s">
        <v>253</v>
      </c>
      <c r="I292" s="22" t="s">
        <v>64</v>
      </c>
      <c r="J292" s="102" t="s">
        <v>1901</v>
      </c>
    </row>
    <row r="293" spans="1:10" ht="45" customHeight="1" x14ac:dyDescent="0.45">
      <c r="A293" s="42">
        <v>292</v>
      </c>
      <c r="B293" s="97" t="s">
        <v>1931</v>
      </c>
      <c r="C293" s="99" t="s">
        <v>1932</v>
      </c>
      <c r="D293" s="415" t="s">
        <v>1929</v>
      </c>
      <c r="E293" s="98" t="s">
        <v>1288</v>
      </c>
      <c r="F293" s="98" t="s">
        <v>1746</v>
      </c>
      <c r="G293" s="100" t="s">
        <v>310</v>
      </c>
      <c r="H293" s="101" t="s">
        <v>253</v>
      </c>
      <c r="I293" s="22" t="s">
        <v>64</v>
      </c>
      <c r="J293" s="102" t="s">
        <v>1901</v>
      </c>
    </row>
    <row r="294" spans="1:10" ht="45" customHeight="1" x14ac:dyDescent="0.45">
      <c r="A294" s="42">
        <v>293</v>
      </c>
      <c r="B294" s="97" t="s">
        <v>1936</v>
      </c>
      <c r="C294" s="99" t="s">
        <v>1937</v>
      </c>
      <c r="D294" s="415" t="s">
        <v>1934</v>
      </c>
      <c r="E294" s="98" t="s">
        <v>1288</v>
      </c>
      <c r="F294" s="98" t="s">
        <v>1746</v>
      </c>
      <c r="G294" s="100" t="s">
        <v>310</v>
      </c>
      <c r="H294" s="101" t="s">
        <v>253</v>
      </c>
      <c r="I294" s="22" t="s">
        <v>64</v>
      </c>
      <c r="J294" s="102" t="s">
        <v>1901</v>
      </c>
    </row>
    <row r="295" spans="1:10" ht="45" customHeight="1" x14ac:dyDescent="0.45">
      <c r="A295" s="42">
        <v>294</v>
      </c>
      <c r="B295" s="144" t="s">
        <v>1941</v>
      </c>
      <c r="C295" s="146" t="s">
        <v>1942</v>
      </c>
      <c r="D295" s="417" t="s">
        <v>1939</v>
      </c>
      <c r="E295" s="145" t="s">
        <v>1467</v>
      </c>
      <c r="F295" s="145" t="s">
        <v>1746</v>
      </c>
      <c r="G295" s="147" t="s">
        <v>310</v>
      </c>
      <c r="H295" s="148" t="s">
        <v>253</v>
      </c>
      <c r="I295" s="22" t="s">
        <v>64</v>
      </c>
      <c r="J295" s="149" t="s">
        <v>1901</v>
      </c>
    </row>
    <row r="296" spans="1:10" ht="45" customHeight="1" x14ac:dyDescent="0.45">
      <c r="A296" s="42">
        <v>295</v>
      </c>
      <c r="B296" s="167" t="s">
        <v>1946</v>
      </c>
      <c r="C296" s="169" t="s">
        <v>1947</v>
      </c>
      <c r="D296" s="414" t="s">
        <v>1944</v>
      </c>
      <c r="E296" s="168" t="s">
        <v>1512</v>
      </c>
      <c r="F296" s="168" t="s">
        <v>1746</v>
      </c>
      <c r="G296" s="170" t="s">
        <v>310</v>
      </c>
      <c r="H296" s="186" t="s">
        <v>253</v>
      </c>
      <c r="I296" s="22" t="s">
        <v>64</v>
      </c>
      <c r="J296" s="172" t="s">
        <v>1901</v>
      </c>
    </row>
    <row r="297" spans="1:10" ht="45" customHeight="1" x14ac:dyDescent="0.45">
      <c r="A297" s="42">
        <v>296</v>
      </c>
      <c r="B297" s="167" t="s">
        <v>1951</v>
      </c>
      <c r="C297" s="169" t="s">
        <v>1952</v>
      </c>
      <c r="D297" s="414" t="s">
        <v>1949</v>
      </c>
      <c r="E297" s="168" t="s">
        <v>1512</v>
      </c>
      <c r="F297" s="168" t="s">
        <v>1746</v>
      </c>
      <c r="G297" s="170" t="s">
        <v>310</v>
      </c>
      <c r="H297" s="186" t="s">
        <v>253</v>
      </c>
      <c r="I297" s="22" t="s">
        <v>64</v>
      </c>
      <c r="J297" s="172" t="s">
        <v>1901</v>
      </c>
    </row>
    <row r="298" spans="1:10" ht="45" customHeight="1" x14ac:dyDescent="0.45">
      <c r="A298" s="42">
        <v>297</v>
      </c>
      <c r="B298" s="167" t="s">
        <v>1956</v>
      </c>
      <c r="C298" s="169" t="s">
        <v>1957</v>
      </c>
      <c r="D298" s="414" t="s">
        <v>1954</v>
      </c>
      <c r="E298" s="168" t="s">
        <v>1512</v>
      </c>
      <c r="F298" s="168" t="s">
        <v>1746</v>
      </c>
      <c r="G298" s="170" t="s">
        <v>310</v>
      </c>
      <c r="H298" s="186" t="s">
        <v>253</v>
      </c>
      <c r="I298" s="22" t="s">
        <v>64</v>
      </c>
      <c r="J298" s="172" t="s">
        <v>1901</v>
      </c>
    </row>
    <row r="299" spans="1:10" ht="45" customHeight="1" x14ac:dyDescent="0.45">
      <c r="A299" s="42">
        <v>298</v>
      </c>
      <c r="B299" s="213" t="s">
        <v>1963</v>
      </c>
      <c r="C299" s="215" t="s">
        <v>1964</v>
      </c>
      <c r="D299" s="418" t="s">
        <v>1960</v>
      </c>
      <c r="E299" s="214" t="s">
        <v>1962</v>
      </c>
      <c r="F299" s="214" t="s">
        <v>1746</v>
      </c>
      <c r="G299" s="216" t="s">
        <v>310</v>
      </c>
      <c r="H299" s="217" t="s">
        <v>253</v>
      </c>
      <c r="I299" s="22" t="s">
        <v>64</v>
      </c>
      <c r="J299" s="218" t="s">
        <v>1901</v>
      </c>
    </row>
    <row r="300" spans="1:10" ht="45" customHeight="1" x14ac:dyDescent="0.45">
      <c r="A300" s="42">
        <v>299</v>
      </c>
      <c r="B300" s="213" t="s">
        <v>1968</v>
      </c>
      <c r="C300" s="215" t="s">
        <v>1969</v>
      </c>
      <c r="D300" s="418" t="s">
        <v>1966</v>
      </c>
      <c r="E300" s="214" t="s">
        <v>1962</v>
      </c>
      <c r="F300" s="214" t="s">
        <v>1746</v>
      </c>
      <c r="G300" s="216" t="s">
        <v>310</v>
      </c>
      <c r="H300" s="217" t="s">
        <v>253</v>
      </c>
      <c r="I300" s="22" t="s">
        <v>64</v>
      </c>
      <c r="J300" s="218" t="s">
        <v>1901</v>
      </c>
    </row>
    <row r="301" spans="1:10" ht="45" customHeight="1" x14ac:dyDescent="0.45">
      <c r="A301" s="42">
        <v>300</v>
      </c>
      <c r="B301" s="213" t="s">
        <v>1973</v>
      </c>
      <c r="C301" s="215" t="s">
        <v>1974</v>
      </c>
      <c r="D301" s="418" t="s">
        <v>1971</v>
      </c>
      <c r="E301" s="214" t="s">
        <v>1962</v>
      </c>
      <c r="F301" s="214" t="s">
        <v>1746</v>
      </c>
      <c r="G301" s="216" t="s">
        <v>310</v>
      </c>
      <c r="H301" s="217" t="s">
        <v>253</v>
      </c>
      <c r="I301" s="22" t="s">
        <v>64</v>
      </c>
      <c r="J301" s="218" t="s">
        <v>1901</v>
      </c>
    </row>
    <row r="302" spans="1:10" ht="45" customHeight="1" x14ac:dyDescent="0.45">
      <c r="A302" s="42">
        <v>301</v>
      </c>
      <c r="B302" s="213" t="s">
        <v>1978</v>
      </c>
      <c r="C302" s="215" t="s">
        <v>1979</v>
      </c>
      <c r="D302" s="418" t="s">
        <v>1976</v>
      </c>
      <c r="E302" s="214" t="s">
        <v>1962</v>
      </c>
      <c r="F302" s="214" t="s">
        <v>1746</v>
      </c>
      <c r="G302" s="216" t="s">
        <v>310</v>
      </c>
      <c r="H302" s="217" t="s">
        <v>253</v>
      </c>
      <c r="I302" s="22" t="s">
        <v>64</v>
      </c>
      <c r="J302" s="218" t="s">
        <v>1901</v>
      </c>
    </row>
    <row r="303" spans="1:10" ht="45" customHeight="1" x14ac:dyDescent="0.45">
      <c r="A303" s="42">
        <v>302</v>
      </c>
      <c r="B303" s="235" t="s">
        <v>1985</v>
      </c>
      <c r="C303" s="237" t="s">
        <v>1986</v>
      </c>
      <c r="D303" s="419" t="s">
        <v>1982</v>
      </c>
      <c r="E303" s="236" t="s">
        <v>1984</v>
      </c>
      <c r="F303" s="236" t="s">
        <v>1746</v>
      </c>
      <c r="G303" s="238" t="s">
        <v>310</v>
      </c>
      <c r="H303" s="239" t="s">
        <v>253</v>
      </c>
      <c r="I303" s="22" t="s">
        <v>64</v>
      </c>
      <c r="J303" s="240" t="s">
        <v>1901</v>
      </c>
    </row>
    <row r="304" spans="1:10" ht="45" customHeight="1" x14ac:dyDescent="0.45">
      <c r="A304" s="42">
        <v>303</v>
      </c>
      <c r="B304" s="258" t="s">
        <v>1992</v>
      </c>
      <c r="C304" s="260" t="s">
        <v>1993</v>
      </c>
      <c r="D304" s="420" t="s">
        <v>1989</v>
      </c>
      <c r="E304" s="259" t="s">
        <v>1991</v>
      </c>
      <c r="F304" s="259" t="s">
        <v>1746</v>
      </c>
      <c r="G304" s="261" t="s">
        <v>310</v>
      </c>
      <c r="H304" s="262" t="s">
        <v>253</v>
      </c>
      <c r="I304" s="22" t="s">
        <v>64</v>
      </c>
      <c r="J304" s="263" t="s">
        <v>1901</v>
      </c>
    </row>
    <row r="305" spans="1:10" ht="45" customHeight="1" x14ac:dyDescent="0.45">
      <c r="A305" s="42">
        <v>304</v>
      </c>
      <c r="B305" s="258" t="s">
        <v>1998</v>
      </c>
      <c r="C305" s="260" t="s">
        <v>1999</v>
      </c>
      <c r="D305" s="420" t="s">
        <v>1996</v>
      </c>
      <c r="E305" s="259" t="s">
        <v>1991</v>
      </c>
      <c r="F305" s="259" t="s">
        <v>1746</v>
      </c>
      <c r="G305" s="261" t="s">
        <v>310</v>
      </c>
      <c r="H305" s="262" t="s">
        <v>253</v>
      </c>
      <c r="I305" s="22" t="s">
        <v>64</v>
      </c>
      <c r="J305" s="263" t="s">
        <v>1901</v>
      </c>
    </row>
    <row r="306" spans="1:10" ht="45" customHeight="1" x14ac:dyDescent="0.45">
      <c r="A306" s="42">
        <v>305</v>
      </c>
      <c r="B306" s="280" t="s">
        <v>2006</v>
      </c>
      <c r="C306" s="282" t="s">
        <v>2007</v>
      </c>
      <c r="D306" s="421" t="s">
        <v>2003</v>
      </c>
      <c r="E306" s="281" t="s">
        <v>2005</v>
      </c>
      <c r="F306" s="281" t="s">
        <v>1746</v>
      </c>
      <c r="G306" s="283" t="s">
        <v>310</v>
      </c>
      <c r="H306" s="284" t="s">
        <v>253</v>
      </c>
      <c r="I306" s="22" t="s">
        <v>64</v>
      </c>
      <c r="J306" s="285" t="s">
        <v>1901</v>
      </c>
    </row>
    <row r="307" spans="1:10" ht="45" customHeight="1" x14ac:dyDescent="0.45">
      <c r="A307" s="42">
        <v>306</v>
      </c>
      <c r="B307" s="280" t="s">
        <v>2012</v>
      </c>
      <c r="C307" s="282" t="s">
        <v>2013</v>
      </c>
      <c r="D307" s="421" t="s">
        <v>2010</v>
      </c>
      <c r="E307" s="281" t="s">
        <v>2005</v>
      </c>
      <c r="F307" s="281" t="s">
        <v>1746</v>
      </c>
      <c r="G307" s="283" t="s">
        <v>310</v>
      </c>
      <c r="H307" s="284" t="s">
        <v>253</v>
      </c>
      <c r="I307" s="22" t="s">
        <v>64</v>
      </c>
      <c r="J307" s="285" t="s">
        <v>1901</v>
      </c>
    </row>
    <row r="308" spans="1:10" ht="45" customHeight="1" x14ac:dyDescent="0.45">
      <c r="A308" s="42">
        <v>307</v>
      </c>
      <c r="B308" s="280" t="s">
        <v>2017</v>
      </c>
      <c r="C308" s="282" t="s">
        <v>2018</v>
      </c>
      <c r="D308" s="421" t="s">
        <v>2015</v>
      </c>
      <c r="E308" s="281" t="s">
        <v>2005</v>
      </c>
      <c r="F308" s="281" t="s">
        <v>1746</v>
      </c>
      <c r="G308" s="283" t="s">
        <v>310</v>
      </c>
      <c r="H308" s="284" t="s">
        <v>253</v>
      </c>
      <c r="I308" s="22" t="s">
        <v>64</v>
      </c>
      <c r="J308" s="285" t="s">
        <v>1901</v>
      </c>
    </row>
    <row r="309" spans="1:10" ht="45" customHeight="1" x14ac:dyDescent="0.45">
      <c r="A309" s="42">
        <v>308</v>
      </c>
      <c r="B309" s="280" t="s">
        <v>2022</v>
      </c>
      <c r="C309" s="282" t="s">
        <v>2023</v>
      </c>
      <c r="D309" s="421" t="s">
        <v>2020</v>
      </c>
      <c r="E309" s="281" t="s">
        <v>2005</v>
      </c>
      <c r="F309" s="281" t="s">
        <v>1746</v>
      </c>
      <c r="G309" s="283" t="s">
        <v>310</v>
      </c>
      <c r="H309" s="284" t="s">
        <v>253</v>
      </c>
      <c r="I309" s="22" t="s">
        <v>64</v>
      </c>
      <c r="J309" s="285" t="s">
        <v>1901</v>
      </c>
    </row>
    <row r="310" spans="1:10" ht="45" customHeight="1" x14ac:dyDescent="0.45">
      <c r="A310" s="42">
        <v>309</v>
      </c>
      <c r="B310" s="302" t="s">
        <v>2029</v>
      </c>
      <c r="C310" s="304" t="s">
        <v>2030</v>
      </c>
      <c r="D310" s="422" t="s">
        <v>2026</v>
      </c>
      <c r="E310" s="303" t="s">
        <v>2028</v>
      </c>
      <c r="F310" s="303" t="s">
        <v>1746</v>
      </c>
      <c r="G310" s="305" t="s">
        <v>310</v>
      </c>
      <c r="H310" s="306" t="s">
        <v>253</v>
      </c>
      <c r="I310" s="22" t="s">
        <v>64</v>
      </c>
      <c r="J310" s="307" t="s">
        <v>1901</v>
      </c>
    </row>
    <row r="311" spans="1:10" ht="45" customHeight="1" x14ac:dyDescent="0.45">
      <c r="A311" s="42">
        <v>310</v>
      </c>
      <c r="B311" s="302" t="s">
        <v>2034</v>
      </c>
      <c r="C311" s="304" t="s">
        <v>2035</v>
      </c>
      <c r="D311" s="422" t="s">
        <v>2032</v>
      </c>
      <c r="E311" s="303" t="s">
        <v>2028</v>
      </c>
      <c r="F311" s="303" t="s">
        <v>1746</v>
      </c>
      <c r="G311" s="305" t="s">
        <v>310</v>
      </c>
      <c r="H311" s="306" t="s">
        <v>253</v>
      </c>
      <c r="I311" s="22" t="s">
        <v>64</v>
      </c>
      <c r="J311" s="307" t="s">
        <v>1901</v>
      </c>
    </row>
    <row r="312" spans="1:10" ht="45" customHeight="1" x14ac:dyDescent="0.45">
      <c r="A312" s="42">
        <v>311</v>
      </c>
      <c r="B312" s="302" t="s">
        <v>2040</v>
      </c>
      <c r="C312" s="304" t="s">
        <v>2041</v>
      </c>
      <c r="D312" s="422" t="s">
        <v>2038</v>
      </c>
      <c r="E312" s="303" t="s">
        <v>2028</v>
      </c>
      <c r="F312" s="303" t="s">
        <v>1746</v>
      </c>
      <c r="G312" s="305" t="s">
        <v>310</v>
      </c>
      <c r="H312" s="306" t="s">
        <v>253</v>
      </c>
      <c r="I312" s="22" t="s">
        <v>64</v>
      </c>
      <c r="J312" s="307" t="s">
        <v>1901</v>
      </c>
    </row>
    <row r="313" spans="1:10" ht="45" customHeight="1" x14ac:dyDescent="0.45">
      <c r="A313" s="42">
        <v>312</v>
      </c>
      <c r="B313" s="302" t="s">
        <v>2046</v>
      </c>
      <c r="C313" s="304" t="s">
        <v>2047</v>
      </c>
      <c r="D313" s="422" t="s">
        <v>2044</v>
      </c>
      <c r="E313" s="303" t="s">
        <v>2028</v>
      </c>
      <c r="F313" s="303" t="s">
        <v>1746</v>
      </c>
      <c r="G313" s="305" t="s">
        <v>310</v>
      </c>
      <c r="H313" s="306" t="s">
        <v>253</v>
      </c>
      <c r="I313" s="22" t="s">
        <v>64</v>
      </c>
      <c r="J313" s="307" t="s">
        <v>1901</v>
      </c>
    </row>
    <row r="314" spans="1:10" ht="45" customHeight="1" x14ac:dyDescent="0.45">
      <c r="A314" s="42">
        <v>313</v>
      </c>
      <c r="B314" s="302" t="s">
        <v>2052</v>
      </c>
      <c r="C314" s="304" t="s">
        <v>2047</v>
      </c>
      <c r="D314" s="422" t="s">
        <v>2050</v>
      </c>
      <c r="E314" s="303" t="s">
        <v>2028</v>
      </c>
      <c r="F314" s="303" t="s">
        <v>1746</v>
      </c>
      <c r="G314" s="305" t="s">
        <v>310</v>
      </c>
      <c r="H314" s="306" t="s">
        <v>253</v>
      </c>
      <c r="I314" s="22" t="s">
        <v>64</v>
      </c>
      <c r="J314" s="307" t="s">
        <v>1901</v>
      </c>
    </row>
    <row r="315" spans="1:10" ht="45" customHeight="1" x14ac:dyDescent="0.45">
      <c r="A315" s="42">
        <v>314</v>
      </c>
      <c r="B315" s="302" t="s">
        <v>2056</v>
      </c>
      <c r="C315" s="304" t="s">
        <v>2057</v>
      </c>
      <c r="D315" s="422" t="s">
        <v>2054</v>
      </c>
      <c r="E315" s="303" t="s">
        <v>2028</v>
      </c>
      <c r="F315" s="303" t="s">
        <v>1746</v>
      </c>
      <c r="G315" s="305" t="s">
        <v>310</v>
      </c>
      <c r="H315" s="306" t="s">
        <v>253</v>
      </c>
      <c r="I315" s="22" t="s">
        <v>64</v>
      </c>
      <c r="J315" s="307" t="s">
        <v>1901</v>
      </c>
    </row>
    <row r="316" spans="1:10" ht="45" customHeight="1" x14ac:dyDescent="0.45">
      <c r="A316" s="42">
        <v>315</v>
      </c>
      <c r="B316" s="324" t="s">
        <v>2064</v>
      </c>
      <c r="C316" s="326" t="s">
        <v>2065</v>
      </c>
      <c r="D316" s="423" t="s">
        <v>2061</v>
      </c>
      <c r="E316" s="325" t="s">
        <v>2063</v>
      </c>
      <c r="F316" s="325" t="s">
        <v>1746</v>
      </c>
      <c r="G316" s="327" t="s">
        <v>310</v>
      </c>
      <c r="H316" s="328" t="s">
        <v>253</v>
      </c>
      <c r="I316" s="22" t="s">
        <v>64</v>
      </c>
      <c r="J316" s="329" t="s">
        <v>1901</v>
      </c>
    </row>
    <row r="317" spans="1:10" ht="45" customHeight="1" x14ac:dyDescent="0.45">
      <c r="A317" s="42">
        <v>316</v>
      </c>
      <c r="B317" s="324" t="s">
        <v>2070</v>
      </c>
      <c r="C317" s="326" t="s">
        <v>2071</v>
      </c>
      <c r="D317" s="423" t="s">
        <v>2068</v>
      </c>
      <c r="E317" s="325" t="s">
        <v>2063</v>
      </c>
      <c r="F317" s="325" t="s">
        <v>1746</v>
      </c>
      <c r="G317" s="327" t="s">
        <v>310</v>
      </c>
      <c r="H317" s="328" t="s">
        <v>253</v>
      </c>
      <c r="I317" s="22" t="s">
        <v>64</v>
      </c>
      <c r="J317" s="329" t="s">
        <v>1901</v>
      </c>
    </row>
    <row r="318" spans="1:10" ht="45" customHeight="1" x14ac:dyDescent="0.45">
      <c r="A318" s="42">
        <v>317</v>
      </c>
      <c r="B318" s="346" t="s">
        <v>2077</v>
      </c>
      <c r="C318" s="348" t="s">
        <v>1610</v>
      </c>
      <c r="D318" s="424" t="s">
        <v>2074</v>
      </c>
      <c r="E318" s="347" t="s">
        <v>2076</v>
      </c>
      <c r="F318" s="347" t="s">
        <v>1746</v>
      </c>
      <c r="G318" s="349" t="s">
        <v>310</v>
      </c>
      <c r="H318" s="350" t="s">
        <v>253</v>
      </c>
      <c r="I318" s="22" t="s">
        <v>64</v>
      </c>
      <c r="J318" s="351" t="s">
        <v>1901</v>
      </c>
    </row>
    <row r="319" spans="1:10" ht="45" customHeight="1" x14ac:dyDescent="0.45">
      <c r="A319" s="42">
        <v>318</v>
      </c>
      <c r="B319" s="120" t="s">
        <v>2081</v>
      </c>
      <c r="C319" s="122" t="s">
        <v>2082</v>
      </c>
      <c r="D319" s="125" t="s">
        <v>2079</v>
      </c>
      <c r="E319" s="121" t="s">
        <v>1342</v>
      </c>
      <c r="F319" s="121" t="s">
        <v>1746</v>
      </c>
      <c r="G319" s="123" t="s">
        <v>310</v>
      </c>
      <c r="H319" s="140" t="s">
        <v>253</v>
      </c>
      <c r="I319" s="22" t="s">
        <v>64</v>
      </c>
      <c r="J319" s="125" t="s">
        <v>1901</v>
      </c>
    </row>
    <row r="320" spans="1:10" ht="45" customHeight="1" x14ac:dyDescent="0.45">
      <c r="A320" s="42">
        <v>319</v>
      </c>
      <c r="B320" s="120" t="s">
        <v>2086</v>
      </c>
      <c r="C320" s="122" t="s">
        <v>2087</v>
      </c>
      <c r="D320" s="125" t="s">
        <v>2084</v>
      </c>
      <c r="E320" s="121" t="s">
        <v>1342</v>
      </c>
      <c r="F320" s="121" t="s">
        <v>1746</v>
      </c>
      <c r="G320" s="123" t="s">
        <v>310</v>
      </c>
      <c r="H320" s="140" t="s">
        <v>253</v>
      </c>
      <c r="I320" s="22" t="s">
        <v>64</v>
      </c>
      <c r="J320" s="125" t="s">
        <v>1901</v>
      </c>
    </row>
    <row r="321" spans="1:10" ht="45" customHeight="1" x14ac:dyDescent="0.45">
      <c r="A321" s="42">
        <v>320</v>
      </c>
      <c r="B321" s="120" t="s">
        <v>2091</v>
      </c>
      <c r="C321" s="122" t="s">
        <v>2092</v>
      </c>
      <c r="D321" s="125" t="s">
        <v>2089</v>
      </c>
      <c r="E321" s="121" t="s">
        <v>1342</v>
      </c>
      <c r="F321" s="121" t="s">
        <v>1746</v>
      </c>
      <c r="G321" s="123" t="s">
        <v>310</v>
      </c>
      <c r="H321" s="140" t="s">
        <v>253</v>
      </c>
      <c r="I321" s="22" t="s">
        <v>64</v>
      </c>
      <c r="J321" s="125" t="s">
        <v>1901</v>
      </c>
    </row>
    <row r="322" spans="1:10" ht="45" customHeight="1" x14ac:dyDescent="0.45">
      <c r="A322" s="42">
        <v>321</v>
      </c>
      <c r="B322" s="368" t="s">
        <v>2098</v>
      </c>
      <c r="C322" s="370" t="s">
        <v>2099</v>
      </c>
      <c r="D322" s="376" t="s">
        <v>2095</v>
      </c>
      <c r="E322" s="369" t="s">
        <v>2097</v>
      </c>
      <c r="F322" s="369" t="s">
        <v>1746</v>
      </c>
      <c r="G322" s="371" t="s">
        <v>310</v>
      </c>
      <c r="H322" s="372" t="s">
        <v>253</v>
      </c>
      <c r="I322" s="22" t="s">
        <v>64</v>
      </c>
      <c r="J322" s="373" t="s">
        <v>1901</v>
      </c>
    </row>
    <row r="323" spans="1:10" ht="45" customHeight="1" x14ac:dyDescent="0.45">
      <c r="A323" s="42">
        <v>322</v>
      </c>
      <c r="B323" s="368" t="s">
        <v>2103</v>
      </c>
      <c r="C323" s="370" t="s">
        <v>2104</v>
      </c>
      <c r="D323" s="376" t="s">
        <v>2101</v>
      </c>
      <c r="E323" s="369" t="s">
        <v>2097</v>
      </c>
      <c r="F323" s="369" t="s">
        <v>1746</v>
      </c>
      <c r="G323" s="371" t="s">
        <v>310</v>
      </c>
      <c r="H323" s="372" t="s">
        <v>253</v>
      </c>
      <c r="I323" s="22" t="s">
        <v>64</v>
      </c>
      <c r="J323" s="373" t="s">
        <v>1901</v>
      </c>
    </row>
    <row r="324" spans="1:10" ht="45" customHeight="1" x14ac:dyDescent="0.45">
      <c r="A324" s="42">
        <v>323</v>
      </c>
      <c r="B324" s="368" t="s">
        <v>2108</v>
      </c>
      <c r="C324" s="370" t="s">
        <v>2109</v>
      </c>
      <c r="D324" s="376" t="s">
        <v>2106</v>
      </c>
      <c r="E324" s="369" t="s">
        <v>2097</v>
      </c>
      <c r="F324" s="369" t="s">
        <v>1746</v>
      </c>
      <c r="G324" s="371" t="s">
        <v>310</v>
      </c>
      <c r="H324" s="372" t="s">
        <v>253</v>
      </c>
      <c r="I324" s="22" t="s">
        <v>64</v>
      </c>
      <c r="J324" s="373" t="s">
        <v>1901</v>
      </c>
    </row>
    <row r="325" spans="1:10" ht="45" customHeight="1" x14ac:dyDescent="0.45">
      <c r="A325" s="42">
        <v>324</v>
      </c>
      <c r="B325" s="368" t="s">
        <v>2113</v>
      </c>
      <c r="C325" s="370" t="s">
        <v>2114</v>
      </c>
      <c r="D325" s="376" t="s">
        <v>2111</v>
      </c>
      <c r="E325" s="369" t="s">
        <v>2097</v>
      </c>
      <c r="F325" s="369" t="s">
        <v>1746</v>
      </c>
      <c r="G325" s="371" t="s">
        <v>310</v>
      </c>
      <c r="H325" s="372" t="s">
        <v>253</v>
      </c>
      <c r="I325" s="22" t="s">
        <v>64</v>
      </c>
      <c r="J325" s="373" t="s">
        <v>1901</v>
      </c>
    </row>
    <row r="326" spans="1:10" ht="45" customHeight="1" x14ac:dyDescent="0.45">
      <c r="A326" s="42">
        <v>325</v>
      </c>
      <c r="B326" s="368" t="s">
        <v>2118</v>
      </c>
      <c r="C326" s="370" t="s">
        <v>2119</v>
      </c>
      <c r="D326" s="376" t="s">
        <v>2116</v>
      </c>
      <c r="E326" s="369" t="s">
        <v>2097</v>
      </c>
      <c r="F326" s="369" t="s">
        <v>1746</v>
      </c>
      <c r="G326" s="371" t="s">
        <v>310</v>
      </c>
      <c r="H326" s="372" t="s">
        <v>253</v>
      </c>
      <c r="I326" s="22" t="s">
        <v>64</v>
      </c>
      <c r="J326" s="373" t="s">
        <v>1901</v>
      </c>
    </row>
    <row r="327" spans="1:10" ht="45" customHeight="1" x14ac:dyDescent="0.45">
      <c r="A327" s="42">
        <v>326</v>
      </c>
      <c r="B327" s="85" t="s">
        <v>2123</v>
      </c>
      <c r="C327" s="72" t="s">
        <v>2124</v>
      </c>
      <c r="D327" s="50" t="s">
        <v>2121</v>
      </c>
      <c r="E327" s="70" t="s">
        <v>571</v>
      </c>
      <c r="F327" s="70" t="s">
        <v>1746</v>
      </c>
      <c r="G327" s="71" t="s">
        <v>310</v>
      </c>
      <c r="H327" s="93" t="s">
        <v>253</v>
      </c>
      <c r="I327" s="22" t="s">
        <v>64</v>
      </c>
      <c r="J327" s="87" t="s">
        <v>1901</v>
      </c>
    </row>
    <row r="328" spans="1:10" ht="45" customHeight="1" x14ac:dyDescent="0.45">
      <c r="A328" s="42">
        <v>327</v>
      </c>
      <c r="B328" s="85" t="s">
        <v>2128</v>
      </c>
      <c r="C328" s="72" t="s">
        <v>2129</v>
      </c>
      <c r="D328" s="50" t="s">
        <v>2126</v>
      </c>
      <c r="E328" s="70" t="s">
        <v>571</v>
      </c>
      <c r="F328" s="70" t="s">
        <v>1746</v>
      </c>
      <c r="G328" s="71" t="s">
        <v>310</v>
      </c>
      <c r="H328" s="93" t="s">
        <v>253</v>
      </c>
      <c r="I328" s="22" t="s">
        <v>64</v>
      </c>
      <c r="J328" s="87" t="s">
        <v>1901</v>
      </c>
    </row>
    <row r="329" spans="1:10" ht="45" customHeight="1" x14ac:dyDescent="0.45">
      <c r="A329" s="42">
        <v>328</v>
      </c>
      <c r="B329" s="85" t="s">
        <v>2133</v>
      </c>
      <c r="C329" s="72" t="s">
        <v>2134</v>
      </c>
      <c r="D329" s="50" t="s">
        <v>2131</v>
      </c>
      <c r="E329" s="70" t="s">
        <v>571</v>
      </c>
      <c r="F329" s="70" t="s">
        <v>1746</v>
      </c>
      <c r="G329" s="71" t="s">
        <v>310</v>
      </c>
      <c r="H329" s="93" t="s">
        <v>253</v>
      </c>
      <c r="I329" s="22" t="s">
        <v>64</v>
      </c>
      <c r="J329" s="87" t="s">
        <v>1901</v>
      </c>
    </row>
    <row r="330" spans="1:10" ht="45" customHeight="1" x14ac:dyDescent="0.45">
      <c r="A330" s="42">
        <v>329</v>
      </c>
      <c r="B330" s="85" t="s">
        <v>2138</v>
      </c>
      <c r="C330" s="72" t="s">
        <v>2139</v>
      </c>
      <c r="D330" s="50" t="s">
        <v>2136</v>
      </c>
      <c r="E330" s="70" t="s">
        <v>571</v>
      </c>
      <c r="F330" s="70" t="s">
        <v>1746</v>
      </c>
      <c r="G330" s="71" t="s">
        <v>310</v>
      </c>
      <c r="H330" s="93" t="s">
        <v>253</v>
      </c>
      <c r="I330" s="22" t="s">
        <v>64</v>
      </c>
      <c r="J330" s="87" t="s">
        <v>1901</v>
      </c>
    </row>
    <row r="331" spans="1:10" ht="45" customHeight="1" x14ac:dyDescent="0.45">
      <c r="A331" s="42">
        <v>330</v>
      </c>
      <c r="B331" s="85" t="s">
        <v>2143</v>
      </c>
      <c r="C331" s="72" t="s">
        <v>2144</v>
      </c>
      <c r="D331" s="50" t="s">
        <v>2141</v>
      </c>
      <c r="E331" s="70" t="s">
        <v>571</v>
      </c>
      <c r="F331" s="70" t="s">
        <v>1746</v>
      </c>
      <c r="G331" s="71" t="s">
        <v>310</v>
      </c>
      <c r="H331" s="93" t="s">
        <v>253</v>
      </c>
      <c r="I331" s="22" t="s">
        <v>64</v>
      </c>
      <c r="J331" s="87" t="s">
        <v>1901</v>
      </c>
    </row>
    <row r="332" spans="1:10" ht="45" customHeight="1" x14ac:dyDescent="0.45">
      <c r="A332" s="42">
        <v>331</v>
      </c>
      <c r="B332" s="85" t="s">
        <v>2148</v>
      </c>
      <c r="C332" s="72" t="s">
        <v>2149</v>
      </c>
      <c r="D332" s="50" t="s">
        <v>2146</v>
      </c>
      <c r="E332" s="70" t="s">
        <v>571</v>
      </c>
      <c r="F332" s="70" t="s">
        <v>1746</v>
      </c>
      <c r="G332" s="71" t="s">
        <v>310</v>
      </c>
      <c r="H332" s="93" t="s">
        <v>253</v>
      </c>
      <c r="I332" s="22" t="s">
        <v>64</v>
      </c>
      <c r="J332" s="87" t="s">
        <v>1901</v>
      </c>
    </row>
    <row r="333" spans="1:10" ht="45" customHeight="1" x14ac:dyDescent="0.45">
      <c r="A333" s="42">
        <v>332</v>
      </c>
      <c r="B333" s="85" t="s">
        <v>2153</v>
      </c>
      <c r="C333" s="72" t="s">
        <v>2154</v>
      </c>
      <c r="D333" s="50" t="s">
        <v>2151</v>
      </c>
      <c r="E333" s="70" t="s">
        <v>571</v>
      </c>
      <c r="F333" s="70" t="s">
        <v>1746</v>
      </c>
      <c r="G333" s="71" t="s">
        <v>310</v>
      </c>
      <c r="H333" s="93" t="s">
        <v>253</v>
      </c>
      <c r="I333" s="22" t="s">
        <v>64</v>
      </c>
      <c r="J333" s="87" t="s">
        <v>1901</v>
      </c>
    </row>
    <row r="334" spans="1:10" ht="45" customHeight="1" x14ac:dyDescent="0.45">
      <c r="A334" s="42">
        <v>333</v>
      </c>
      <c r="B334" s="85" t="s">
        <v>2158</v>
      </c>
      <c r="C334" s="72" t="s">
        <v>2159</v>
      </c>
      <c r="D334" s="50" t="s">
        <v>2156</v>
      </c>
      <c r="E334" s="70" t="s">
        <v>571</v>
      </c>
      <c r="F334" s="70" t="s">
        <v>1746</v>
      </c>
      <c r="G334" s="71" t="s">
        <v>310</v>
      </c>
      <c r="H334" s="93" t="s">
        <v>253</v>
      </c>
      <c r="I334" s="22" t="s">
        <v>64</v>
      </c>
      <c r="J334" s="87" t="s">
        <v>1901</v>
      </c>
    </row>
    <row r="335" spans="1:10" ht="45" customHeight="1" x14ac:dyDescent="0.45">
      <c r="A335" s="42">
        <v>334</v>
      </c>
      <c r="B335" s="85" t="s">
        <v>2163</v>
      </c>
      <c r="C335" s="72" t="s">
        <v>2164</v>
      </c>
      <c r="D335" s="50" t="s">
        <v>2161</v>
      </c>
      <c r="E335" s="70" t="s">
        <v>571</v>
      </c>
      <c r="F335" s="70" t="s">
        <v>1746</v>
      </c>
      <c r="G335" s="71" t="s">
        <v>310</v>
      </c>
      <c r="H335" s="93" t="s">
        <v>253</v>
      </c>
      <c r="I335" s="22" t="s">
        <v>64</v>
      </c>
      <c r="J335" s="87" t="s">
        <v>1901</v>
      </c>
    </row>
    <row r="336" spans="1:10" ht="45" customHeight="1" x14ac:dyDescent="0.45">
      <c r="A336" s="42">
        <v>335</v>
      </c>
      <c r="B336" s="390" t="s">
        <v>2170</v>
      </c>
      <c r="C336" s="392" t="s">
        <v>2171</v>
      </c>
      <c r="D336" s="425" t="s">
        <v>2167</v>
      </c>
      <c r="E336" s="391" t="s">
        <v>2169</v>
      </c>
      <c r="F336" s="391" t="s">
        <v>1746</v>
      </c>
      <c r="G336" s="393" t="s">
        <v>310</v>
      </c>
      <c r="H336" s="394" t="s">
        <v>253</v>
      </c>
      <c r="I336" s="22" t="s">
        <v>64</v>
      </c>
      <c r="J336" s="395" t="s">
        <v>1901</v>
      </c>
    </row>
    <row r="337" spans="1:10" ht="45" customHeight="1" x14ac:dyDescent="0.45">
      <c r="A337" s="42">
        <v>336</v>
      </c>
      <c r="B337" s="390" t="s">
        <v>2175</v>
      </c>
      <c r="C337" s="392" t="s">
        <v>2176</v>
      </c>
      <c r="D337" s="425" t="s">
        <v>2173</v>
      </c>
      <c r="E337" s="391" t="s">
        <v>2169</v>
      </c>
      <c r="F337" s="391" t="s">
        <v>1746</v>
      </c>
      <c r="G337" s="393" t="s">
        <v>310</v>
      </c>
      <c r="H337" s="394" t="s">
        <v>253</v>
      </c>
      <c r="I337" s="22" t="s">
        <v>64</v>
      </c>
      <c r="J337" s="395" t="s">
        <v>1901</v>
      </c>
    </row>
    <row r="338" spans="1:10" ht="45" customHeight="1" x14ac:dyDescent="0.45">
      <c r="A338" s="42">
        <v>337</v>
      </c>
      <c r="B338" s="390" t="s">
        <v>2180</v>
      </c>
      <c r="C338" s="392" t="s">
        <v>2181</v>
      </c>
      <c r="D338" s="425" t="s">
        <v>2178</v>
      </c>
      <c r="E338" s="391" t="s">
        <v>2169</v>
      </c>
      <c r="F338" s="391" t="s">
        <v>1746</v>
      </c>
      <c r="G338" s="393" t="s">
        <v>310</v>
      </c>
      <c r="H338" s="394" t="s">
        <v>253</v>
      </c>
      <c r="I338" s="22" t="s">
        <v>64</v>
      </c>
      <c r="J338" s="395" t="s">
        <v>1901</v>
      </c>
    </row>
    <row r="339" spans="1:10" ht="45" customHeight="1" x14ac:dyDescent="0.45">
      <c r="A339" s="42">
        <v>338</v>
      </c>
      <c r="B339" s="390" t="s">
        <v>2185</v>
      </c>
      <c r="C339" s="392" t="s">
        <v>2186</v>
      </c>
      <c r="D339" s="425" t="s">
        <v>2183</v>
      </c>
      <c r="E339" s="391" t="s">
        <v>2169</v>
      </c>
      <c r="F339" s="391" t="s">
        <v>1746</v>
      </c>
      <c r="G339" s="393" t="s">
        <v>310</v>
      </c>
      <c r="H339" s="394" t="s">
        <v>253</v>
      </c>
      <c r="I339" s="22" t="s">
        <v>64</v>
      </c>
      <c r="J339" s="395" t="s">
        <v>1901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1"/>
  <sheetViews>
    <sheetView zoomScaleNormal="100" workbookViewId="0">
      <pane ySplit="1" topLeftCell="A2" activePane="bottomLeft" state="frozen"/>
      <selection pane="bottomLeft"/>
    </sheetView>
  </sheetViews>
  <sheetFormatPr defaultColWidth="8.6640625" defaultRowHeight="14.25" x14ac:dyDescent="0.45"/>
  <cols>
    <col min="1" max="1" width="20" customWidth="1"/>
    <col min="2" max="2" width="42" customWidth="1"/>
    <col min="3" max="3" width="32" customWidth="1"/>
    <col min="4" max="4" width="65" customWidth="1"/>
    <col min="5" max="5" width="28" customWidth="1"/>
    <col min="6" max="6" width="26" customWidth="1"/>
    <col min="7" max="7" width="28" customWidth="1"/>
  </cols>
  <sheetData>
    <row r="1" spans="1:7" ht="15" customHeight="1" x14ac:dyDescent="0.45">
      <c r="A1" s="5" t="s">
        <v>4</v>
      </c>
      <c r="B1" s="5" t="s">
        <v>2472</v>
      </c>
      <c r="C1" s="5" t="s">
        <v>2473</v>
      </c>
      <c r="D1" s="5" t="s">
        <v>2474</v>
      </c>
      <c r="E1" s="5" t="s">
        <v>18</v>
      </c>
      <c r="F1" s="5" t="s">
        <v>2475</v>
      </c>
      <c r="G1" s="5" t="s">
        <v>20</v>
      </c>
    </row>
    <row r="2" spans="1:7" ht="49.5" customHeight="1" x14ac:dyDescent="0.45">
      <c r="A2" s="426" t="s">
        <v>2118</v>
      </c>
      <c r="B2" s="45" t="s">
        <v>2119</v>
      </c>
      <c r="C2" s="44" t="s">
        <v>562</v>
      </c>
      <c r="D2" s="44" t="s">
        <v>563</v>
      </c>
      <c r="E2" s="46" t="s">
        <v>564</v>
      </c>
      <c r="F2" s="44" t="s">
        <v>565</v>
      </c>
      <c r="G2" s="25" t="s">
        <v>566</v>
      </c>
    </row>
    <row r="3" spans="1:7" ht="49.5" customHeight="1" x14ac:dyDescent="0.45">
      <c r="A3" s="427" t="s">
        <v>2064</v>
      </c>
      <c r="B3" s="428" t="s">
        <v>2065</v>
      </c>
      <c r="C3" s="429" t="s">
        <v>562</v>
      </c>
      <c r="D3" s="429" t="s">
        <v>563</v>
      </c>
      <c r="E3" s="430" t="s">
        <v>564</v>
      </c>
      <c r="F3" s="429" t="s">
        <v>565</v>
      </c>
      <c r="G3" s="25" t="s">
        <v>566</v>
      </c>
    </row>
    <row r="4" spans="1:7" ht="49.5" customHeight="1" x14ac:dyDescent="0.45">
      <c r="A4" s="426" t="s">
        <v>1007</v>
      </c>
      <c r="B4" s="45" t="s">
        <v>1008</v>
      </c>
      <c r="C4" s="44" t="s">
        <v>1012</v>
      </c>
      <c r="D4" s="44" t="s">
        <v>1013</v>
      </c>
      <c r="E4" s="46" t="s">
        <v>1014</v>
      </c>
      <c r="F4" s="44" t="s">
        <v>994</v>
      </c>
      <c r="G4" s="25" t="s">
        <v>995</v>
      </c>
    </row>
    <row r="5" spans="1:7" ht="49.5" customHeight="1" x14ac:dyDescent="0.45">
      <c r="A5" s="427" t="s">
        <v>930</v>
      </c>
      <c r="B5" s="428" t="s">
        <v>931</v>
      </c>
      <c r="C5" s="429" t="s">
        <v>939</v>
      </c>
      <c r="D5" s="429" t="s">
        <v>940</v>
      </c>
      <c r="E5" s="430" t="s">
        <v>941</v>
      </c>
      <c r="F5" s="429" t="s">
        <v>942</v>
      </c>
      <c r="G5" s="25" t="s">
        <v>943</v>
      </c>
    </row>
    <row r="6" spans="1:7" ht="49.5" customHeight="1" x14ac:dyDescent="0.45">
      <c r="A6" s="426" t="s">
        <v>985</v>
      </c>
      <c r="B6" s="45" t="s">
        <v>986</v>
      </c>
      <c r="C6" s="44" t="s">
        <v>991</v>
      </c>
      <c r="D6" s="44" t="s">
        <v>992</v>
      </c>
      <c r="E6" s="46" t="s">
        <v>993</v>
      </c>
      <c r="F6" s="44" t="s">
        <v>994</v>
      </c>
      <c r="G6" s="25" t="s">
        <v>995</v>
      </c>
    </row>
    <row r="7" spans="1:7" ht="49.5" customHeight="1" x14ac:dyDescent="0.45">
      <c r="A7" s="427" t="s">
        <v>996</v>
      </c>
      <c r="B7" s="428" t="s">
        <v>997</v>
      </c>
      <c r="C7" s="429" t="s">
        <v>1002</v>
      </c>
      <c r="D7" s="429" t="s">
        <v>1003</v>
      </c>
      <c r="E7" s="430" t="s">
        <v>1004</v>
      </c>
      <c r="F7" s="429" t="s">
        <v>1005</v>
      </c>
      <c r="G7" s="25" t="s">
        <v>1006</v>
      </c>
    </row>
    <row r="8" spans="1:7" ht="49.5" customHeight="1" x14ac:dyDescent="0.45">
      <c r="A8" s="426" t="s">
        <v>973</v>
      </c>
      <c r="B8" s="45" t="s">
        <v>974</v>
      </c>
      <c r="C8" s="44" t="s">
        <v>980</v>
      </c>
      <c r="D8" s="44" t="s">
        <v>981</v>
      </c>
      <c r="E8" s="46" t="s">
        <v>982</v>
      </c>
      <c r="F8" s="44" t="s">
        <v>983</v>
      </c>
      <c r="G8" s="25" t="s">
        <v>984</v>
      </c>
    </row>
    <row r="9" spans="1:7" ht="49.5" customHeight="1" x14ac:dyDescent="0.45">
      <c r="A9" s="427" t="s">
        <v>148</v>
      </c>
      <c r="B9" s="428" t="s">
        <v>149</v>
      </c>
      <c r="C9" s="429" t="s">
        <v>157</v>
      </c>
      <c r="D9" s="429" t="s">
        <v>158</v>
      </c>
      <c r="E9" s="430" t="s">
        <v>159</v>
      </c>
      <c r="F9" s="429" t="s">
        <v>160</v>
      </c>
      <c r="G9" s="25" t="s">
        <v>161</v>
      </c>
    </row>
    <row r="10" spans="1:7" ht="49.5" customHeight="1" x14ac:dyDescent="0.45">
      <c r="A10" s="426" t="s">
        <v>1131</v>
      </c>
      <c r="B10" s="45" t="s">
        <v>1132</v>
      </c>
      <c r="C10" s="44" t="s">
        <v>1135</v>
      </c>
      <c r="D10" s="44" t="s">
        <v>1136</v>
      </c>
      <c r="E10" s="46" t="s">
        <v>1137</v>
      </c>
      <c r="F10" s="44" t="s">
        <v>1138</v>
      </c>
      <c r="G10" s="25" t="s">
        <v>1139</v>
      </c>
    </row>
    <row r="11" spans="1:7" ht="49.5" customHeight="1" x14ac:dyDescent="0.45">
      <c r="A11" s="427" t="s">
        <v>1085</v>
      </c>
      <c r="B11" s="428" t="s">
        <v>1086</v>
      </c>
      <c r="C11" s="429" t="s">
        <v>1093</v>
      </c>
      <c r="D11" s="429" t="s">
        <v>1094</v>
      </c>
      <c r="E11" s="430" t="s">
        <v>1095</v>
      </c>
      <c r="F11" s="429" t="s">
        <v>1096</v>
      </c>
      <c r="G11" s="25" t="s">
        <v>666</v>
      </c>
    </row>
    <row r="12" spans="1:7" ht="49.5" customHeight="1" x14ac:dyDescent="0.45">
      <c r="A12" s="426" t="s">
        <v>1140</v>
      </c>
      <c r="B12" s="45" t="s">
        <v>1141</v>
      </c>
      <c r="C12" s="44" t="s">
        <v>562</v>
      </c>
      <c r="D12" s="44" t="s">
        <v>563</v>
      </c>
      <c r="E12" s="46" t="s">
        <v>564</v>
      </c>
      <c r="F12" s="44" t="s">
        <v>565</v>
      </c>
      <c r="G12" s="25" t="s">
        <v>566</v>
      </c>
    </row>
    <row r="13" spans="1:7" ht="49.5" customHeight="1" x14ac:dyDescent="0.45">
      <c r="A13" s="427" t="s">
        <v>1145</v>
      </c>
      <c r="B13" s="428" t="s">
        <v>1146</v>
      </c>
      <c r="C13" s="429" t="s">
        <v>562</v>
      </c>
      <c r="D13" s="429" t="s">
        <v>563</v>
      </c>
      <c r="E13" s="430" t="s">
        <v>564</v>
      </c>
      <c r="F13" s="429" t="s">
        <v>565</v>
      </c>
      <c r="G13" s="25" t="s">
        <v>566</v>
      </c>
    </row>
    <row r="14" spans="1:7" ht="49.5" customHeight="1" x14ac:dyDescent="0.45">
      <c r="A14" s="426" t="s">
        <v>1120</v>
      </c>
      <c r="B14" s="45" t="s">
        <v>1121</v>
      </c>
      <c r="C14" s="44" t="s">
        <v>1125</v>
      </c>
      <c r="D14" s="44" t="s">
        <v>1126</v>
      </c>
      <c r="E14" s="46" t="s">
        <v>1127</v>
      </c>
      <c r="F14" s="44" t="s">
        <v>1128</v>
      </c>
      <c r="G14" s="25" t="s">
        <v>1129</v>
      </c>
    </row>
    <row r="15" spans="1:7" ht="49.5" customHeight="1" x14ac:dyDescent="0.45">
      <c r="A15" s="427" t="s">
        <v>1683</v>
      </c>
      <c r="B15" s="428" t="s">
        <v>1684</v>
      </c>
      <c r="C15" s="429" t="s">
        <v>1689</v>
      </c>
      <c r="D15" s="429" t="s">
        <v>1690</v>
      </c>
      <c r="E15" s="430" t="s">
        <v>1691</v>
      </c>
      <c r="F15" s="429" t="s">
        <v>281</v>
      </c>
      <c r="G15" s="25" t="s">
        <v>1326</v>
      </c>
    </row>
    <row r="16" spans="1:7" ht="49.5" customHeight="1" x14ac:dyDescent="0.45">
      <c r="A16" s="426" t="s">
        <v>1676</v>
      </c>
      <c r="B16" s="45" t="s">
        <v>1677</v>
      </c>
      <c r="C16" s="44" t="s">
        <v>562</v>
      </c>
      <c r="D16" s="44" t="s">
        <v>563</v>
      </c>
      <c r="E16" s="46" t="s">
        <v>564</v>
      </c>
      <c r="F16" s="44" t="s">
        <v>565</v>
      </c>
      <c r="G16" s="25" t="s">
        <v>566</v>
      </c>
    </row>
    <row r="17" spans="1:7" ht="49.5" customHeight="1" x14ac:dyDescent="0.45">
      <c r="A17" s="427" t="s">
        <v>1697</v>
      </c>
      <c r="B17" s="428" t="s">
        <v>1698</v>
      </c>
      <c r="C17" s="429" t="s">
        <v>562</v>
      </c>
      <c r="D17" s="429" t="s">
        <v>563</v>
      </c>
      <c r="E17" s="430" t="s">
        <v>564</v>
      </c>
      <c r="F17" s="429" t="s">
        <v>565</v>
      </c>
      <c r="G17" s="25" t="s">
        <v>566</v>
      </c>
    </row>
    <row r="18" spans="1:7" ht="49.5" customHeight="1" x14ac:dyDescent="0.45">
      <c r="A18" s="426" t="s">
        <v>1692</v>
      </c>
      <c r="B18" s="45" t="s">
        <v>1693</v>
      </c>
      <c r="C18" s="44" t="s">
        <v>562</v>
      </c>
      <c r="D18" s="44" t="s">
        <v>563</v>
      </c>
      <c r="E18" s="46" t="s">
        <v>564</v>
      </c>
      <c r="F18" s="44" t="s">
        <v>565</v>
      </c>
      <c r="G18" s="25" t="s">
        <v>566</v>
      </c>
    </row>
    <row r="19" spans="1:7" ht="49.5" customHeight="1" x14ac:dyDescent="0.45">
      <c r="A19" s="427" t="s">
        <v>2170</v>
      </c>
      <c r="B19" s="428" t="s">
        <v>2171</v>
      </c>
      <c r="C19" s="429" t="s">
        <v>562</v>
      </c>
      <c r="D19" s="429" t="s">
        <v>563</v>
      </c>
      <c r="E19" s="430" t="s">
        <v>564</v>
      </c>
      <c r="F19" s="429" t="s">
        <v>565</v>
      </c>
      <c r="G19" s="25" t="s">
        <v>566</v>
      </c>
    </row>
    <row r="20" spans="1:7" ht="49.5" customHeight="1" x14ac:dyDescent="0.45">
      <c r="A20" s="426" t="s">
        <v>222</v>
      </c>
      <c r="B20" s="45" t="s">
        <v>223</v>
      </c>
      <c r="C20" s="44" t="s">
        <v>230</v>
      </c>
      <c r="D20" s="44" t="s">
        <v>231</v>
      </c>
      <c r="E20" s="46" t="s">
        <v>232</v>
      </c>
      <c r="F20" s="44" t="s">
        <v>233</v>
      </c>
      <c r="G20" s="25" t="s">
        <v>234</v>
      </c>
    </row>
    <row r="21" spans="1:7" ht="49.5" customHeight="1" x14ac:dyDescent="0.45">
      <c r="A21" s="427" t="s">
        <v>1367</v>
      </c>
      <c r="B21" s="428" t="s">
        <v>1368</v>
      </c>
      <c r="C21" s="429" t="s">
        <v>1373</v>
      </c>
      <c r="D21" s="429" t="s">
        <v>1374</v>
      </c>
      <c r="E21" s="430" t="s">
        <v>1375</v>
      </c>
      <c r="F21" s="429" t="s">
        <v>1376</v>
      </c>
      <c r="G21" s="25" t="s">
        <v>1377</v>
      </c>
    </row>
    <row r="22" spans="1:7" ht="49.5" customHeight="1" x14ac:dyDescent="0.45">
      <c r="A22" s="426" t="s">
        <v>1356</v>
      </c>
      <c r="B22" s="45" t="s">
        <v>1357</v>
      </c>
      <c r="C22" s="44" t="s">
        <v>562</v>
      </c>
      <c r="D22" s="44" t="s">
        <v>563</v>
      </c>
      <c r="E22" s="46" t="s">
        <v>564</v>
      </c>
      <c r="F22" s="44" t="s">
        <v>565</v>
      </c>
      <c r="G22" s="25" t="s">
        <v>566</v>
      </c>
    </row>
    <row r="23" spans="1:7" ht="49.5" customHeight="1" x14ac:dyDescent="0.45">
      <c r="A23" s="427" t="s">
        <v>1362</v>
      </c>
      <c r="B23" s="428" t="s">
        <v>1363</v>
      </c>
      <c r="C23" s="429" t="s">
        <v>562</v>
      </c>
      <c r="D23" s="429" t="s">
        <v>563</v>
      </c>
      <c r="E23" s="430" t="s">
        <v>564</v>
      </c>
      <c r="F23" s="429" t="s">
        <v>565</v>
      </c>
      <c r="G23" s="25" t="s">
        <v>566</v>
      </c>
    </row>
    <row r="24" spans="1:7" ht="49.5" customHeight="1" x14ac:dyDescent="0.45">
      <c r="A24" s="426" t="s">
        <v>1389</v>
      </c>
      <c r="B24" s="45" t="s">
        <v>1390</v>
      </c>
      <c r="C24" s="44" t="s">
        <v>1393</v>
      </c>
      <c r="D24" s="44" t="s">
        <v>1394</v>
      </c>
      <c r="E24" s="46" t="s">
        <v>850</v>
      </c>
      <c r="F24" s="44" t="s">
        <v>1386</v>
      </c>
      <c r="G24" s="25" t="s">
        <v>1395</v>
      </c>
    </row>
    <row r="25" spans="1:7" ht="49.5" customHeight="1" x14ac:dyDescent="0.45">
      <c r="A25" s="427" t="s">
        <v>1379</v>
      </c>
      <c r="B25" s="428" t="s">
        <v>1380</v>
      </c>
      <c r="C25" s="429" t="s">
        <v>1383</v>
      </c>
      <c r="D25" s="429" t="s">
        <v>1384</v>
      </c>
      <c r="E25" s="430" t="s">
        <v>1385</v>
      </c>
      <c r="F25" s="429" t="s">
        <v>1386</v>
      </c>
      <c r="G25" s="25" t="s">
        <v>1387</v>
      </c>
    </row>
    <row r="26" spans="1:7" ht="49.5" customHeight="1" x14ac:dyDescent="0.45">
      <c r="A26" s="426" t="s">
        <v>1397</v>
      </c>
      <c r="B26" s="45" t="s">
        <v>1398</v>
      </c>
      <c r="C26" s="44" t="s">
        <v>1402</v>
      </c>
      <c r="D26" s="44" t="s">
        <v>1403</v>
      </c>
      <c r="E26" s="46" t="s">
        <v>1404</v>
      </c>
      <c r="F26" s="44" t="s">
        <v>1405</v>
      </c>
      <c r="G26" s="25" t="s">
        <v>1406</v>
      </c>
    </row>
    <row r="27" spans="1:7" ht="49.5" customHeight="1" x14ac:dyDescent="0.45">
      <c r="A27" s="427" t="s">
        <v>1419</v>
      </c>
      <c r="B27" s="428" t="s">
        <v>1420</v>
      </c>
      <c r="C27" s="429" t="s">
        <v>562</v>
      </c>
      <c r="D27" s="429" t="s">
        <v>563</v>
      </c>
      <c r="E27" s="430" t="s">
        <v>564</v>
      </c>
      <c r="F27" s="429" t="s">
        <v>565</v>
      </c>
      <c r="G27" s="25" t="s">
        <v>566</v>
      </c>
    </row>
    <row r="28" spans="1:7" ht="49.5" customHeight="1" x14ac:dyDescent="0.45">
      <c r="A28" s="426" t="s">
        <v>1343</v>
      </c>
      <c r="B28" s="45" t="s">
        <v>1344</v>
      </c>
      <c r="C28" s="44" t="s">
        <v>1350</v>
      </c>
      <c r="D28" s="44" t="s">
        <v>1351</v>
      </c>
      <c r="E28" s="46" t="s">
        <v>1352</v>
      </c>
      <c r="F28" s="44" t="s">
        <v>1353</v>
      </c>
      <c r="G28" s="25" t="s">
        <v>1354</v>
      </c>
    </row>
    <row r="29" spans="1:7" ht="49.5" customHeight="1" x14ac:dyDescent="0.45">
      <c r="A29" s="427" t="s">
        <v>1424</v>
      </c>
      <c r="B29" s="428" t="s">
        <v>1425</v>
      </c>
      <c r="C29" s="429" t="s">
        <v>562</v>
      </c>
      <c r="D29" s="429" t="s">
        <v>563</v>
      </c>
      <c r="E29" s="430" t="s">
        <v>564</v>
      </c>
      <c r="F29" s="429" t="s">
        <v>565</v>
      </c>
      <c r="G29" s="25" t="s">
        <v>566</v>
      </c>
    </row>
    <row r="30" spans="1:7" ht="49.5" customHeight="1" x14ac:dyDescent="0.45">
      <c r="A30" s="426" t="s">
        <v>191</v>
      </c>
      <c r="B30" s="45" t="s">
        <v>192</v>
      </c>
      <c r="C30" s="44" t="s">
        <v>198</v>
      </c>
      <c r="D30" s="44" t="s">
        <v>199</v>
      </c>
      <c r="E30" s="46" t="s">
        <v>200</v>
      </c>
      <c r="F30" s="44" t="s">
        <v>201</v>
      </c>
      <c r="G30" s="25" t="s">
        <v>118</v>
      </c>
    </row>
    <row r="31" spans="1:7" ht="49.5" customHeight="1" x14ac:dyDescent="0.45">
      <c r="A31" s="427" t="s">
        <v>1431</v>
      </c>
      <c r="B31" s="428" t="s">
        <v>1432</v>
      </c>
      <c r="C31" s="429" t="s">
        <v>1437</v>
      </c>
      <c r="D31" s="429" t="s">
        <v>1438</v>
      </c>
      <c r="E31" s="430" t="s">
        <v>1439</v>
      </c>
      <c r="F31" s="429" t="s">
        <v>1440</v>
      </c>
      <c r="G31" s="25" t="s">
        <v>1441</v>
      </c>
    </row>
    <row r="32" spans="1:7" ht="49.5" customHeight="1" x14ac:dyDescent="0.45">
      <c r="A32" s="426" t="s">
        <v>1443</v>
      </c>
      <c r="B32" s="45" t="s">
        <v>1444</v>
      </c>
      <c r="C32" s="44" t="s">
        <v>562</v>
      </c>
      <c r="D32" s="44" t="s">
        <v>563</v>
      </c>
      <c r="E32" s="46" t="s">
        <v>564</v>
      </c>
      <c r="F32" s="44" t="s">
        <v>565</v>
      </c>
      <c r="G32" s="25" t="s">
        <v>566</v>
      </c>
    </row>
    <row r="33" spans="1:7" ht="49.5" customHeight="1" x14ac:dyDescent="0.45">
      <c r="A33" s="427" t="s">
        <v>1454</v>
      </c>
      <c r="B33" s="428" t="s">
        <v>1455</v>
      </c>
      <c r="C33" s="429" t="s">
        <v>562</v>
      </c>
      <c r="D33" s="429" t="s">
        <v>563</v>
      </c>
      <c r="E33" s="430" t="s">
        <v>564</v>
      </c>
      <c r="F33" s="429" t="s">
        <v>565</v>
      </c>
      <c r="G33" s="25" t="s">
        <v>566</v>
      </c>
    </row>
    <row r="34" spans="1:7" ht="49.5" customHeight="1" x14ac:dyDescent="0.45">
      <c r="A34" s="426" t="s">
        <v>1459</v>
      </c>
      <c r="B34" s="45" t="s">
        <v>1460</v>
      </c>
      <c r="C34" s="44" t="s">
        <v>562</v>
      </c>
      <c r="D34" s="44" t="s">
        <v>563</v>
      </c>
      <c r="E34" s="46" t="s">
        <v>564</v>
      </c>
      <c r="F34" s="44" t="s">
        <v>565</v>
      </c>
      <c r="G34" s="25" t="s">
        <v>566</v>
      </c>
    </row>
    <row r="35" spans="1:7" ht="49.5" customHeight="1" x14ac:dyDescent="0.45">
      <c r="A35" s="427" t="s">
        <v>1448</v>
      </c>
      <c r="B35" s="428" t="s">
        <v>1449</v>
      </c>
      <c r="C35" s="429" t="s">
        <v>562</v>
      </c>
      <c r="D35" s="429" t="s">
        <v>563</v>
      </c>
      <c r="E35" s="430" t="s">
        <v>564</v>
      </c>
      <c r="F35" s="429" t="s">
        <v>565</v>
      </c>
      <c r="G35" s="25" t="s">
        <v>566</v>
      </c>
    </row>
    <row r="36" spans="1:7" ht="49.5" customHeight="1" x14ac:dyDescent="0.45">
      <c r="A36" s="426" t="s">
        <v>2108</v>
      </c>
      <c r="B36" s="45" t="s">
        <v>2109</v>
      </c>
      <c r="C36" s="44" t="s">
        <v>562</v>
      </c>
      <c r="D36" s="44" t="s">
        <v>563</v>
      </c>
      <c r="E36" s="46" t="s">
        <v>564</v>
      </c>
      <c r="F36" s="44" t="s">
        <v>565</v>
      </c>
      <c r="G36" s="25" t="s">
        <v>566</v>
      </c>
    </row>
    <row r="37" spans="1:7" ht="49.5" customHeight="1" x14ac:dyDescent="0.45">
      <c r="A37" s="427" t="s">
        <v>57</v>
      </c>
      <c r="B37" s="428" t="s">
        <v>58</v>
      </c>
      <c r="C37" s="429" t="s">
        <v>69</v>
      </c>
      <c r="D37" s="429" t="s">
        <v>70</v>
      </c>
      <c r="E37" s="430" t="s">
        <v>71</v>
      </c>
      <c r="F37" s="429" t="s">
        <v>72</v>
      </c>
      <c r="G37" s="25" t="s">
        <v>73</v>
      </c>
    </row>
    <row r="38" spans="1:7" ht="49.5" customHeight="1" x14ac:dyDescent="0.45">
      <c r="A38" s="426" t="s">
        <v>1963</v>
      </c>
      <c r="B38" s="45" t="s">
        <v>1964</v>
      </c>
      <c r="C38" s="44" t="s">
        <v>562</v>
      </c>
      <c r="D38" s="44" t="s">
        <v>563</v>
      </c>
      <c r="E38" s="46" t="s">
        <v>564</v>
      </c>
      <c r="F38" s="44" t="s">
        <v>565</v>
      </c>
      <c r="G38" s="25" t="s">
        <v>566</v>
      </c>
    </row>
    <row r="39" spans="1:7" ht="49.5" customHeight="1" x14ac:dyDescent="0.45">
      <c r="A39" s="427" t="s">
        <v>2029</v>
      </c>
      <c r="B39" s="428" t="s">
        <v>2030</v>
      </c>
      <c r="C39" s="429" t="s">
        <v>562</v>
      </c>
      <c r="D39" s="429" t="s">
        <v>563</v>
      </c>
      <c r="E39" s="430" t="s">
        <v>564</v>
      </c>
      <c r="F39" s="429" t="s">
        <v>565</v>
      </c>
      <c r="G39" s="25" t="s">
        <v>566</v>
      </c>
    </row>
    <row r="40" spans="1:7" ht="49.5" customHeight="1" x14ac:dyDescent="0.45">
      <c r="A40" s="426" t="s">
        <v>1992</v>
      </c>
      <c r="B40" s="45" t="s">
        <v>1993</v>
      </c>
      <c r="C40" s="44" t="s">
        <v>562</v>
      </c>
      <c r="D40" s="44" t="s">
        <v>563</v>
      </c>
      <c r="E40" s="46" t="s">
        <v>564</v>
      </c>
      <c r="F40" s="44" t="s">
        <v>565</v>
      </c>
      <c r="G40" s="25" t="s">
        <v>566</v>
      </c>
    </row>
    <row r="41" spans="1:7" ht="49.5" customHeight="1" x14ac:dyDescent="0.45">
      <c r="A41" s="427" t="s">
        <v>1941</v>
      </c>
      <c r="B41" s="428" t="s">
        <v>1942</v>
      </c>
      <c r="C41" s="429" t="s">
        <v>562</v>
      </c>
      <c r="D41" s="429" t="s">
        <v>563</v>
      </c>
      <c r="E41" s="430" t="s">
        <v>564</v>
      </c>
      <c r="F41" s="429" t="s">
        <v>565</v>
      </c>
      <c r="G41" s="25" t="s">
        <v>566</v>
      </c>
    </row>
    <row r="42" spans="1:7" ht="49.5" customHeight="1" x14ac:dyDescent="0.45">
      <c r="A42" s="426" t="s">
        <v>1951</v>
      </c>
      <c r="B42" s="45" t="s">
        <v>1952</v>
      </c>
      <c r="C42" s="44" t="s">
        <v>562</v>
      </c>
      <c r="D42" s="44" t="s">
        <v>563</v>
      </c>
      <c r="E42" s="46" t="s">
        <v>564</v>
      </c>
      <c r="F42" s="44" t="s">
        <v>565</v>
      </c>
      <c r="G42" s="25" t="s">
        <v>566</v>
      </c>
    </row>
    <row r="43" spans="1:7" ht="49.5" customHeight="1" x14ac:dyDescent="0.45">
      <c r="A43" s="427" t="s">
        <v>1724</v>
      </c>
      <c r="B43" s="428" t="s">
        <v>1725</v>
      </c>
      <c r="C43" s="429" t="s">
        <v>1731</v>
      </c>
      <c r="D43" s="429" t="s">
        <v>1732</v>
      </c>
      <c r="E43" s="430" t="s">
        <v>1733</v>
      </c>
      <c r="F43" s="429" t="s">
        <v>1734</v>
      </c>
      <c r="G43" s="25" t="s">
        <v>1441</v>
      </c>
    </row>
    <row r="44" spans="1:7" ht="49.5" customHeight="1" x14ac:dyDescent="0.45">
      <c r="A44" s="426" t="s">
        <v>1735</v>
      </c>
      <c r="B44" s="45" t="s">
        <v>1736</v>
      </c>
      <c r="C44" s="44" t="s">
        <v>562</v>
      </c>
      <c r="D44" s="44" t="s">
        <v>563</v>
      </c>
      <c r="E44" s="46" t="s">
        <v>564</v>
      </c>
      <c r="F44" s="44" t="s">
        <v>565</v>
      </c>
      <c r="G44" s="25" t="s">
        <v>566</v>
      </c>
    </row>
    <row r="45" spans="1:7" ht="49.5" customHeight="1" x14ac:dyDescent="0.45">
      <c r="A45" s="427" t="s">
        <v>1931</v>
      </c>
      <c r="B45" s="428" t="s">
        <v>1932</v>
      </c>
      <c r="C45" s="429" t="s">
        <v>562</v>
      </c>
      <c r="D45" s="429" t="s">
        <v>563</v>
      </c>
      <c r="E45" s="430" t="s">
        <v>564</v>
      </c>
      <c r="F45" s="429" t="s">
        <v>565</v>
      </c>
      <c r="G45" s="25" t="s">
        <v>566</v>
      </c>
    </row>
    <row r="46" spans="1:7" ht="49.5" customHeight="1" x14ac:dyDescent="0.45">
      <c r="A46" s="426" t="s">
        <v>1706</v>
      </c>
      <c r="B46" s="45" t="s">
        <v>1707</v>
      </c>
      <c r="C46" s="44" t="s">
        <v>562</v>
      </c>
      <c r="D46" s="44" t="s">
        <v>563</v>
      </c>
      <c r="E46" s="46" t="s">
        <v>564</v>
      </c>
      <c r="F46" s="44" t="s">
        <v>565</v>
      </c>
      <c r="G46" s="25" t="s">
        <v>566</v>
      </c>
    </row>
    <row r="47" spans="1:7" ht="49.5" customHeight="1" x14ac:dyDescent="0.45">
      <c r="A47" s="427" t="s">
        <v>1712</v>
      </c>
      <c r="B47" s="428" t="s">
        <v>1713</v>
      </c>
      <c r="C47" s="429" t="s">
        <v>562</v>
      </c>
      <c r="D47" s="429" t="s">
        <v>563</v>
      </c>
      <c r="E47" s="430" t="s">
        <v>564</v>
      </c>
      <c r="F47" s="429" t="s">
        <v>565</v>
      </c>
      <c r="G47" s="25" t="s">
        <v>566</v>
      </c>
    </row>
    <row r="48" spans="1:7" ht="49.5" customHeight="1" x14ac:dyDescent="0.45">
      <c r="A48" s="426" t="s">
        <v>1968</v>
      </c>
      <c r="B48" s="45" t="s">
        <v>1969</v>
      </c>
      <c r="C48" s="44" t="s">
        <v>562</v>
      </c>
      <c r="D48" s="44" t="s">
        <v>563</v>
      </c>
      <c r="E48" s="46" t="s">
        <v>564</v>
      </c>
      <c r="F48" s="44" t="s">
        <v>565</v>
      </c>
      <c r="G48" s="25" t="s">
        <v>566</v>
      </c>
    </row>
    <row r="49" spans="1:7" ht="49.5" customHeight="1" x14ac:dyDescent="0.45">
      <c r="A49" s="427" t="s">
        <v>2138</v>
      </c>
      <c r="B49" s="428" t="s">
        <v>2139</v>
      </c>
      <c r="C49" s="429" t="s">
        <v>562</v>
      </c>
      <c r="D49" s="429" t="s">
        <v>563</v>
      </c>
      <c r="E49" s="430" t="s">
        <v>564</v>
      </c>
      <c r="F49" s="429" t="s">
        <v>565</v>
      </c>
      <c r="G49" s="25" t="s">
        <v>566</v>
      </c>
    </row>
    <row r="50" spans="1:7" ht="49.5" customHeight="1" x14ac:dyDescent="0.45">
      <c r="A50" s="426" t="s">
        <v>2128</v>
      </c>
      <c r="B50" s="45" t="s">
        <v>2129</v>
      </c>
      <c r="C50" s="44" t="s">
        <v>562</v>
      </c>
      <c r="D50" s="44" t="s">
        <v>563</v>
      </c>
      <c r="E50" s="46" t="s">
        <v>564</v>
      </c>
      <c r="F50" s="44" t="s">
        <v>565</v>
      </c>
      <c r="G50" s="25" t="s">
        <v>566</v>
      </c>
    </row>
    <row r="51" spans="1:7" ht="49.5" customHeight="1" x14ac:dyDescent="0.45">
      <c r="A51" s="427" t="s">
        <v>2052</v>
      </c>
      <c r="B51" s="428" t="s">
        <v>2047</v>
      </c>
      <c r="C51" s="429" t="s">
        <v>562</v>
      </c>
      <c r="D51" s="429" t="s">
        <v>563</v>
      </c>
      <c r="E51" s="430" t="s">
        <v>564</v>
      </c>
      <c r="F51" s="429" t="s">
        <v>565</v>
      </c>
      <c r="G51" s="25" t="s">
        <v>566</v>
      </c>
    </row>
    <row r="52" spans="1:7" ht="49.5" customHeight="1" x14ac:dyDescent="0.45">
      <c r="A52" s="426" t="s">
        <v>2040</v>
      </c>
      <c r="B52" s="45" t="s">
        <v>2041</v>
      </c>
      <c r="C52" s="44" t="s">
        <v>562</v>
      </c>
      <c r="D52" s="44" t="s">
        <v>563</v>
      </c>
      <c r="E52" s="46" t="s">
        <v>564</v>
      </c>
      <c r="F52" s="44" t="s">
        <v>565</v>
      </c>
      <c r="G52" s="25" t="s">
        <v>566</v>
      </c>
    </row>
    <row r="53" spans="1:7" ht="49.5" customHeight="1" x14ac:dyDescent="0.45">
      <c r="A53" s="427" t="s">
        <v>2143</v>
      </c>
      <c r="B53" s="428" t="s">
        <v>2144</v>
      </c>
      <c r="C53" s="429" t="s">
        <v>562</v>
      </c>
      <c r="D53" s="429" t="s">
        <v>563</v>
      </c>
      <c r="E53" s="430" t="s">
        <v>564</v>
      </c>
      <c r="F53" s="429" t="s">
        <v>565</v>
      </c>
      <c r="G53" s="25" t="s">
        <v>566</v>
      </c>
    </row>
    <row r="54" spans="1:7" ht="49.5" customHeight="1" x14ac:dyDescent="0.45">
      <c r="A54" s="426" t="s">
        <v>2056</v>
      </c>
      <c r="B54" s="45" t="s">
        <v>2057</v>
      </c>
      <c r="C54" s="44" t="s">
        <v>562</v>
      </c>
      <c r="D54" s="44" t="s">
        <v>563</v>
      </c>
      <c r="E54" s="46" t="s">
        <v>564</v>
      </c>
      <c r="F54" s="44" t="s">
        <v>565</v>
      </c>
      <c r="G54" s="25" t="s">
        <v>566</v>
      </c>
    </row>
    <row r="55" spans="1:7" ht="49.5" customHeight="1" x14ac:dyDescent="0.45">
      <c r="A55" s="427" t="s">
        <v>2158</v>
      </c>
      <c r="B55" s="428" t="s">
        <v>2159</v>
      </c>
      <c r="C55" s="429" t="s">
        <v>562</v>
      </c>
      <c r="D55" s="429" t="s">
        <v>563</v>
      </c>
      <c r="E55" s="430" t="s">
        <v>564</v>
      </c>
      <c r="F55" s="429" t="s">
        <v>565</v>
      </c>
      <c r="G55" s="25" t="s">
        <v>566</v>
      </c>
    </row>
    <row r="56" spans="1:7" ht="49.5" customHeight="1" x14ac:dyDescent="0.45">
      <c r="A56" s="426" t="s">
        <v>2046</v>
      </c>
      <c r="B56" s="45" t="s">
        <v>2047</v>
      </c>
      <c r="C56" s="44" t="s">
        <v>562</v>
      </c>
      <c r="D56" s="44" t="s">
        <v>563</v>
      </c>
      <c r="E56" s="46" t="s">
        <v>564</v>
      </c>
      <c r="F56" s="44" t="s">
        <v>565</v>
      </c>
      <c r="G56" s="25" t="s">
        <v>566</v>
      </c>
    </row>
    <row r="57" spans="1:7" ht="49.5" customHeight="1" x14ac:dyDescent="0.45">
      <c r="A57" s="427" t="s">
        <v>1998</v>
      </c>
      <c r="B57" s="428" t="s">
        <v>1999</v>
      </c>
      <c r="C57" s="429" t="s">
        <v>562</v>
      </c>
      <c r="D57" s="429" t="s">
        <v>563</v>
      </c>
      <c r="E57" s="430" t="s">
        <v>564</v>
      </c>
      <c r="F57" s="429" t="s">
        <v>565</v>
      </c>
      <c r="G57" s="25" t="s">
        <v>566</v>
      </c>
    </row>
    <row r="58" spans="1:7" ht="49.5" customHeight="1" x14ac:dyDescent="0.45">
      <c r="A58" s="426" t="s">
        <v>1653</v>
      </c>
      <c r="B58" s="45" t="s">
        <v>1654</v>
      </c>
      <c r="C58" s="44" t="s">
        <v>562</v>
      </c>
      <c r="D58" s="44" t="s">
        <v>563</v>
      </c>
      <c r="E58" s="46" t="s">
        <v>564</v>
      </c>
      <c r="F58" s="44" t="s">
        <v>565</v>
      </c>
      <c r="G58" s="25" t="s">
        <v>566</v>
      </c>
    </row>
    <row r="59" spans="1:7" ht="49.5" customHeight="1" x14ac:dyDescent="0.45">
      <c r="A59" s="427" t="s">
        <v>1668</v>
      </c>
      <c r="B59" s="428" t="s">
        <v>1669</v>
      </c>
      <c r="C59" s="429" t="s">
        <v>562</v>
      </c>
      <c r="D59" s="429" t="s">
        <v>563</v>
      </c>
      <c r="E59" s="430" t="s">
        <v>564</v>
      </c>
      <c r="F59" s="429" t="s">
        <v>565</v>
      </c>
      <c r="G59" s="25" t="s">
        <v>566</v>
      </c>
    </row>
    <row r="60" spans="1:7" ht="49.5" customHeight="1" x14ac:dyDescent="0.45">
      <c r="A60" s="426" t="s">
        <v>1661</v>
      </c>
      <c r="B60" s="45" t="s">
        <v>1662</v>
      </c>
      <c r="C60" s="44" t="s">
        <v>562</v>
      </c>
      <c r="D60" s="44" t="s">
        <v>563</v>
      </c>
      <c r="E60" s="46" t="s">
        <v>564</v>
      </c>
      <c r="F60" s="44" t="s">
        <v>565</v>
      </c>
      <c r="G60" s="25" t="s">
        <v>566</v>
      </c>
    </row>
    <row r="61" spans="1:7" ht="49.5" customHeight="1" x14ac:dyDescent="0.45">
      <c r="A61" s="427" t="s">
        <v>1824</v>
      </c>
      <c r="B61" s="428" t="s">
        <v>1825</v>
      </c>
      <c r="C61" s="429" t="s">
        <v>562</v>
      </c>
      <c r="D61" s="429" t="s">
        <v>563</v>
      </c>
      <c r="E61" s="430" t="s">
        <v>564</v>
      </c>
      <c r="F61" s="429" t="s">
        <v>565</v>
      </c>
      <c r="G61" s="25" t="s">
        <v>566</v>
      </c>
    </row>
    <row r="62" spans="1:7" ht="49.5" customHeight="1" x14ac:dyDescent="0.45">
      <c r="A62" s="426" t="s">
        <v>1786</v>
      </c>
      <c r="B62" s="45" t="s">
        <v>1787</v>
      </c>
      <c r="C62" s="44" t="s">
        <v>562</v>
      </c>
      <c r="D62" s="44" t="s">
        <v>563</v>
      </c>
      <c r="E62" s="46" t="s">
        <v>564</v>
      </c>
      <c r="F62" s="44" t="s">
        <v>565</v>
      </c>
      <c r="G62" s="25" t="s">
        <v>566</v>
      </c>
    </row>
    <row r="63" spans="1:7" ht="49.5" customHeight="1" x14ac:dyDescent="0.45">
      <c r="A63" s="427" t="s">
        <v>1563</v>
      </c>
      <c r="B63" s="428" t="s">
        <v>1564</v>
      </c>
      <c r="C63" s="429" t="s">
        <v>1570</v>
      </c>
      <c r="D63" s="429" t="s">
        <v>1571</v>
      </c>
      <c r="E63" s="430" t="s">
        <v>1572</v>
      </c>
      <c r="F63" s="429" t="s">
        <v>1573</v>
      </c>
      <c r="G63" s="25" t="s">
        <v>666</v>
      </c>
    </row>
    <row r="64" spans="1:7" ht="49.5" customHeight="1" x14ac:dyDescent="0.45">
      <c r="A64" s="426" t="s">
        <v>1575</v>
      </c>
      <c r="B64" s="45" t="s">
        <v>1576</v>
      </c>
      <c r="C64" s="44" t="s">
        <v>1581</v>
      </c>
      <c r="D64" s="44" t="s">
        <v>1582</v>
      </c>
      <c r="E64" s="46" t="s">
        <v>1583</v>
      </c>
      <c r="F64" s="44" t="s">
        <v>1584</v>
      </c>
      <c r="G64" s="25" t="s">
        <v>1585</v>
      </c>
    </row>
    <row r="65" spans="1:7" ht="49.5" customHeight="1" x14ac:dyDescent="0.45">
      <c r="A65" s="427" t="s">
        <v>1619</v>
      </c>
      <c r="B65" s="428" t="s">
        <v>1620</v>
      </c>
      <c r="C65" s="429" t="s">
        <v>562</v>
      </c>
      <c r="D65" s="429" t="s">
        <v>563</v>
      </c>
      <c r="E65" s="430" t="s">
        <v>564</v>
      </c>
      <c r="F65" s="429" t="s">
        <v>565</v>
      </c>
      <c r="G65" s="25" t="s">
        <v>566</v>
      </c>
    </row>
    <row r="66" spans="1:7" ht="49.5" customHeight="1" x14ac:dyDescent="0.45">
      <c r="A66" s="426" t="s">
        <v>1860</v>
      </c>
      <c r="B66" s="45" t="s">
        <v>1861</v>
      </c>
      <c r="C66" s="44" t="s">
        <v>562</v>
      </c>
      <c r="D66" s="44" t="s">
        <v>563</v>
      </c>
      <c r="E66" s="46" t="s">
        <v>564</v>
      </c>
      <c r="F66" s="44" t="s">
        <v>565</v>
      </c>
      <c r="G66" s="25" t="s">
        <v>566</v>
      </c>
    </row>
    <row r="67" spans="1:7" ht="49.5" customHeight="1" x14ac:dyDescent="0.45">
      <c r="A67" s="427" t="s">
        <v>1868</v>
      </c>
      <c r="B67" s="428" t="s">
        <v>1869</v>
      </c>
      <c r="C67" s="429" t="s">
        <v>562</v>
      </c>
      <c r="D67" s="429" t="s">
        <v>563</v>
      </c>
      <c r="E67" s="430" t="s">
        <v>564</v>
      </c>
      <c r="F67" s="429" t="s">
        <v>565</v>
      </c>
      <c r="G67" s="25" t="s">
        <v>566</v>
      </c>
    </row>
    <row r="68" spans="1:7" ht="49.5" customHeight="1" x14ac:dyDescent="0.45">
      <c r="A68" s="426" t="s">
        <v>2163</v>
      </c>
      <c r="B68" s="45" t="s">
        <v>2164</v>
      </c>
      <c r="C68" s="44" t="s">
        <v>562</v>
      </c>
      <c r="D68" s="44" t="s">
        <v>563</v>
      </c>
      <c r="E68" s="46" t="s">
        <v>564</v>
      </c>
      <c r="F68" s="44" t="s">
        <v>565</v>
      </c>
      <c r="G68" s="25" t="s">
        <v>566</v>
      </c>
    </row>
    <row r="69" spans="1:7" ht="49.5" customHeight="1" x14ac:dyDescent="0.45">
      <c r="A69" s="427" t="s">
        <v>1809</v>
      </c>
      <c r="B69" s="428" t="s">
        <v>1810</v>
      </c>
      <c r="C69" s="429" t="s">
        <v>562</v>
      </c>
      <c r="D69" s="429" t="s">
        <v>563</v>
      </c>
      <c r="E69" s="430" t="s">
        <v>564</v>
      </c>
      <c r="F69" s="429" t="s">
        <v>565</v>
      </c>
      <c r="G69" s="25" t="s">
        <v>566</v>
      </c>
    </row>
    <row r="70" spans="1:7" ht="49.5" customHeight="1" x14ac:dyDescent="0.45">
      <c r="A70" s="426" t="s">
        <v>1846</v>
      </c>
      <c r="B70" s="45" t="s">
        <v>1847</v>
      </c>
      <c r="C70" s="44" t="s">
        <v>562</v>
      </c>
      <c r="D70" s="44" t="s">
        <v>563</v>
      </c>
      <c r="E70" s="46" t="s">
        <v>564</v>
      </c>
      <c r="F70" s="44" t="s">
        <v>565</v>
      </c>
      <c r="G70" s="25" t="s">
        <v>566</v>
      </c>
    </row>
    <row r="71" spans="1:7" ht="49.5" customHeight="1" x14ac:dyDescent="0.45">
      <c r="A71" s="427" t="s">
        <v>1763</v>
      </c>
      <c r="B71" s="428" t="s">
        <v>1764</v>
      </c>
      <c r="C71" s="429" t="s">
        <v>562</v>
      </c>
      <c r="D71" s="429" t="s">
        <v>563</v>
      </c>
      <c r="E71" s="430" t="s">
        <v>564</v>
      </c>
      <c r="F71" s="429" t="s">
        <v>565</v>
      </c>
      <c r="G71" s="25" t="s">
        <v>566</v>
      </c>
    </row>
    <row r="72" spans="1:7" ht="49.5" customHeight="1" x14ac:dyDescent="0.45">
      <c r="A72" s="426" t="s">
        <v>2006</v>
      </c>
      <c r="B72" s="45" t="s">
        <v>2007</v>
      </c>
      <c r="C72" s="44" t="s">
        <v>562</v>
      </c>
      <c r="D72" s="44" t="s">
        <v>563</v>
      </c>
      <c r="E72" s="46" t="s">
        <v>564</v>
      </c>
      <c r="F72" s="44" t="s">
        <v>565</v>
      </c>
      <c r="G72" s="25" t="s">
        <v>566</v>
      </c>
    </row>
    <row r="73" spans="1:7" ht="49.5" customHeight="1" x14ac:dyDescent="0.45">
      <c r="A73" s="427" t="s">
        <v>1802</v>
      </c>
      <c r="B73" s="428" t="s">
        <v>1803</v>
      </c>
      <c r="C73" s="429" t="s">
        <v>562</v>
      </c>
      <c r="D73" s="429" t="s">
        <v>563</v>
      </c>
      <c r="E73" s="430" t="s">
        <v>564</v>
      </c>
      <c r="F73" s="429" t="s">
        <v>565</v>
      </c>
      <c r="G73" s="25" t="s">
        <v>566</v>
      </c>
    </row>
    <row r="74" spans="1:7" ht="49.5" customHeight="1" x14ac:dyDescent="0.45">
      <c r="A74" s="426" t="s">
        <v>1816</v>
      </c>
      <c r="B74" s="45" t="s">
        <v>1817</v>
      </c>
      <c r="C74" s="44" t="s">
        <v>562</v>
      </c>
      <c r="D74" s="44" t="s">
        <v>563</v>
      </c>
      <c r="E74" s="46" t="s">
        <v>564</v>
      </c>
      <c r="F74" s="44" t="s">
        <v>565</v>
      </c>
      <c r="G74" s="25" t="s">
        <v>566</v>
      </c>
    </row>
    <row r="75" spans="1:7" ht="49.5" customHeight="1" x14ac:dyDescent="0.45">
      <c r="A75" s="427" t="s">
        <v>1755</v>
      </c>
      <c r="B75" s="428" t="s">
        <v>1756</v>
      </c>
      <c r="C75" s="429" t="s">
        <v>562</v>
      </c>
      <c r="D75" s="429" t="s">
        <v>563</v>
      </c>
      <c r="E75" s="430" t="s">
        <v>564</v>
      </c>
      <c r="F75" s="429" t="s">
        <v>565</v>
      </c>
      <c r="G75" s="25" t="s">
        <v>566</v>
      </c>
    </row>
    <row r="76" spans="1:7" ht="49.5" customHeight="1" x14ac:dyDescent="0.45">
      <c r="A76" s="426" t="s">
        <v>1743</v>
      </c>
      <c r="B76" s="45" t="s">
        <v>1744</v>
      </c>
      <c r="C76" s="44" t="s">
        <v>562</v>
      </c>
      <c r="D76" s="44" t="s">
        <v>563</v>
      </c>
      <c r="E76" s="46" t="s">
        <v>564</v>
      </c>
      <c r="F76" s="44" t="s">
        <v>565</v>
      </c>
      <c r="G76" s="25" t="s">
        <v>566</v>
      </c>
    </row>
    <row r="77" spans="1:7" ht="49.5" customHeight="1" x14ac:dyDescent="0.45">
      <c r="A77" s="427" t="s">
        <v>630</v>
      </c>
      <c r="B77" s="428" t="s">
        <v>631</v>
      </c>
      <c r="C77" s="429" t="s">
        <v>637</v>
      </c>
      <c r="D77" s="429" t="s">
        <v>638</v>
      </c>
      <c r="E77" s="430" t="s">
        <v>639</v>
      </c>
      <c r="F77" s="429" t="s">
        <v>640</v>
      </c>
      <c r="G77" s="25" t="s">
        <v>641</v>
      </c>
    </row>
    <row r="78" spans="1:7" ht="49.5" customHeight="1" x14ac:dyDescent="0.45">
      <c r="A78" s="426" t="s">
        <v>751</v>
      </c>
      <c r="B78" s="45" t="s">
        <v>752</v>
      </c>
      <c r="C78" s="44" t="s">
        <v>757</v>
      </c>
      <c r="D78" s="44" t="s">
        <v>758</v>
      </c>
      <c r="E78" s="46" t="s">
        <v>759</v>
      </c>
      <c r="F78" s="44" t="s">
        <v>760</v>
      </c>
      <c r="G78" s="25" t="s">
        <v>761</v>
      </c>
    </row>
    <row r="79" spans="1:7" ht="49.5" customHeight="1" x14ac:dyDescent="0.45">
      <c r="A79" s="427" t="s">
        <v>586</v>
      </c>
      <c r="B79" s="428" t="s">
        <v>587</v>
      </c>
      <c r="C79" s="429" t="s">
        <v>595</v>
      </c>
      <c r="D79" s="429" t="s">
        <v>596</v>
      </c>
      <c r="E79" s="430" t="s">
        <v>597</v>
      </c>
      <c r="F79" s="429" t="s">
        <v>598</v>
      </c>
      <c r="G79" s="25" t="s">
        <v>599</v>
      </c>
    </row>
    <row r="80" spans="1:7" ht="49.5" customHeight="1" x14ac:dyDescent="0.45">
      <c r="A80" s="426" t="s">
        <v>572</v>
      </c>
      <c r="B80" s="45" t="s">
        <v>573</v>
      </c>
      <c r="C80" s="44" t="s">
        <v>580</v>
      </c>
      <c r="D80" s="44" t="s">
        <v>581</v>
      </c>
      <c r="E80" s="46" t="s">
        <v>582</v>
      </c>
      <c r="F80" s="44" t="s">
        <v>583</v>
      </c>
      <c r="G80" s="25" t="s">
        <v>584</v>
      </c>
    </row>
    <row r="81" spans="1:7" ht="49.5" customHeight="1" x14ac:dyDescent="0.45">
      <c r="A81" s="427" t="s">
        <v>740</v>
      </c>
      <c r="B81" s="428" t="s">
        <v>741</v>
      </c>
      <c r="C81" s="429" t="s">
        <v>746</v>
      </c>
      <c r="D81" s="429" t="s">
        <v>747</v>
      </c>
      <c r="E81" s="430" t="s">
        <v>748</v>
      </c>
      <c r="F81" s="429" t="s">
        <v>749</v>
      </c>
      <c r="G81" s="89" t="s">
        <v>750</v>
      </c>
    </row>
    <row r="82" spans="1:7" ht="49.5" customHeight="1" x14ac:dyDescent="0.45">
      <c r="A82" s="426" t="s">
        <v>729</v>
      </c>
      <c r="B82" s="45" t="s">
        <v>730</v>
      </c>
      <c r="C82" s="44" t="s">
        <v>735</v>
      </c>
      <c r="D82" s="44" t="s">
        <v>736</v>
      </c>
      <c r="E82" s="46" t="s">
        <v>737</v>
      </c>
      <c r="F82" s="44" t="s">
        <v>738</v>
      </c>
      <c r="G82" s="25" t="s">
        <v>666</v>
      </c>
    </row>
    <row r="83" spans="1:7" ht="49.5" customHeight="1" x14ac:dyDescent="0.45">
      <c r="A83" s="427" t="s">
        <v>679</v>
      </c>
      <c r="B83" s="428" t="s">
        <v>680</v>
      </c>
      <c r="C83" s="429" t="s">
        <v>683</v>
      </c>
      <c r="D83" s="429" t="s">
        <v>684</v>
      </c>
      <c r="E83" s="430" t="s">
        <v>685</v>
      </c>
      <c r="F83" s="429" t="s">
        <v>686</v>
      </c>
      <c r="G83" s="25" t="s">
        <v>687</v>
      </c>
    </row>
    <row r="84" spans="1:7" ht="49.5" customHeight="1" x14ac:dyDescent="0.45">
      <c r="A84" s="426" t="s">
        <v>655</v>
      </c>
      <c r="B84" s="45" t="s">
        <v>656</v>
      </c>
      <c r="C84" s="44" t="s">
        <v>662</v>
      </c>
      <c r="D84" s="44" t="s">
        <v>663</v>
      </c>
      <c r="E84" s="46" t="s">
        <v>664</v>
      </c>
      <c r="F84" s="44" t="s">
        <v>665</v>
      </c>
      <c r="G84" s="25" t="s">
        <v>666</v>
      </c>
    </row>
    <row r="85" spans="1:7" ht="49.5" customHeight="1" x14ac:dyDescent="0.45">
      <c r="A85" s="427" t="s">
        <v>688</v>
      </c>
      <c r="B85" s="428" t="s">
        <v>689</v>
      </c>
      <c r="C85" s="429" t="s">
        <v>695</v>
      </c>
      <c r="D85" s="429" t="s">
        <v>696</v>
      </c>
      <c r="E85" s="430" t="s">
        <v>697</v>
      </c>
      <c r="F85" s="429" t="s">
        <v>698</v>
      </c>
      <c r="G85" s="25" t="s">
        <v>699</v>
      </c>
    </row>
    <row r="86" spans="1:7" ht="49.5" customHeight="1" x14ac:dyDescent="0.45">
      <c r="A86" s="426" t="s">
        <v>1771</v>
      </c>
      <c r="B86" s="45" t="s">
        <v>1772</v>
      </c>
      <c r="C86" s="44" t="s">
        <v>562</v>
      </c>
      <c r="D86" s="44" t="s">
        <v>563</v>
      </c>
      <c r="E86" s="46" t="s">
        <v>564</v>
      </c>
      <c r="F86" s="44" t="s">
        <v>565</v>
      </c>
      <c r="G86" s="25" t="s">
        <v>566</v>
      </c>
    </row>
    <row r="87" spans="1:7" ht="49.5" customHeight="1" x14ac:dyDescent="0.45">
      <c r="A87" s="427" t="s">
        <v>1626</v>
      </c>
      <c r="B87" s="428" t="s">
        <v>1627</v>
      </c>
      <c r="C87" s="429" t="s">
        <v>562</v>
      </c>
      <c r="D87" s="429" t="s">
        <v>563</v>
      </c>
      <c r="E87" s="430" t="s">
        <v>564</v>
      </c>
      <c r="F87" s="429" t="s">
        <v>565</v>
      </c>
      <c r="G87" s="25" t="s">
        <v>566</v>
      </c>
    </row>
    <row r="88" spans="1:7" ht="49.5" customHeight="1" x14ac:dyDescent="0.45">
      <c r="A88" s="426" t="s">
        <v>1644</v>
      </c>
      <c r="B88" s="45" t="s">
        <v>1645</v>
      </c>
      <c r="C88" s="44" t="s">
        <v>562</v>
      </c>
      <c r="D88" s="44" t="s">
        <v>563</v>
      </c>
      <c r="E88" s="46" t="s">
        <v>564</v>
      </c>
      <c r="F88" s="44" t="s">
        <v>565</v>
      </c>
      <c r="G88" s="25" t="s">
        <v>566</v>
      </c>
    </row>
    <row r="89" spans="1:7" ht="49.5" customHeight="1" x14ac:dyDescent="0.45">
      <c r="A89" s="427" t="s">
        <v>1636</v>
      </c>
      <c r="B89" s="428" t="s">
        <v>1637</v>
      </c>
      <c r="C89" s="429" t="s">
        <v>562</v>
      </c>
      <c r="D89" s="429" t="s">
        <v>563</v>
      </c>
      <c r="E89" s="430" t="s">
        <v>564</v>
      </c>
      <c r="F89" s="429" t="s">
        <v>565</v>
      </c>
      <c r="G89" s="25" t="s">
        <v>566</v>
      </c>
    </row>
    <row r="90" spans="1:7" ht="49.5" customHeight="1" x14ac:dyDescent="0.45">
      <c r="A90" s="426" t="s">
        <v>1839</v>
      </c>
      <c r="B90" s="45" t="s">
        <v>1840</v>
      </c>
      <c r="C90" s="44" t="s">
        <v>562</v>
      </c>
      <c r="D90" s="44" t="s">
        <v>563</v>
      </c>
      <c r="E90" s="46" t="s">
        <v>564</v>
      </c>
      <c r="F90" s="44" t="s">
        <v>565</v>
      </c>
      <c r="G90" s="25" t="s">
        <v>566</v>
      </c>
    </row>
    <row r="91" spans="1:7" ht="49.5" customHeight="1" x14ac:dyDescent="0.45">
      <c r="A91" s="427" t="s">
        <v>1889</v>
      </c>
      <c r="B91" s="428" t="s">
        <v>1890</v>
      </c>
      <c r="C91" s="429" t="s">
        <v>562</v>
      </c>
      <c r="D91" s="429" t="s">
        <v>563</v>
      </c>
      <c r="E91" s="430" t="s">
        <v>564</v>
      </c>
      <c r="F91" s="429" t="s">
        <v>565</v>
      </c>
      <c r="G91" s="25" t="s">
        <v>566</v>
      </c>
    </row>
    <row r="92" spans="1:7" ht="49.5" customHeight="1" x14ac:dyDescent="0.45">
      <c r="A92" s="426" t="s">
        <v>1831</v>
      </c>
      <c r="B92" s="45" t="s">
        <v>1832</v>
      </c>
      <c r="C92" s="44" t="s">
        <v>562</v>
      </c>
      <c r="D92" s="44" t="s">
        <v>563</v>
      </c>
      <c r="E92" s="46" t="s">
        <v>564</v>
      </c>
      <c r="F92" s="44" t="s">
        <v>565</v>
      </c>
      <c r="G92" s="25" t="s">
        <v>566</v>
      </c>
    </row>
    <row r="93" spans="1:7" ht="49.5" customHeight="1" x14ac:dyDescent="0.45">
      <c r="A93" s="427" t="s">
        <v>1853</v>
      </c>
      <c r="B93" s="428" t="s">
        <v>1854</v>
      </c>
      <c r="C93" s="429" t="s">
        <v>562</v>
      </c>
      <c r="D93" s="429" t="s">
        <v>563</v>
      </c>
      <c r="E93" s="430" t="s">
        <v>564</v>
      </c>
      <c r="F93" s="429" t="s">
        <v>565</v>
      </c>
      <c r="G93" s="25" t="s">
        <v>566</v>
      </c>
    </row>
    <row r="94" spans="1:7" ht="49.5" customHeight="1" x14ac:dyDescent="0.45">
      <c r="A94" s="426" t="s">
        <v>1778</v>
      </c>
      <c r="B94" s="45" t="s">
        <v>1779</v>
      </c>
      <c r="C94" s="44" t="s">
        <v>562</v>
      </c>
      <c r="D94" s="44" t="s">
        <v>563</v>
      </c>
      <c r="E94" s="46" t="s">
        <v>564</v>
      </c>
      <c r="F94" s="44" t="s">
        <v>565</v>
      </c>
      <c r="G94" s="25" t="s">
        <v>566</v>
      </c>
    </row>
    <row r="95" spans="1:7" ht="49.5" customHeight="1" x14ac:dyDescent="0.45">
      <c r="A95" s="427" t="s">
        <v>1875</v>
      </c>
      <c r="B95" s="428" t="s">
        <v>1876</v>
      </c>
      <c r="C95" s="429" t="s">
        <v>562</v>
      </c>
      <c r="D95" s="429" t="s">
        <v>563</v>
      </c>
      <c r="E95" s="430" t="s">
        <v>564</v>
      </c>
      <c r="F95" s="429" t="s">
        <v>565</v>
      </c>
      <c r="G95" s="25" t="s">
        <v>566</v>
      </c>
    </row>
    <row r="96" spans="1:7" ht="49.5" customHeight="1" x14ac:dyDescent="0.45">
      <c r="A96" s="426" t="s">
        <v>1794</v>
      </c>
      <c r="B96" s="45" t="s">
        <v>1795</v>
      </c>
      <c r="C96" s="44" t="s">
        <v>562</v>
      </c>
      <c r="D96" s="44" t="s">
        <v>563</v>
      </c>
      <c r="E96" s="46" t="s">
        <v>564</v>
      </c>
      <c r="F96" s="44" t="s">
        <v>565</v>
      </c>
      <c r="G96" s="25" t="s">
        <v>566</v>
      </c>
    </row>
    <row r="97" spans="1:7" ht="49.5" customHeight="1" x14ac:dyDescent="0.45">
      <c r="A97" s="427" t="s">
        <v>1882</v>
      </c>
      <c r="B97" s="428" t="s">
        <v>1883</v>
      </c>
      <c r="C97" s="429" t="s">
        <v>562</v>
      </c>
      <c r="D97" s="429" t="s">
        <v>563</v>
      </c>
      <c r="E97" s="430" t="s">
        <v>564</v>
      </c>
      <c r="F97" s="429" t="s">
        <v>565</v>
      </c>
      <c r="G97" s="25" t="s">
        <v>566</v>
      </c>
    </row>
    <row r="98" spans="1:7" ht="49.5" customHeight="1" x14ac:dyDescent="0.45">
      <c r="A98" s="426" t="s">
        <v>2070</v>
      </c>
      <c r="B98" s="45" t="s">
        <v>2071</v>
      </c>
      <c r="C98" s="44" t="s">
        <v>562</v>
      </c>
      <c r="D98" s="44" t="s">
        <v>563</v>
      </c>
      <c r="E98" s="46" t="s">
        <v>564</v>
      </c>
      <c r="F98" s="44" t="s">
        <v>565</v>
      </c>
      <c r="G98" s="25" t="s">
        <v>566</v>
      </c>
    </row>
    <row r="99" spans="1:7" ht="49.5" customHeight="1" x14ac:dyDescent="0.45">
      <c r="A99" s="427" t="s">
        <v>370</v>
      </c>
      <c r="B99" s="428" t="s">
        <v>371</v>
      </c>
      <c r="C99" s="429" t="s">
        <v>376</v>
      </c>
      <c r="D99" s="429" t="s">
        <v>377</v>
      </c>
      <c r="E99" s="430" t="s">
        <v>378</v>
      </c>
      <c r="F99" s="429" t="s">
        <v>281</v>
      </c>
      <c r="G99" s="25" t="s">
        <v>379</v>
      </c>
    </row>
    <row r="100" spans="1:7" ht="49.5" customHeight="1" x14ac:dyDescent="0.45">
      <c r="A100" s="426" t="s">
        <v>768</v>
      </c>
      <c r="B100" s="45" t="s">
        <v>192</v>
      </c>
      <c r="C100" s="44" t="s">
        <v>562</v>
      </c>
      <c r="D100" s="44" t="s">
        <v>563</v>
      </c>
      <c r="E100" s="46" t="s">
        <v>564</v>
      </c>
      <c r="F100" s="44" t="s">
        <v>565</v>
      </c>
      <c r="G100" s="25" t="s">
        <v>566</v>
      </c>
    </row>
    <row r="101" spans="1:7" ht="49.5" customHeight="1" x14ac:dyDescent="0.45">
      <c r="A101" s="427" t="s">
        <v>557</v>
      </c>
      <c r="B101" s="428" t="s">
        <v>58</v>
      </c>
      <c r="C101" s="429" t="s">
        <v>562</v>
      </c>
      <c r="D101" s="429" t="s">
        <v>563</v>
      </c>
      <c r="E101" s="430" t="s">
        <v>564</v>
      </c>
      <c r="F101" s="429" t="s">
        <v>565</v>
      </c>
      <c r="G101" s="25" t="s">
        <v>566</v>
      </c>
    </row>
    <row r="102" spans="1:7" ht="49.5" customHeight="1" x14ac:dyDescent="0.45">
      <c r="A102" s="426" t="s">
        <v>359</v>
      </c>
      <c r="B102" s="45" t="s">
        <v>360</v>
      </c>
      <c r="C102" s="44" t="s">
        <v>365</v>
      </c>
      <c r="D102" s="44" t="s">
        <v>366</v>
      </c>
      <c r="E102" s="46" t="s">
        <v>367</v>
      </c>
      <c r="F102" s="44" t="s">
        <v>368</v>
      </c>
      <c r="G102" s="25" t="s">
        <v>369</v>
      </c>
    </row>
    <row r="103" spans="1:7" ht="49.5" customHeight="1" x14ac:dyDescent="0.45">
      <c r="A103" s="427" t="s">
        <v>770</v>
      </c>
      <c r="B103" s="428" t="s">
        <v>107</v>
      </c>
      <c r="C103" s="429" t="s">
        <v>562</v>
      </c>
      <c r="D103" s="429" t="s">
        <v>563</v>
      </c>
      <c r="E103" s="430" t="s">
        <v>564</v>
      </c>
      <c r="F103" s="429" t="s">
        <v>565</v>
      </c>
      <c r="G103" s="25" t="s">
        <v>566</v>
      </c>
    </row>
    <row r="104" spans="1:7" ht="49.5" customHeight="1" x14ac:dyDescent="0.45">
      <c r="A104" s="426" t="s">
        <v>333</v>
      </c>
      <c r="B104" s="45" t="s">
        <v>334</v>
      </c>
      <c r="C104" s="44" t="s">
        <v>341</v>
      </c>
      <c r="D104" s="44" t="s">
        <v>342</v>
      </c>
      <c r="E104" s="46" t="s">
        <v>343</v>
      </c>
      <c r="F104" s="44" t="s">
        <v>344</v>
      </c>
      <c r="G104" s="25" t="s">
        <v>345</v>
      </c>
    </row>
    <row r="105" spans="1:7" ht="49.5" customHeight="1" x14ac:dyDescent="0.45">
      <c r="A105" s="427" t="s">
        <v>1985</v>
      </c>
      <c r="B105" s="428" t="s">
        <v>1986</v>
      </c>
      <c r="C105" s="429" t="s">
        <v>562</v>
      </c>
      <c r="D105" s="429" t="s">
        <v>563</v>
      </c>
      <c r="E105" s="430" t="s">
        <v>564</v>
      </c>
      <c r="F105" s="429" t="s">
        <v>565</v>
      </c>
      <c r="G105" s="25" t="s">
        <v>566</v>
      </c>
    </row>
    <row r="106" spans="1:7" ht="49.5" customHeight="1" x14ac:dyDescent="0.45">
      <c r="A106" s="426" t="s">
        <v>294</v>
      </c>
      <c r="B106" s="45" t="s">
        <v>295</v>
      </c>
      <c r="C106" s="44" t="s">
        <v>301</v>
      </c>
      <c r="D106" s="44" t="s">
        <v>302</v>
      </c>
      <c r="E106" s="46" t="s">
        <v>303</v>
      </c>
      <c r="F106" s="44" t="s">
        <v>304</v>
      </c>
      <c r="G106" s="25" t="s">
        <v>305</v>
      </c>
    </row>
    <row r="107" spans="1:7" ht="49.5" customHeight="1" x14ac:dyDescent="0.45">
      <c r="A107" s="427" t="s">
        <v>2086</v>
      </c>
      <c r="B107" s="428" t="s">
        <v>2087</v>
      </c>
      <c r="C107" s="429" t="s">
        <v>562</v>
      </c>
      <c r="D107" s="429" t="s">
        <v>563</v>
      </c>
      <c r="E107" s="430" t="s">
        <v>564</v>
      </c>
      <c r="F107" s="429" t="s">
        <v>565</v>
      </c>
      <c r="G107" s="25" t="s">
        <v>566</v>
      </c>
    </row>
    <row r="108" spans="1:7" ht="49.5" customHeight="1" x14ac:dyDescent="0.45">
      <c r="A108" s="426" t="s">
        <v>484</v>
      </c>
      <c r="B108" s="45" t="s">
        <v>485</v>
      </c>
      <c r="C108" s="44" t="s">
        <v>489</v>
      </c>
      <c r="D108" s="44" t="s">
        <v>490</v>
      </c>
      <c r="E108" s="46" t="s">
        <v>280</v>
      </c>
      <c r="F108" s="44" t="s">
        <v>491</v>
      </c>
      <c r="G108" s="25" t="s">
        <v>369</v>
      </c>
    </row>
    <row r="109" spans="1:7" ht="49.5" customHeight="1" x14ac:dyDescent="0.45">
      <c r="A109" s="427" t="s">
        <v>473</v>
      </c>
      <c r="B109" s="428" t="s">
        <v>474</v>
      </c>
      <c r="C109" s="429" t="s">
        <v>479</v>
      </c>
      <c r="D109" s="429" t="s">
        <v>480</v>
      </c>
      <c r="E109" s="430" t="s">
        <v>481</v>
      </c>
      <c r="F109" s="429" t="s">
        <v>482</v>
      </c>
      <c r="G109" s="25" t="s">
        <v>369</v>
      </c>
    </row>
    <row r="110" spans="1:7" ht="49.5" customHeight="1" x14ac:dyDescent="0.45">
      <c r="A110" s="426" t="s">
        <v>492</v>
      </c>
      <c r="B110" s="45" t="s">
        <v>493</v>
      </c>
      <c r="C110" s="44" t="s">
        <v>497</v>
      </c>
      <c r="D110" s="44" t="s">
        <v>498</v>
      </c>
      <c r="E110" s="46" t="s">
        <v>499</v>
      </c>
      <c r="F110" s="44" t="s">
        <v>500</v>
      </c>
      <c r="G110" s="25" t="s">
        <v>501</v>
      </c>
    </row>
    <row r="111" spans="1:7" ht="49.5" customHeight="1" x14ac:dyDescent="0.45">
      <c r="A111" s="427" t="s">
        <v>548</v>
      </c>
      <c r="B111" s="428" t="s">
        <v>549</v>
      </c>
      <c r="C111" s="429" t="s">
        <v>553</v>
      </c>
      <c r="D111" s="429" t="s">
        <v>554</v>
      </c>
      <c r="E111" s="430" t="s">
        <v>555</v>
      </c>
      <c r="F111" s="429" t="s">
        <v>556</v>
      </c>
      <c r="G111" s="25" t="s">
        <v>369</v>
      </c>
    </row>
    <row r="112" spans="1:7" ht="49.5" customHeight="1" x14ac:dyDescent="0.45">
      <c r="A112" s="426" t="s">
        <v>2098</v>
      </c>
      <c r="B112" s="45" t="s">
        <v>2099</v>
      </c>
      <c r="C112" s="44" t="s">
        <v>562</v>
      </c>
      <c r="D112" s="44" t="s">
        <v>563</v>
      </c>
      <c r="E112" s="46" t="s">
        <v>564</v>
      </c>
      <c r="F112" s="44" t="s">
        <v>565</v>
      </c>
      <c r="G112" s="25" t="s">
        <v>566</v>
      </c>
    </row>
    <row r="113" spans="1:7" ht="49.5" customHeight="1" x14ac:dyDescent="0.45">
      <c r="A113" s="427" t="s">
        <v>2133</v>
      </c>
      <c r="B113" s="428" t="s">
        <v>2134</v>
      </c>
      <c r="C113" s="429" t="s">
        <v>562</v>
      </c>
      <c r="D113" s="429" t="s">
        <v>563</v>
      </c>
      <c r="E113" s="430" t="s">
        <v>564</v>
      </c>
      <c r="F113" s="429" t="s">
        <v>565</v>
      </c>
      <c r="G113" s="25" t="s">
        <v>566</v>
      </c>
    </row>
    <row r="114" spans="1:7" ht="49.5" customHeight="1" x14ac:dyDescent="0.45">
      <c r="A114" s="426" t="s">
        <v>1279</v>
      </c>
      <c r="B114" s="45" t="s">
        <v>1280</v>
      </c>
      <c r="C114" s="44" t="s">
        <v>562</v>
      </c>
      <c r="D114" s="44" t="s">
        <v>563</v>
      </c>
      <c r="E114" s="46" t="s">
        <v>564</v>
      </c>
      <c r="F114" s="44" t="s">
        <v>565</v>
      </c>
      <c r="G114" s="25" t="s">
        <v>566</v>
      </c>
    </row>
    <row r="115" spans="1:7" ht="49.5" customHeight="1" x14ac:dyDescent="0.45">
      <c r="A115" s="427" t="s">
        <v>1268</v>
      </c>
      <c r="B115" s="428" t="s">
        <v>1269</v>
      </c>
      <c r="C115" s="429" t="s">
        <v>562</v>
      </c>
      <c r="D115" s="429" t="s">
        <v>563</v>
      </c>
      <c r="E115" s="430" t="s">
        <v>564</v>
      </c>
      <c r="F115" s="429" t="s">
        <v>565</v>
      </c>
      <c r="G115" s="25" t="s">
        <v>566</v>
      </c>
    </row>
    <row r="116" spans="1:7" ht="49.5" customHeight="1" x14ac:dyDescent="0.45">
      <c r="A116" s="426" t="s">
        <v>1274</v>
      </c>
      <c r="B116" s="45" t="s">
        <v>1275</v>
      </c>
      <c r="C116" s="44" t="s">
        <v>562</v>
      </c>
      <c r="D116" s="44" t="s">
        <v>563</v>
      </c>
      <c r="E116" s="46" t="s">
        <v>564</v>
      </c>
      <c r="F116" s="44" t="s">
        <v>565</v>
      </c>
      <c r="G116" s="25" t="s">
        <v>566</v>
      </c>
    </row>
    <row r="117" spans="1:7" ht="49.5" customHeight="1" x14ac:dyDescent="0.45">
      <c r="A117" s="427" t="s">
        <v>1246</v>
      </c>
      <c r="B117" s="428" t="s">
        <v>1247</v>
      </c>
      <c r="C117" s="429" t="s">
        <v>1252</v>
      </c>
      <c r="D117" s="429" t="s">
        <v>1253</v>
      </c>
      <c r="E117" s="430" t="s">
        <v>1254</v>
      </c>
      <c r="F117" s="429" t="s">
        <v>1255</v>
      </c>
      <c r="G117" s="25" t="s">
        <v>1256</v>
      </c>
    </row>
    <row r="118" spans="1:7" ht="49.5" customHeight="1" x14ac:dyDescent="0.45">
      <c r="A118" s="426" t="s">
        <v>2123</v>
      </c>
      <c r="B118" s="45" t="s">
        <v>2124</v>
      </c>
      <c r="C118" s="44" t="s">
        <v>562</v>
      </c>
      <c r="D118" s="44" t="s">
        <v>563</v>
      </c>
      <c r="E118" s="46" t="s">
        <v>564</v>
      </c>
      <c r="F118" s="44" t="s">
        <v>565</v>
      </c>
      <c r="G118" s="25" t="s">
        <v>566</v>
      </c>
    </row>
    <row r="119" spans="1:7" ht="49.5" customHeight="1" x14ac:dyDescent="0.45">
      <c r="A119" s="427" t="s">
        <v>1978</v>
      </c>
      <c r="B119" s="428" t="s">
        <v>1979</v>
      </c>
      <c r="C119" s="429" t="s">
        <v>562</v>
      </c>
      <c r="D119" s="429" t="s">
        <v>563</v>
      </c>
      <c r="E119" s="430" t="s">
        <v>564</v>
      </c>
      <c r="F119" s="429" t="s">
        <v>565</v>
      </c>
      <c r="G119" s="25" t="s">
        <v>566</v>
      </c>
    </row>
    <row r="120" spans="1:7" ht="49.5" customHeight="1" x14ac:dyDescent="0.45">
      <c r="A120" s="426" t="s">
        <v>2077</v>
      </c>
      <c r="B120" s="45" t="s">
        <v>1610</v>
      </c>
      <c r="C120" s="44" t="s">
        <v>562</v>
      </c>
      <c r="D120" s="44" t="s">
        <v>563</v>
      </c>
      <c r="E120" s="46" t="s">
        <v>564</v>
      </c>
      <c r="F120" s="44" t="s">
        <v>565</v>
      </c>
      <c r="G120" s="25" t="s">
        <v>566</v>
      </c>
    </row>
    <row r="121" spans="1:7" ht="49.5" customHeight="1" x14ac:dyDescent="0.45">
      <c r="A121" s="427" t="s">
        <v>1609</v>
      </c>
      <c r="B121" s="428" t="s">
        <v>1610</v>
      </c>
      <c r="C121" s="429" t="s">
        <v>1613</v>
      </c>
      <c r="D121" s="429" t="s">
        <v>1614</v>
      </c>
      <c r="E121" s="430" t="s">
        <v>1615</v>
      </c>
      <c r="F121" s="429" t="s">
        <v>1616</v>
      </c>
      <c r="G121" s="25" t="s">
        <v>1617</v>
      </c>
    </row>
    <row r="122" spans="1:7" ht="49.5" customHeight="1" x14ac:dyDescent="0.45">
      <c r="A122" s="426" t="s">
        <v>270</v>
      </c>
      <c r="B122" s="45" t="s">
        <v>271</v>
      </c>
      <c r="C122" s="44" t="s">
        <v>278</v>
      </c>
      <c r="D122" s="44" t="s">
        <v>279</v>
      </c>
      <c r="E122" s="46" t="s">
        <v>280</v>
      </c>
      <c r="F122" s="44" t="s">
        <v>281</v>
      </c>
      <c r="G122" s="25" t="s">
        <v>118</v>
      </c>
    </row>
    <row r="123" spans="1:7" ht="49.5" customHeight="1" x14ac:dyDescent="0.45">
      <c r="A123" s="427" t="s">
        <v>106</v>
      </c>
      <c r="B123" s="428" t="s">
        <v>107</v>
      </c>
      <c r="C123" s="429" t="s">
        <v>114</v>
      </c>
      <c r="D123" s="429" t="s">
        <v>115</v>
      </c>
      <c r="E123" s="430" t="s">
        <v>116</v>
      </c>
      <c r="F123" s="429" t="s">
        <v>117</v>
      </c>
      <c r="G123" s="25" t="s">
        <v>118</v>
      </c>
    </row>
    <row r="124" spans="1:7" ht="49.5" customHeight="1" x14ac:dyDescent="0.45">
      <c r="A124" s="426" t="s">
        <v>382</v>
      </c>
      <c r="B124" s="45" t="s">
        <v>383</v>
      </c>
      <c r="C124" s="44" t="s">
        <v>390</v>
      </c>
      <c r="D124" s="44" t="s">
        <v>391</v>
      </c>
      <c r="E124" s="46" t="s">
        <v>392</v>
      </c>
      <c r="F124" s="44" t="s">
        <v>393</v>
      </c>
      <c r="G124" s="25" t="s">
        <v>394</v>
      </c>
    </row>
    <row r="125" spans="1:7" ht="49.5" customHeight="1" x14ac:dyDescent="0.45">
      <c r="A125" s="427" t="s">
        <v>461</v>
      </c>
      <c r="B125" s="428" t="s">
        <v>462</v>
      </c>
      <c r="C125" s="429" t="s">
        <v>468</v>
      </c>
      <c r="D125" s="429" t="s">
        <v>469</v>
      </c>
      <c r="E125" s="430" t="s">
        <v>470</v>
      </c>
      <c r="F125" s="429" t="s">
        <v>471</v>
      </c>
      <c r="G125" s="25" t="s">
        <v>472</v>
      </c>
    </row>
    <row r="126" spans="1:7" ht="49.5" customHeight="1" x14ac:dyDescent="0.45">
      <c r="A126" s="426" t="s">
        <v>426</v>
      </c>
      <c r="B126" s="45" t="s">
        <v>427</v>
      </c>
      <c r="C126" s="44" t="s">
        <v>434</v>
      </c>
      <c r="D126" s="44" t="s">
        <v>435</v>
      </c>
      <c r="E126" s="46" t="s">
        <v>436</v>
      </c>
      <c r="F126" s="44" t="s">
        <v>437</v>
      </c>
      <c r="G126" s="25" t="s">
        <v>438</v>
      </c>
    </row>
    <row r="127" spans="1:7" ht="49.5" customHeight="1" x14ac:dyDescent="0.45">
      <c r="A127" s="427" t="s">
        <v>1906</v>
      </c>
      <c r="B127" s="428" t="s">
        <v>1907</v>
      </c>
      <c r="C127" s="429" t="s">
        <v>562</v>
      </c>
      <c r="D127" s="429" t="s">
        <v>563</v>
      </c>
      <c r="E127" s="430" t="s">
        <v>564</v>
      </c>
      <c r="F127" s="429" t="s">
        <v>565</v>
      </c>
      <c r="G127" s="25" t="s">
        <v>566</v>
      </c>
    </row>
    <row r="128" spans="1:7" ht="49.5" customHeight="1" x14ac:dyDescent="0.45">
      <c r="A128" s="426" t="s">
        <v>1896</v>
      </c>
      <c r="B128" s="45" t="s">
        <v>1897</v>
      </c>
      <c r="C128" s="44" t="s">
        <v>562</v>
      </c>
      <c r="D128" s="44" t="s">
        <v>563</v>
      </c>
      <c r="E128" s="46" t="s">
        <v>564</v>
      </c>
      <c r="F128" s="44" t="s">
        <v>565</v>
      </c>
      <c r="G128" s="25" t="s">
        <v>566</v>
      </c>
    </row>
    <row r="129" spans="1:7" ht="49.5" customHeight="1" x14ac:dyDescent="0.45">
      <c r="A129" s="427" t="s">
        <v>2012</v>
      </c>
      <c r="B129" s="428" t="s">
        <v>2013</v>
      </c>
      <c r="C129" s="429" t="s">
        <v>562</v>
      </c>
      <c r="D129" s="429" t="s">
        <v>563</v>
      </c>
      <c r="E129" s="430" t="s">
        <v>564</v>
      </c>
      <c r="F129" s="429" t="s">
        <v>565</v>
      </c>
      <c r="G129" s="25" t="s">
        <v>566</v>
      </c>
    </row>
    <row r="130" spans="1:7" ht="49.5" customHeight="1" x14ac:dyDescent="0.45">
      <c r="A130" s="426" t="s">
        <v>2113</v>
      </c>
      <c r="B130" s="45" t="s">
        <v>2114</v>
      </c>
      <c r="C130" s="44" t="s">
        <v>562</v>
      </c>
      <c r="D130" s="44" t="s">
        <v>563</v>
      </c>
      <c r="E130" s="46" t="s">
        <v>564</v>
      </c>
      <c r="F130" s="44" t="s">
        <v>565</v>
      </c>
      <c r="G130" s="25" t="s">
        <v>566</v>
      </c>
    </row>
    <row r="131" spans="1:7" ht="49.5" customHeight="1" x14ac:dyDescent="0.45">
      <c r="A131" s="427" t="s">
        <v>2103</v>
      </c>
      <c r="B131" s="428" t="s">
        <v>2104</v>
      </c>
      <c r="C131" s="429" t="s">
        <v>562</v>
      </c>
      <c r="D131" s="429" t="s">
        <v>563</v>
      </c>
      <c r="E131" s="430" t="s">
        <v>564</v>
      </c>
      <c r="F131" s="429" t="s">
        <v>565</v>
      </c>
      <c r="G131" s="25" t="s">
        <v>566</v>
      </c>
    </row>
    <row r="132" spans="1:7" ht="49.5" customHeight="1" x14ac:dyDescent="0.45">
      <c r="A132" s="426" t="s">
        <v>2081</v>
      </c>
      <c r="B132" s="45" t="s">
        <v>2082</v>
      </c>
      <c r="C132" s="44" t="s">
        <v>562</v>
      </c>
      <c r="D132" s="44" t="s">
        <v>563</v>
      </c>
      <c r="E132" s="46" t="s">
        <v>564</v>
      </c>
      <c r="F132" s="44" t="s">
        <v>565</v>
      </c>
      <c r="G132" s="25" t="s">
        <v>566</v>
      </c>
    </row>
    <row r="133" spans="1:7" ht="49.5" customHeight="1" x14ac:dyDescent="0.45">
      <c r="A133" s="427" t="s">
        <v>1921</v>
      </c>
      <c r="B133" s="428" t="s">
        <v>1922</v>
      </c>
      <c r="C133" s="429" t="s">
        <v>562</v>
      </c>
      <c r="D133" s="429" t="s">
        <v>563</v>
      </c>
      <c r="E133" s="430" t="s">
        <v>564</v>
      </c>
      <c r="F133" s="429" t="s">
        <v>565</v>
      </c>
      <c r="G133" s="25" t="s">
        <v>566</v>
      </c>
    </row>
    <row r="134" spans="1:7" ht="49.5" customHeight="1" x14ac:dyDescent="0.45">
      <c r="A134" s="426" t="s">
        <v>1946</v>
      </c>
      <c r="B134" s="45" t="s">
        <v>1947</v>
      </c>
      <c r="C134" s="44" t="s">
        <v>562</v>
      </c>
      <c r="D134" s="44" t="s">
        <v>563</v>
      </c>
      <c r="E134" s="46" t="s">
        <v>564</v>
      </c>
      <c r="F134" s="44" t="s">
        <v>565</v>
      </c>
      <c r="G134" s="25" t="s">
        <v>566</v>
      </c>
    </row>
    <row r="135" spans="1:7" ht="49.5" customHeight="1" x14ac:dyDescent="0.45">
      <c r="A135" s="427" t="s">
        <v>1956</v>
      </c>
      <c r="B135" s="428" t="s">
        <v>1957</v>
      </c>
      <c r="C135" s="429" t="s">
        <v>562</v>
      </c>
      <c r="D135" s="429" t="s">
        <v>563</v>
      </c>
      <c r="E135" s="430" t="s">
        <v>564</v>
      </c>
      <c r="F135" s="429" t="s">
        <v>565</v>
      </c>
      <c r="G135" s="25" t="s">
        <v>566</v>
      </c>
    </row>
    <row r="136" spans="1:7" ht="49.5" customHeight="1" x14ac:dyDescent="0.45">
      <c r="A136" s="426" t="s">
        <v>2022</v>
      </c>
      <c r="B136" s="45" t="s">
        <v>2023</v>
      </c>
      <c r="C136" s="44" t="s">
        <v>562</v>
      </c>
      <c r="D136" s="44" t="s">
        <v>563</v>
      </c>
      <c r="E136" s="46" t="s">
        <v>564</v>
      </c>
      <c r="F136" s="44" t="s">
        <v>565</v>
      </c>
      <c r="G136" s="25" t="s">
        <v>566</v>
      </c>
    </row>
    <row r="137" spans="1:7" ht="49.5" customHeight="1" x14ac:dyDescent="0.45">
      <c r="A137" s="427" t="s">
        <v>1294</v>
      </c>
      <c r="B137" s="428" t="s">
        <v>1295</v>
      </c>
      <c r="C137" s="429" t="s">
        <v>1299</v>
      </c>
      <c r="D137" s="429" t="s">
        <v>1300</v>
      </c>
      <c r="E137" s="430" t="s">
        <v>1301</v>
      </c>
      <c r="F137" s="429" t="s">
        <v>1302</v>
      </c>
      <c r="G137" s="25" t="s">
        <v>666</v>
      </c>
    </row>
    <row r="138" spans="1:7" ht="49.5" customHeight="1" x14ac:dyDescent="0.45">
      <c r="A138" s="426" t="s">
        <v>1318</v>
      </c>
      <c r="B138" s="45" t="s">
        <v>1319</v>
      </c>
      <c r="C138" s="44" t="s">
        <v>1322</v>
      </c>
      <c r="D138" s="44" t="s">
        <v>1323</v>
      </c>
      <c r="E138" s="46" t="s">
        <v>1324</v>
      </c>
      <c r="F138" s="44" t="s">
        <v>1325</v>
      </c>
      <c r="G138" s="25" t="s">
        <v>1326</v>
      </c>
    </row>
    <row r="139" spans="1:7" ht="49.5" customHeight="1" x14ac:dyDescent="0.45">
      <c r="A139" s="427" t="s">
        <v>1327</v>
      </c>
      <c r="B139" s="428" t="s">
        <v>1328</v>
      </c>
      <c r="C139" s="429" t="s">
        <v>562</v>
      </c>
      <c r="D139" s="429" t="s">
        <v>563</v>
      </c>
      <c r="E139" s="430" t="s">
        <v>564</v>
      </c>
      <c r="F139" s="429" t="s">
        <v>565</v>
      </c>
      <c r="G139" s="25" t="s">
        <v>566</v>
      </c>
    </row>
    <row r="140" spans="1:7" ht="49.5" customHeight="1" x14ac:dyDescent="0.45">
      <c r="A140" s="426" t="s">
        <v>1332</v>
      </c>
      <c r="B140" s="45" t="s">
        <v>1333</v>
      </c>
      <c r="C140" s="44" t="s">
        <v>562</v>
      </c>
      <c r="D140" s="44" t="s">
        <v>563</v>
      </c>
      <c r="E140" s="46" t="s">
        <v>564</v>
      </c>
      <c r="F140" s="44" t="s">
        <v>565</v>
      </c>
      <c r="G140" s="25" t="s">
        <v>566</v>
      </c>
    </row>
    <row r="141" spans="1:7" ht="49.5" customHeight="1" x14ac:dyDescent="0.45">
      <c r="A141" s="427" t="s">
        <v>1152</v>
      </c>
      <c r="B141" s="428" t="s">
        <v>1153</v>
      </c>
      <c r="C141" s="429" t="s">
        <v>1160</v>
      </c>
      <c r="D141" s="429" t="s">
        <v>1161</v>
      </c>
      <c r="E141" s="430" t="s">
        <v>1162</v>
      </c>
      <c r="F141" s="429" t="s">
        <v>1163</v>
      </c>
      <c r="G141" s="25" t="s">
        <v>1164</v>
      </c>
    </row>
    <row r="142" spans="1:7" ht="49.5" customHeight="1" x14ac:dyDescent="0.45">
      <c r="A142" s="426" t="s">
        <v>1313</v>
      </c>
      <c r="B142" s="45" t="s">
        <v>1314</v>
      </c>
      <c r="C142" s="44" t="s">
        <v>562</v>
      </c>
      <c r="D142" s="44" t="s">
        <v>563</v>
      </c>
      <c r="E142" s="46" t="s">
        <v>564</v>
      </c>
      <c r="F142" s="44" t="s">
        <v>565</v>
      </c>
      <c r="G142" s="25" t="s">
        <v>566</v>
      </c>
    </row>
    <row r="143" spans="1:7" ht="49.5" customHeight="1" x14ac:dyDescent="0.45">
      <c r="A143" s="427" t="s">
        <v>1304</v>
      </c>
      <c r="B143" s="428" t="s">
        <v>1305</v>
      </c>
      <c r="C143" s="429" t="s">
        <v>562</v>
      </c>
      <c r="D143" s="429" t="s">
        <v>563</v>
      </c>
      <c r="E143" s="430" t="s">
        <v>564</v>
      </c>
      <c r="F143" s="429" t="s">
        <v>565</v>
      </c>
      <c r="G143" s="25" t="s">
        <v>566</v>
      </c>
    </row>
    <row r="144" spans="1:7" ht="49.5" customHeight="1" x14ac:dyDescent="0.45">
      <c r="A144" s="426" t="s">
        <v>1308</v>
      </c>
      <c r="B144" s="45" t="s">
        <v>1309</v>
      </c>
      <c r="C144" s="44" t="s">
        <v>562</v>
      </c>
      <c r="D144" s="44" t="s">
        <v>563</v>
      </c>
      <c r="E144" s="46" t="s">
        <v>564</v>
      </c>
      <c r="F144" s="44" t="s">
        <v>565</v>
      </c>
      <c r="G144" s="25" t="s">
        <v>566</v>
      </c>
    </row>
    <row r="145" spans="1:7" ht="49.5" customHeight="1" x14ac:dyDescent="0.45">
      <c r="A145" s="427" t="s">
        <v>1553</v>
      </c>
      <c r="B145" s="428" t="s">
        <v>1554</v>
      </c>
      <c r="C145" s="429" t="s">
        <v>562</v>
      </c>
      <c r="D145" s="429" t="s">
        <v>563</v>
      </c>
      <c r="E145" s="430" t="s">
        <v>564</v>
      </c>
      <c r="F145" s="429" t="s">
        <v>565</v>
      </c>
      <c r="G145" s="25" t="s">
        <v>566</v>
      </c>
    </row>
    <row r="146" spans="1:7" ht="49.5" customHeight="1" x14ac:dyDescent="0.45">
      <c r="A146" s="426" t="s">
        <v>1547</v>
      </c>
      <c r="B146" s="45" t="s">
        <v>1548</v>
      </c>
      <c r="C146" s="44" t="s">
        <v>562</v>
      </c>
      <c r="D146" s="44" t="s">
        <v>563</v>
      </c>
      <c r="E146" s="46" t="s">
        <v>564</v>
      </c>
      <c r="F146" s="44" t="s">
        <v>565</v>
      </c>
      <c r="G146" s="25" t="s">
        <v>566</v>
      </c>
    </row>
    <row r="147" spans="1:7" ht="49.5" customHeight="1" x14ac:dyDescent="0.45">
      <c r="A147" s="427" t="s">
        <v>1513</v>
      </c>
      <c r="B147" s="428" t="s">
        <v>1514</v>
      </c>
      <c r="C147" s="429" t="s">
        <v>1522</v>
      </c>
      <c r="D147" s="429" t="s">
        <v>1523</v>
      </c>
      <c r="E147" s="430" t="s">
        <v>1524</v>
      </c>
      <c r="F147" s="429" t="s">
        <v>1525</v>
      </c>
      <c r="G147" s="25" t="s">
        <v>1526</v>
      </c>
    </row>
    <row r="148" spans="1:7" ht="49.5" customHeight="1" x14ac:dyDescent="0.45">
      <c r="A148" s="426" t="s">
        <v>1539</v>
      </c>
      <c r="B148" s="45" t="s">
        <v>1540</v>
      </c>
      <c r="C148" s="44" t="s">
        <v>562</v>
      </c>
      <c r="D148" s="44" t="s">
        <v>563</v>
      </c>
      <c r="E148" s="46" t="s">
        <v>564</v>
      </c>
      <c r="F148" s="44" t="s">
        <v>565</v>
      </c>
      <c r="G148" s="25" t="s">
        <v>566</v>
      </c>
    </row>
    <row r="149" spans="1:7" ht="49.5" customHeight="1" x14ac:dyDescent="0.45">
      <c r="A149" s="427" t="s">
        <v>2185</v>
      </c>
      <c r="B149" s="428" t="s">
        <v>2186</v>
      </c>
      <c r="C149" s="429" t="s">
        <v>562</v>
      </c>
      <c r="D149" s="429" t="s">
        <v>563</v>
      </c>
      <c r="E149" s="430" t="s">
        <v>564</v>
      </c>
      <c r="F149" s="429" t="s">
        <v>565</v>
      </c>
      <c r="G149" s="25" t="s">
        <v>566</v>
      </c>
    </row>
    <row r="150" spans="1:7" ht="49.5" customHeight="1" x14ac:dyDescent="0.45">
      <c r="A150" s="426" t="s">
        <v>2153</v>
      </c>
      <c r="B150" s="45" t="s">
        <v>2154</v>
      </c>
      <c r="C150" s="44" t="s">
        <v>562</v>
      </c>
      <c r="D150" s="44" t="s">
        <v>563</v>
      </c>
      <c r="E150" s="46" t="s">
        <v>564</v>
      </c>
      <c r="F150" s="44" t="s">
        <v>565</v>
      </c>
      <c r="G150" s="25" t="s">
        <v>566</v>
      </c>
    </row>
    <row r="151" spans="1:7" ht="49.5" customHeight="1" x14ac:dyDescent="0.45">
      <c r="A151" s="427" t="s">
        <v>1056</v>
      </c>
      <c r="B151" s="428" t="s">
        <v>1057</v>
      </c>
      <c r="C151" s="429" t="s">
        <v>1061</v>
      </c>
      <c r="D151" s="429" t="s">
        <v>1062</v>
      </c>
      <c r="E151" s="430" t="s">
        <v>1063</v>
      </c>
      <c r="F151" s="429" t="s">
        <v>1064</v>
      </c>
      <c r="G151" s="25" t="s">
        <v>1065</v>
      </c>
    </row>
    <row r="152" spans="1:7" ht="49.5" customHeight="1" x14ac:dyDescent="0.45">
      <c r="A152" s="426" t="s">
        <v>1077</v>
      </c>
      <c r="B152" s="45" t="s">
        <v>1078</v>
      </c>
      <c r="C152" s="44" t="s">
        <v>562</v>
      </c>
      <c r="D152" s="44" t="s">
        <v>563</v>
      </c>
      <c r="E152" s="46" t="s">
        <v>564</v>
      </c>
      <c r="F152" s="44" t="s">
        <v>565</v>
      </c>
      <c r="G152" s="25" t="s">
        <v>566</v>
      </c>
    </row>
    <row r="153" spans="1:7" ht="49.5" customHeight="1" x14ac:dyDescent="0.45">
      <c r="A153" s="427" t="s">
        <v>1020</v>
      </c>
      <c r="B153" s="428" t="s">
        <v>1021</v>
      </c>
      <c r="C153" s="429" t="s">
        <v>1028</v>
      </c>
      <c r="D153" s="429" t="s">
        <v>1029</v>
      </c>
      <c r="E153" s="430" t="s">
        <v>1030</v>
      </c>
      <c r="F153" s="429" t="s">
        <v>1031</v>
      </c>
      <c r="G153" s="25" t="s">
        <v>1032</v>
      </c>
    </row>
    <row r="154" spans="1:7" ht="49.5" customHeight="1" x14ac:dyDescent="0.45">
      <c r="A154" s="426" t="s">
        <v>1066</v>
      </c>
      <c r="B154" s="45" t="s">
        <v>1067</v>
      </c>
      <c r="C154" s="44" t="s">
        <v>562</v>
      </c>
      <c r="D154" s="44" t="s">
        <v>563</v>
      </c>
      <c r="E154" s="46" t="s">
        <v>564</v>
      </c>
      <c r="F154" s="44" t="s">
        <v>565</v>
      </c>
      <c r="G154" s="25" t="s">
        <v>566</v>
      </c>
    </row>
    <row r="155" spans="1:7" ht="49.5" customHeight="1" x14ac:dyDescent="0.45">
      <c r="A155" s="427" t="s">
        <v>1072</v>
      </c>
      <c r="B155" s="428" t="s">
        <v>1073</v>
      </c>
      <c r="C155" s="429" t="s">
        <v>562</v>
      </c>
      <c r="D155" s="429" t="s">
        <v>563</v>
      </c>
      <c r="E155" s="430" t="s">
        <v>564</v>
      </c>
      <c r="F155" s="429" t="s">
        <v>565</v>
      </c>
      <c r="G155" s="25" t="s">
        <v>566</v>
      </c>
    </row>
    <row r="156" spans="1:7" ht="49.5" customHeight="1" x14ac:dyDescent="0.45">
      <c r="A156" s="426" t="s">
        <v>306</v>
      </c>
      <c r="B156" s="45" t="s">
        <v>307</v>
      </c>
      <c r="C156" s="44" t="s">
        <v>314</v>
      </c>
      <c r="D156" s="44" t="s">
        <v>315</v>
      </c>
      <c r="E156" s="46" t="s">
        <v>316</v>
      </c>
      <c r="F156" s="44" t="s">
        <v>317</v>
      </c>
      <c r="G156" s="25" t="s">
        <v>318</v>
      </c>
    </row>
    <row r="157" spans="1:7" ht="49.5" customHeight="1" x14ac:dyDescent="0.45">
      <c r="A157" s="427" t="s">
        <v>321</v>
      </c>
      <c r="B157" s="428" t="s">
        <v>322</v>
      </c>
      <c r="C157" s="429" t="s">
        <v>328</v>
      </c>
      <c r="D157" s="429" t="s">
        <v>329</v>
      </c>
      <c r="E157" s="430" t="s">
        <v>330</v>
      </c>
      <c r="F157" s="429" t="s">
        <v>331</v>
      </c>
      <c r="G157" s="25" t="s">
        <v>332</v>
      </c>
    </row>
    <row r="158" spans="1:7" ht="49.5" customHeight="1" x14ac:dyDescent="0.45">
      <c r="A158" s="426" t="s">
        <v>514</v>
      </c>
      <c r="B158" s="45" t="s">
        <v>515</v>
      </c>
      <c r="C158" s="44" t="s">
        <v>519</v>
      </c>
      <c r="D158" s="44" t="s">
        <v>520</v>
      </c>
      <c r="E158" s="46" t="s">
        <v>521</v>
      </c>
      <c r="F158" s="44" t="s">
        <v>368</v>
      </c>
      <c r="G158" s="25" t="s">
        <v>332</v>
      </c>
    </row>
    <row r="159" spans="1:7" ht="49.5" customHeight="1" x14ac:dyDescent="0.45">
      <c r="A159" s="427" t="s">
        <v>502</v>
      </c>
      <c r="B159" s="428" t="s">
        <v>503</v>
      </c>
      <c r="C159" s="429" t="s">
        <v>508</v>
      </c>
      <c r="D159" s="429" t="s">
        <v>509</v>
      </c>
      <c r="E159" s="430" t="s">
        <v>510</v>
      </c>
      <c r="F159" s="429" t="s">
        <v>511</v>
      </c>
      <c r="G159" s="25" t="s">
        <v>512</v>
      </c>
    </row>
    <row r="160" spans="1:7" ht="49.5" customHeight="1" x14ac:dyDescent="0.45">
      <c r="A160" s="426" t="s">
        <v>522</v>
      </c>
      <c r="B160" s="45" t="s">
        <v>523</v>
      </c>
      <c r="C160" s="44" t="s">
        <v>528</v>
      </c>
      <c r="D160" s="44" t="s">
        <v>529</v>
      </c>
      <c r="E160" s="46" t="s">
        <v>530</v>
      </c>
      <c r="F160" s="44" t="s">
        <v>531</v>
      </c>
      <c r="G160" s="25" t="s">
        <v>532</v>
      </c>
    </row>
    <row r="161" spans="1:7" ht="49.5" customHeight="1" x14ac:dyDescent="0.45">
      <c r="A161" s="427" t="s">
        <v>534</v>
      </c>
      <c r="B161" s="428" t="s">
        <v>535</v>
      </c>
      <c r="C161" s="429" t="s">
        <v>542</v>
      </c>
      <c r="D161" s="429" t="s">
        <v>543</v>
      </c>
      <c r="E161" s="430" t="s">
        <v>544</v>
      </c>
      <c r="F161" s="429" t="s">
        <v>545</v>
      </c>
      <c r="G161" s="65" t="s">
        <v>546</v>
      </c>
    </row>
    <row r="162" spans="1:7" ht="49.5" customHeight="1" x14ac:dyDescent="0.45">
      <c r="A162" s="426" t="s">
        <v>2148</v>
      </c>
      <c r="B162" s="45" t="s">
        <v>2149</v>
      </c>
      <c r="C162" s="44" t="s">
        <v>562</v>
      </c>
      <c r="D162" s="44" t="s">
        <v>563</v>
      </c>
      <c r="E162" s="46" t="s">
        <v>564</v>
      </c>
      <c r="F162" s="44" t="s">
        <v>565</v>
      </c>
      <c r="G162" s="25" t="s">
        <v>566</v>
      </c>
    </row>
    <row r="163" spans="1:7" ht="49.5" customHeight="1" x14ac:dyDescent="0.45">
      <c r="A163" s="427" t="s">
        <v>1916</v>
      </c>
      <c r="B163" s="428" t="s">
        <v>1917</v>
      </c>
      <c r="C163" s="429" t="s">
        <v>562</v>
      </c>
      <c r="D163" s="429" t="s">
        <v>563</v>
      </c>
      <c r="E163" s="430" t="s">
        <v>564</v>
      </c>
      <c r="F163" s="429" t="s">
        <v>565</v>
      </c>
      <c r="G163" s="25" t="s">
        <v>566</v>
      </c>
    </row>
    <row r="164" spans="1:7" ht="49.5" customHeight="1" x14ac:dyDescent="0.45">
      <c r="A164" s="426" t="s">
        <v>843</v>
      </c>
      <c r="B164" s="45" t="s">
        <v>844</v>
      </c>
      <c r="C164" s="44" t="s">
        <v>848</v>
      </c>
      <c r="D164" s="44" t="s">
        <v>849</v>
      </c>
      <c r="E164" s="46" t="s">
        <v>850</v>
      </c>
      <c r="F164" s="44" t="s">
        <v>851</v>
      </c>
      <c r="G164" s="25" t="s">
        <v>852</v>
      </c>
    </row>
    <row r="165" spans="1:7" ht="49.5" customHeight="1" x14ac:dyDescent="0.45">
      <c r="A165" s="427" t="s">
        <v>903</v>
      </c>
      <c r="B165" s="428" t="s">
        <v>904</v>
      </c>
      <c r="C165" s="429" t="s">
        <v>562</v>
      </c>
      <c r="D165" s="429" t="s">
        <v>563</v>
      </c>
      <c r="E165" s="430" t="s">
        <v>564</v>
      </c>
      <c r="F165" s="429" t="s">
        <v>565</v>
      </c>
      <c r="G165" s="25" t="s">
        <v>566</v>
      </c>
    </row>
    <row r="166" spans="1:7" ht="49.5" customHeight="1" x14ac:dyDescent="0.45">
      <c r="A166" s="426" t="s">
        <v>916</v>
      </c>
      <c r="B166" s="45" t="s">
        <v>917</v>
      </c>
      <c r="C166" s="44" t="s">
        <v>562</v>
      </c>
      <c r="D166" s="44" t="s">
        <v>563</v>
      </c>
      <c r="E166" s="46" t="s">
        <v>564</v>
      </c>
      <c r="F166" s="44" t="s">
        <v>565</v>
      </c>
      <c r="G166" s="25" t="s">
        <v>566</v>
      </c>
    </row>
    <row r="167" spans="1:7" ht="49.5" customHeight="1" x14ac:dyDescent="0.45">
      <c r="A167" s="427" t="s">
        <v>909</v>
      </c>
      <c r="B167" s="428" t="s">
        <v>910</v>
      </c>
      <c r="C167" s="429" t="s">
        <v>562</v>
      </c>
      <c r="D167" s="429" t="s">
        <v>563</v>
      </c>
      <c r="E167" s="430" t="s">
        <v>564</v>
      </c>
      <c r="F167" s="429" t="s">
        <v>565</v>
      </c>
      <c r="G167" s="25" t="s">
        <v>566</v>
      </c>
    </row>
    <row r="168" spans="1:7" ht="49.5" customHeight="1" x14ac:dyDescent="0.45">
      <c r="A168" s="426" t="s">
        <v>883</v>
      </c>
      <c r="B168" s="45" t="s">
        <v>884</v>
      </c>
      <c r="C168" s="44" t="s">
        <v>890</v>
      </c>
      <c r="D168" s="44" t="s">
        <v>891</v>
      </c>
      <c r="E168" s="46" t="s">
        <v>892</v>
      </c>
      <c r="F168" s="44" t="s">
        <v>893</v>
      </c>
      <c r="G168" s="25" t="s">
        <v>894</v>
      </c>
    </row>
    <row r="169" spans="1:7" ht="49.5" customHeight="1" x14ac:dyDescent="0.45">
      <c r="A169" s="427" t="s">
        <v>785</v>
      </c>
      <c r="B169" s="428" t="s">
        <v>786</v>
      </c>
      <c r="C169" s="429" t="s">
        <v>794</v>
      </c>
      <c r="D169" s="429" t="s">
        <v>795</v>
      </c>
      <c r="E169" s="430" t="s">
        <v>796</v>
      </c>
      <c r="F169" s="429" t="s">
        <v>797</v>
      </c>
      <c r="G169" s="25" t="s">
        <v>798</v>
      </c>
    </row>
    <row r="170" spans="1:7" ht="49.5" customHeight="1" x14ac:dyDescent="0.45">
      <c r="A170" s="426" t="s">
        <v>921</v>
      </c>
      <c r="B170" s="45" t="s">
        <v>922</v>
      </c>
      <c r="C170" s="44" t="s">
        <v>562</v>
      </c>
      <c r="D170" s="44" t="s">
        <v>563</v>
      </c>
      <c r="E170" s="46" t="s">
        <v>564</v>
      </c>
      <c r="F170" s="44" t="s">
        <v>565</v>
      </c>
      <c r="G170" s="25" t="s">
        <v>566</v>
      </c>
    </row>
    <row r="171" spans="1:7" ht="49.5" customHeight="1" x14ac:dyDescent="0.45">
      <c r="A171" s="427" t="s">
        <v>829</v>
      </c>
      <c r="B171" s="428" t="s">
        <v>830</v>
      </c>
      <c r="C171" s="429" t="s">
        <v>837</v>
      </c>
      <c r="D171" s="429" t="s">
        <v>838</v>
      </c>
      <c r="E171" s="430" t="s">
        <v>839</v>
      </c>
      <c r="F171" s="429" t="s">
        <v>840</v>
      </c>
      <c r="G171" s="25" t="s">
        <v>841</v>
      </c>
    </row>
    <row r="172" spans="1:7" ht="49.5" customHeight="1" x14ac:dyDescent="0.45">
      <c r="A172" s="426" t="s">
        <v>896</v>
      </c>
      <c r="B172" s="45" t="s">
        <v>897</v>
      </c>
      <c r="C172" s="44" t="s">
        <v>900</v>
      </c>
      <c r="D172" s="44" t="s">
        <v>901</v>
      </c>
      <c r="E172" s="46" t="s">
        <v>330</v>
      </c>
      <c r="F172" s="44" t="s">
        <v>281</v>
      </c>
      <c r="G172" s="25" t="s">
        <v>902</v>
      </c>
    </row>
    <row r="173" spans="1:7" ht="49.5" customHeight="1" x14ac:dyDescent="0.45">
      <c r="A173" s="427" t="s">
        <v>1198</v>
      </c>
      <c r="B173" s="428" t="s">
        <v>1199</v>
      </c>
      <c r="C173" s="429" t="s">
        <v>1206</v>
      </c>
      <c r="D173" s="429" t="s">
        <v>1207</v>
      </c>
      <c r="E173" s="430" t="s">
        <v>1208</v>
      </c>
      <c r="F173" s="429" t="s">
        <v>1209</v>
      </c>
      <c r="G173" s="65" t="s">
        <v>1210</v>
      </c>
    </row>
    <row r="174" spans="1:7" ht="49.5" customHeight="1" x14ac:dyDescent="0.45">
      <c r="A174" s="426" t="s">
        <v>1229</v>
      </c>
      <c r="B174" s="45" t="s">
        <v>1230</v>
      </c>
      <c r="C174" s="44" t="s">
        <v>562</v>
      </c>
      <c r="D174" s="44" t="s">
        <v>563</v>
      </c>
      <c r="E174" s="46" t="s">
        <v>564</v>
      </c>
      <c r="F174" s="44" t="s">
        <v>565</v>
      </c>
      <c r="G174" s="25" t="s">
        <v>566</v>
      </c>
    </row>
    <row r="175" spans="1:7" ht="49.5" customHeight="1" x14ac:dyDescent="0.45">
      <c r="A175" s="427" t="s">
        <v>1238</v>
      </c>
      <c r="B175" s="428" t="s">
        <v>1239</v>
      </c>
      <c r="C175" s="429" t="s">
        <v>562</v>
      </c>
      <c r="D175" s="429" t="s">
        <v>563</v>
      </c>
      <c r="E175" s="430" t="s">
        <v>564</v>
      </c>
      <c r="F175" s="429" t="s">
        <v>565</v>
      </c>
      <c r="G175" s="25" t="s">
        <v>566</v>
      </c>
    </row>
    <row r="176" spans="1:7" ht="49.5" customHeight="1" x14ac:dyDescent="0.45">
      <c r="A176" s="426" t="s">
        <v>1234</v>
      </c>
      <c r="B176" s="45" t="s">
        <v>1235</v>
      </c>
      <c r="C176" s="44" t="s">
        <v>562</v>
      </c>
      <c r="D176" s="44" t="s">
        <v>563</v>
      </c>
      <c r="E176" s="46" t="s">
        <v>564</v>
      </c>
      <c r="F176" s="44" t="s">
        <v>565</v>
      </c>
      <c r="G176" s="25" t="s">
        <v>566</v>
      </c>
    </row>
    <row r="177" spans="1:7" ht="49.5" customHeight="1" x14ac:dyDescent="0.45">
      <c r="A177" s="427" t="s">
        <v>2175</v>
      </c>
      <c r="B177" s="428" t="s">
        <v>2176</v>
      </c>
      <c r="C177" s="429" t="s">
        <v>562</v>
      </c>
      <c r="D177" s="429" t="s">
        <v>563</v>
      </c>
      <c r="E177" s="430" t="s">
        <v>564</v>
      </c>
      <c r="F177" s="429" t="s">
        <v>565</v>
      </c>
      <c r="G177" s="25" t="s">
        <v>566</v>
      </c>
    </row>
    <row r="178" spans="1:7" ht="49.5" customHeight="1" x14ac:dyDescent="0.45">
      <c r="A178" s="426" t="s">
        <v>1911</v>
      </c>
      <c r="B178" s="45" t="s">
        <v>1912</v>
      </c>
      <c r="C178" s="44" t="s">
        <v>562</v>
      </c>
      <c r="D178" s="44" t="s">
        <v>563</v>
      </c>
      <c r="E178" s="46" t="s">
        <v>564</v>
      </c>
      <c r="F178" s="44" t="s">
        <v>565</v>
      </c>
      <c r="G178" s="25" t="s">
        <v>566</v>
      </c>
    </row>
    <row r="179" spans="1:7" ht="49.5" customHeight="1" x14ac:dyDescent="0.45">
      <c r="A179" s="427" t="s">
        <v>1926</v>
      </c>
      <c r="B179" s="428" t="s">
        <v>1927</v>
      </c>
      <c r="C179" s="429" t="s">
        <v>562</v>
      </c>
      <c r="D179" s="429" t="s">
        <v>563</v>
      </c>
      <c r="E179" s="430" t="s">
        <v>564</v>
      </c>
      <c r="F179" s="429" t="s">
        <v>565</v>
      </c>
      <c r="G179" s="25" t="s">
        <v>566</v>
      </c>
    </row>
    <row r="180" spans="1:7" ht="49.5" customHeight="1" x14ac:dyDescent="0.45">
      <c r="A180" s="426" t="s">
        <v>2091</v>
      </c>
      <c r="B180" s="45" t="s">
        <v>2092</v>
      </c>
      <c r="C180" s="44" t="s">
        <v>562</v>
      </c>
      <c r="D180" s="44" t="s">
        <v>563</v>
      </c>
      <c r="E180" s="46" t="s">
        <v>564</v>
      </c>
      <c r="F180" s="44" t="s">
        <v>565</v>
      </c>
      <c r="G180" s="25" t="s">
        <v>566</v>
      </c>
    </row>
    <row r="181" spans="1:7" ht="49.5" customHeight="1" x14ac:dyDescent="0.45">
      <c r="A181" s="427" t="s">
        <v>2017</v>
      </c>
      <c r="B181" s="428" t="s">
        <v>2018</v>
      </c>
      <c r="C181" s="429" t="s">
        <v>562</v>
      </c>
      <c r="D181" s="429" t="s">
        <v>563</v>
      </c>
      <c r="E181" s="430" t="s">
        <v>564</v>
      </c>
      <c r="F181" s="429" t="s">
        <v>565</v>
      </c>
      <c r="G181" s="25" t="s">
        <v>566</v>
      </c>
    </row>
    <row r="182" spans="1:7" ht="49.5" customHeight="1" x14ac:dyDescent="0.45">
      <c r="A182" s="426" t="s">
        <v>1973</v>
      </c>
      <c r="B182" s="45" t="s">
        <v>1974</v>
      </c>
      <c r="C182" s="44" t="s">
        <v>562</v>
      </c>
      <c r="D182" s="44" t="s">
        <v>563</v>
      </c>
      <c r="E182" s="46" t="s">
        <v>564</v>
      </c>
      <c r="F182" s="44" t="s">
        <v>565</v>
      </c>
      <c r="G182" s="25" t="s">
        <v>566</v>
      </c>
    </row>
    <row r="183" spans="1:7" ht="49.5" customHeight="1" x14ac:dyDescent="0.45">
      <c r="A183" s="427" t="s">
        <v>247</v>
      </c>
      <c r="B183" s="428" t="s">
        <v>248</v>
      </c>
      <c r="C183" s="429" t="s">
        <v>256</v>
      </c>
      <c r="D183" s="429" t="s">
        <v>257</v>
      </c>
      <c r="E183" s="430" t="s">
        <v>258</v>
      </c>
      <c r="F183" s="429" t="s">
        <v>201</v>
      </c>
      <c r="G183" s="25" t="s">
        <v>118</v>
      </c>
    </row>
    <row r="184" spans="1:7" ht="49.5" customHeight="1" x14ac:dyDescent="0.45">
      <c r="A184" s="426" t="s">
        <v>2034</v>
      </c>
      <c r="B184" s="45" t="s">
        <v>2035</v>
      </c>
      <c r="C184" s="44" t="s">
        <v>562</v>
      </c>
      <c r="D184" s="44" t="s">
        <v>563</v>
      </c>
      <c r="E184" s="46" t="s">
        <v>564</v>
      </c>
      <c r="F184" s="44" t="s">
        <v>565</v>
      </c>
      <c r="G184" s="25" t="s">
        <v>566</v>
      </c>
    </row>
    <row r="185" spans="1:7" ht="49.5" customHeight="1" x14ac:dyDescent="0.45">
      <c r="A185" s="427" t="s">
        <v>1936</v>
      </c>
      <c r="B185" s="428" t="s">
        <v>1937</v>
      </c>
      <c r="C185" s="429" t="s">
        <v>562</v>
      </c>
      <c r="D185" s="429" t="s">
        <v>563</v>
      </c>
      <c r="E185" s="430" t="s">
        <v>564</v>
      </c>
      <c r="F185" s="429" t="s">
        <v>565</v>
      </c>
      <c r="G185" s="25" t="s">
        <v>566</v>
      </c>
    </row>
    <row r="186" spans="1:7" ht="49.5" customHeight="1" x14ac:dyDescent="0.45">
      <c r="A186" s="426" t="s">
        <v>2180</v>
      </c>
      <c r="B186" s="45" t="s">
        <v>2181</v>
      </c>
      <c r="C186" s="44" t="s">
        <v>562</v>
      </c>
      <c r="D186" s="44" t="s">
        <v>563</v>
      </c>
      <c r="E186" s="46" t="s">
        <v>564</v>
      </c>
      <c r="F186" s="44" t="s">
        <v>565</v>
      </c>
      <c r="G186" s="25" t="s">
        <v>566</v>
      </c>
    </row>
    <row r="187" spans="1:7" ht="49.5" customHeight="1" x14ac:dyDescent="0.45">
      <c r="A187" s="427" t="s">
        <v>1503</v>
      </c>
      <c r="B187" s="428" t="s">
        <v>1504</v>
      </c>
      <c r="C187" s="429" t="s">
        <v>562</v>
      </c>
      <c r="D187" s="429" t="s">
        <v>563</v>
      </c>
      <c r="E187" s="430" t="s">
        <v>564</v>
      </c>
      <c r="F187" s="429" t="s">
        <v>565</v>
      </c>
      <c r="G187" s="25" t="s">
        <v>566</v>
      </c>
    </row>
    <row r="188" spans="1:7" ht="49.5" customHeight="1" x14ac:dyDescent="0.45">
      <c r="A188" s="426" t="s">
        <v>1468</v>
      </c>
      <c r="B188" s="45" t="s">
        <v>1469</v>
      </c>
      <c r="C188" s="44" t="s">
        <v>1475</v>
      </c>
      <c r="D188" s="44" t="s">
        <v>1476</v>
      </c>
      <c r="E188" s="46" t="s">
        <v>1477</v>
      </c>
      <c r="F188" s="44" t="s">
        <v>1478</v>
      </c>
      <c r="G188" s="25" t="s">
        <v>1479</v>
      </c>
    </row>
    <row r="189" spans="1:7" ht="49.5" customHeight="1" x14ac:dyDescent="0.45">
      <c r="A189" s="427" t="s">
        <v>1481</v>
      </c>
      <c r="B189" s="428" t="s">
        <v>1482</v>
      </c>
      <c r="C189" s="429" t="s">
        <v>1486</v>
      </c>
      <c r="D189" s="429" t="s">
        <v>1487</v>
      </c>
      <c r="E189" s="430" t="s">
        <v>1488</v>
      </c>
      <c r="F189" s="429" t="s">
        <v>1489</v>
      </c>
      <c r="G189" s="25" t="s">
        <v>1490</v>
      </c>
    </row>
    <row r="190" spans="1:7" ht="49.5" customHeight="1" x14ac:dyDescent="0.45">
      <c r="A190" s="426" t="s">
        <v>1491</v>
      </c>
      <c r="B190" s="45" t="s">
        <v>1492</v>
      </c>
      <c r="C190" s="44" t="s">
        <v>562</v>
      </c>
      <c r="D190" s="44" t="s">
        <v>563</v>
      </c>
      <c r="E190" s="46" t="s">
        <v>564</v>
      </c>
      <c r="F190" s="44" t="s">
        <v>565</v>
      </c>
      <c r="G190" s="25" t="s">
        <v>566</v>
      </c>
    </row>
    <row r="191" spans="1:7" ht="49.5" customHeight="1" x14ac:dyDescent="0.45">
      <c r="A191" s="427" t="s">
        <v>1496</v>
      </c>
      <c r="B191" s="428" t="s">
        <v>1497</v>
      </c>
      <c r="C191" s="429" t="s">
        <v>562</v>
      </c>
      <c r="D191" s="429" t="s">
        <v>563</v>
      </c>
      <c r="E191" s="430" t="s">
        <v>564</v>
      </c>
      <c r="F191" s="429" t="s">
        <v>565</v>
      </c>
      <c r="G191" s="25" t="s">
        <v>566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4"/>
  <sheetViews>
    <sheetView zoomScaleNormal="100" workbookViewId="0">
      <pane ySplit="1" topLeftCell="A2" activePane="bottomLeft" state="frozen"/>
      <selection pane="bottomLeft"/>
    </sheetView>
  </sheetViews>
  <sheetFormatPr defaultColWidth="8.6640625" defaultRowHeight="14.25" x14ac:dyDescent="0.45"/>
  <cols>
    <col min="1" max="1" width="6" customWidth="1"/>
    <col min="2" max="2" width="18" customWidth="1"/>
    <col min="3" max="3" width="38" customWidth="1"/>
    <col min="4" max="6" width="12" customWidth="1"/>
    <col min="7" max="7" width="30" customWidth="1"/>
    <col min="8" max="8" width="26" customWidth="1"/>
    <col min="9" max="9" width="8" customWidth="1"/>
    <col min="10" max="10" width="22" customWidth="1"/>
    <col min="11" max="11" width="32" customWidth="1"/>
    <col min="12" max="12" width="28" customWidth="1"/>
    <col min="13" max="13" width="42" customWidth="1"/>
  </cols>
  <sheetData>
    <row r="1" spans="1:13" ht="21.75" customHeight="1" x14ac:dyDescent="0.45">
      <c r="A1" s="5" t="s">
        <v>2476</v>
      </c>
      <c r="B1" s="5" t="s">
        <v>4</v>
      </c>
      <c r="C1" s="5" t="s">
        <v>5</v>
      </c>
      <c r="D1" s="5" t="s">
        <v>2468</v>
      </c>
      <c r="E1" s="5" t="s">
        <v>2470</v>
      </c>
      <c r="F1" s="5" t="s">
        <v>2477</v>
      </c>
      <c r="G1" s="5" t="s">
        <v>2478</v>
      </c>
      <c r="H1" s="5" t="s">
        <v>25</v>
      </c>
      <c r="I1" s="5" t="s">
        <v>2479</v>
      </c>
      <c r="J1" s="5" t="s">
        <v>2480</v>
      </c>
      <c r="K1" s="5" t="s">
        <v>2481</v>
      </c>
      <c r="L1" s="5" t="s">
        <v>2482</v>
      </c>
      <c r="M1" s="5" t="s">
        <v>2483</v>
      </c>
    </row>
    <row r="2" spans="1:13" ht="51.75" customHeight="1" x14ac:dyDescent="0.45">
      <c r="A2" s="42" t="s">
        <v>2484</v>
      </c>
      <c r="B2" s="426" t="s">
        <v>57</v>
      </c>
      <c r="C2" s="45" t="s">
        <v>58</v>
      </c>
      <c r="D2" s="431" t="s">
        <v>54</v>
      </c>
      <c r="E2" s="432" t="s">
        <v>66</v>
      </c>
      <c r="F2" s="433" t="s">
        <v>2485</v>
      </c>
      <c r="G2" s="434" t="s">
        <v>2486</v>
      </c>
      <c r="H2" s="44" t="s">
        <v>78</v>
      </c>
      <c r="I2" s="46" t="s">
        <v>2487</v>
      </c>
      <c r="J2" s="27" t="s">
        <v>2488</v>
      </c>
      <c r="K2" s="44" t="s">
        <v>83</v>
      </c>
      <c r="L2" s="44" t="s">
        <v>85</v>
      </c>
      <c r="M2" s="44" t="s">
        <v>86</v>
      </c>
    </row>
    <row r="3" spans="1:13" ht="51.75" customHeight="1" x14ac:dyDescent="0.45">
      <c r="A3" s="435" t="s">
        <v>2489</v>
      </c>
      <c r="B3" s="427" t="s">
        <v>106</v>
      </c>
      <c r="C3" s="428" t="s">
        <v>107</v>
      </c>
      <c r="D3" s="436" t="s">
        <v>54</v>
      </c>
      <c r="E3" s="432" t="s">
        <v>66</v>
      </c>
      <c r="F3" s="433" t="s">
        <v>2485</v>
      </c>
      <c r="G3" s="437" t="s">
        <v>119</v>
      </c>
      <c r="H3" s="429" t="s">
        <v>123</v>
      </c>
      <c r="I3" s="430" t="s">
        <v>2490</v>
      </c>
      <c r="J3" s="27" t="s">
        <v>2491</v>
      </c>
      <c r="K3" s="429" t="s">
        <v>127</v>
      </c>
      <c r="L3" s="429" t="s">
        <v>129</v>
      </c>
      <c r="M3" s="429" t="s">
        <v>130</v>
      </c>
    </row>
    <row r="4" spans="1:13" ht="51.75" customHeight="1" x14ac:dyDescent="0.45">
      <c r="A4" s="42" t="s">
        <v>2492</v>
      </c>
      <c r="B4" s="426" t="s">
        <v>333</v>
      </c>
      <c r="C4" s="45" t="s">
        <v>334</v>
      </c>
      <c r="D4" s="431" t="s">
        <v>54</v>
      </c>
      <c r="E4" s="432" t="s">
        <v>66</v>
      </c>
      <c r="F4" s="433" t="s">
        <v>2485</v>
      </c>
      <c r="G4" s="434" t="s">
        <v>2493</v>
      </c>
      <c r="H4" s="44" t="s">
        <v>349</v>
      </c>
      <c r="I4" s="46" t="s">
        <v>2494</v>
      </c>
      <c r="J4" s="60" t="s">
        <v>355</v>
      </c>
      <c r="K4" s="44" t="s">
        <v>354</v>
      </c>
      <c r="L4" s="44" t="s">
        <v>356</v>
      </c>
      <c r="M4" s="44" t="s">
        <v>357</v>
      </c>
    </row>
    <row r="5" spans="1:13" ht="51.75" customHeight="1" x14ac:dyDescent="0.45">
      <c r="A5" s="435" t="s">
        <v>2495</v>
      </c>
      <c r="B5" s="427" t="s">
        <v>382</v>
      </c>
      <c r="C5" s="428" t="s">
        <v>383</v>
      </c>
      <c r="D5" s="436" t="s">
        <v>380</v>
      </c>
      <c r="E5" s="432" t="s">
        <v>66</v>
      </c>
      <c r="F5" s="433" t="s">
        <v>2485</v>
      </c>
      <c r="G5" s="437" t="s">
        <v>2496</v>
      </c>
      <c r="H5" s="429" t="s">
        <v>399</v>
      </c>
      <c r="I5" s="430" t="s">
        <v>2497</v>
      </c>
      <c r="J5" s="60" t="s">
        <v>405</v>
      </c>
      <c r="K5" s="429" t="s">
        <v>404</v>
      </c>
      <c r="L5" s="429" t="s">
        <v>406</v>
      </c>
      <c r="M5" s="429" t="s">
        <v>407</v>
      </c>
    </row>
    <row r="6" spans="1:13" ht="51.75" customHeight="1" x14ac:dyDescent="0.45">
      <c r="A6" s="42" t="s">
        <v>2498</v>
      </c>
      <c r="B6" s="426" t="s">
        <v>426</v>
      </c>
      <c r="C6" s="45" t="s">
        <v>427</v>
      </c>
      <c r="D6" s="431" t="s">
        <v>380</v>
      </c>
      <c r="E6" s="432" t="s">
        <v>66</v>
      </c>
      <c r="F6" s="433" t="s">
        <v>2485</v>
      </c>
      <c r="G6" s="434" t="s">
        <v>2499</v>
      </c>
      <c r="H6" s="44" t="s">
        <v>442</v>
      </c>
      <c r="I6" s="46" t="s">
        <v>2500</v>
      </c>
      <c r="J6" s="60" t="s">
        <v>448</v>
      </c>
      <c r="K6" s="44" t="s">
        <v>447</v>
      </c>
      <c r="L6" s="44" t="s">
        <v>449</v>
      </c>
      <c r="M6" s="44" t="s">
        <v>450</v>
      </c>
    </row>
    <row r="7" spans="1:13" ht="51.75" customHeight="1" x14ac:dyDescent="0.45">
      <c r="A7" s="435" t="s">
        <v>2501</v>
      </c>
      <c r="B7" s="427" t="s">
        <v>461</v>
      </c>
      <c r="C7" s="428" t="s">
        <v>462</v>
      </c>
      <c r="D7" s="436" t="s">
        <v>380</v>
      </c>
      <c r="E7" s="432" t="s">
        <v>66</v>
      </c>
      <c r="F7" s="433" t="s">
        <v>2485</v>
      </c>
      <c r="G7" s="437" t="s">
        <v>282</v>
      </c>
      <c r="H7" s="429" t="s">
        <v>286</v>
      </c>
      <c r="I7" s="430" t="s">
        <v>2494</v>
      </c>
      <c r="J7" s="56" t="s">
        <v>291</v>
      </c>
      <c r="K7" s="429" t="s">
        <v>290</v>
      </c>
      <c r="L7" s="429" t="s">
        <v>292</v>
      </c>
      <c r="M7" s="429" t="s">
        <v>293</v>
      </c>
    </row>
    <row r="8" spans="1:13" ht="51.75" customHeight="1" x14ac:dyDescent="0.45">
      <c r="A8" s="42" t="s">
        <v>2502</v>
      </c>
      <c r="B8" s="426" t="s">
        <v>548</v>
      </c>
      <c r="C8" s="45" t="s">
        <v>549</v>
      </c>
      <c r="D8" s="431" t="s">
        <v>380</v>
      </c>
      <c r="E8" s="432" t="s">
        <v>66</v>
      </c>
      <c r="F8" s="433" t="s">
        <v>2485</v>
      </c>
      <c r="G8" s="434" t="s">
        <v>282</v>
      </c>
      <c r="H8" s="44" t="s">
        <v>286</v>
      </c>
      <c r="I8" s="46" t="s">
        <v>2494</v>
      </c>
      <c r="J8" s="56" t="s">
        <v>291</v>
      </c>
      <c r="K8" s="44" t="s">
        <v>290</v>
      </c>
      <c r="L8" s="44" t="s">
        <v>292</v>
      </c>
      <c r="M8" s="44" t="s">
        <v>293</v>
      </c>
    </row>
    <row r="9" spans="1:13" ht="51.75" customHeight="1" x14ac:dyDescent="0.45">
      <c r="A9" s="435" t="s">
        <v>2503</v>
      </c>
      <c r="B9" s="427" t="s">
        <v>557</v>
      </c>
      <c r="C9" s="428" t="s">
        <v>58</v>
      </c>
      <c r="D9" s="436" t="s">
        <v>380</v>
      </c>
      <c r="E9" s="432" t="s">
        <v>66</v>
      </c>
      <c r="F9" s="433" t="s">
        <v>2485</v>
      </c>
      <c r="G9" s="437" t="s">
        <v>282</v>
      </c>
      <c r="H9" s="429" t="s">
        <v>286</v>
      </c>
      <c r="I9" s="430" t="s">
        <v>2494</v>
      </c>
      <c r="J9" s="56" t="s">
        <v>291</v>
      </c>
      <c r="K9" s="429" t="s">
        <v>290</v>
      </c>
      <c r="L9" s="429" t="s">
        <v>292</v>
      </c>
      <c r="M9" s="429" t="s">
        <v>293</v>
      </c>
    </row>
    <row r="10" spans="1:13" ht="51.75" customHeight="1" x14ac:dyDescent="0.45">
      <c r="A10" s="42" t="s">
        <v>2504</v>
      </c>
      <c r="B10" s="426" t="s">
        <v>572</v>
      </c>
      <c r="C10" s="45" t="s">
        <v>573</v>
      </c>
      <c r="D10" s="431" t="s">
        <v>569</v>
      </c>
      <c r="E10" s="432" t="s">
        <v>66</v>
      </c>
      <c r="F10" s="433" t="s">
        <v>2485</v>
      </c>
      <c r="G10" s="434" t="s">
        <v>282</v>
      </c>
      <c r="H10" s="44" t="s">
        <v>286</v>
      </c>
      <c r="I10" s="46" t="s">
        <v>2494</v>
      </c>
      <c r="J10" s="56" t="s">
        <v>291</v>
      </c>
      <c r="K10" s="44" t="s">
        <v>290</v>
      </c>
      <c r="L10" s="44" t="s">
        <v>292</v>
      </c>
      <c r="M10" s="44" t="s">
        <v>293</v>
      </c>
    </row>
    <row r="11" spans="1:13" ht="51.75" customHeight="1" x14ac:dyDescent="0.45">
      <c r="A11" s="435" t="s">
        <v>2505</v>
      </c>
      <c r="B11" s="427" t="s">
        <v>586</v>
      </c>
      <c r="C11" s="428" t="s">
        <v>587</v>
      </c>
      <c r="D11" s="436" t="s">
        <v>569</v>
      </c>
      <c r="E11" s="432" t="s">
        <v>66</v>
      </c>
      <c r="F11" s="433" t="s">
        <v>2485</v>
      </c>
      <c r="G11" s="437" t="s">
        <v>2506</v>
      </c>
      <c r="H11" s="429" t="s">
        <v>604</v>
      </c>
      <c r="I11" s="430" t="s">
        <v>2507</v>
      </c>
      <c r="J11" s="27" t="s">
        <v>2508</v>
      </c>
      <c r="K11" s="429" t="s">
        <v>609</v>
      </c>
      <c r="L11" s="429" t="s">
        <v>611</v>
      </c>
      <c r="M11" s="429" t="s">
        <v>612</v>
      </c>
    </row>
    <row r="12" spans="1:13" ht="51.75" customHeight="1" x14ac:dyDescent="0.45">
      <c r="A12" s="42" t="s">
        <v>2509</v>
      </c>
      <c r="B12" s="426" t="s">
        <v>630</v>
      </c>
      <c r="C12" s="45" t="s">
        <v>631</v>
      </c>
      <c r="D12" s="431" t="s">
        <v>569</v>
      </c>
      <c r="E12" s="432" t="s">
        <v>66</v>
      </c>
      <c r="F12" s="433" t="s">
        <v>2485</v>
      </c>
      <c r="G12" s="434" t="s">
        <v>642</v>
      </c>
      <c r="H12" s="44" t="s">
        <v>646</v>
      </c>
      <c r="I12" s="46" t="s">
        <v>2510</v>
      </c>
      <c r="J12" s="27" t="s">
        <v>2511</v>
      </c>
      <c r="K12" s="44" t="s">
        <v>651</v>
      </c>
      <c r="L12" s="44" t="s">
        <v>653</v>
      </c>
      <c r="M12" s="44" t="s">
        <v>654</v>
      </c>
    </row>
    <row r="13" spans="1:13" ht="51.75" customHeight="1" x14ac:dyDescent="0.45">
      <c r="A13" s="435" t="s">
        <v>465</v>
      </c>
      <c r="B13" s="427" t="s">
        <v>655</v>
      </c>
      <c r="C13" s="428" t="s">
        <v>656</v>
      </c>
      <c r="D13" s="436" t="s">
        <v>569</v>
      </c>
      <c r="E13" s="432" t="s">
        <v>66</v>
      </c>
      <c r="F13" s="433" t="s">
        <v>2485</v>
      </c>
      <c r="G13" s="437" t="s">
        <v>667</v>
      </c>
      <c r="H13" s="429" t="s">
        <v>670</v>
      </c>
      <c r="I13" s="430" t="s">
        <v>2512</v>
      </c>
      <c r="J13" s="27" t="s">
        <v>2513</v>
      </c>
      <c r="K13" s="429" t="s">
        <v>675</v>
      </c>
      <c r="L13" s="429" t="s">
        <v>677</v>
      </c>
      <c r="M13" s="429" t="s">
        <v>678</v>
      </c>
    </row>
    <row r="14" spans="1:13" ht="51.75" customHeight="1" x14ac:dyDescent="0.45">
      <c r="A14" s="42" t="s">
        <v>2514</v>
      </c>
      <c r="B14" s="426" t="s">
        <v>688</v>
      </c>
      <c r="C14" s="45" t="s">
        <v>689</v>
      </c>
      <c r="D14" s="431" t="s">
        <v>569</v>
      </c>
      <c r="E14" s="432" t="s">
        <v>66</v>
      </c>
      <c r="F14" s="433" t="s">
        <v>2485</v>
      </c>
      <c r="G14" s="434" t="s">
        <v>700</v>
      </c>
      <c r="H14" s="44" t="s">
        <v>703</v>
      </c>
      <c r="I14" s="46" t="s">
        <v>2515</v>
      </c>
      <c r="J14" s="60" t="s">
        <v>708</v>
      </c>
      <c r="K14" s="44" t="s">
        <v>675</v>
      </c>
      <c r="L14" s="44" t="s">
        <v>709</v>
      </c>
      <c r="M14" s="44" t="s">
        <v>710</v>
      </c>
    </row>
    <row r="15" spans="1:13" ht="51.75" customHeight="1" x14ac:dyDescent="0.45">
      <c r="A15" s="435" t="s">
        <v>2516</v>
      </c>
      <c r="B15" s="427" t="s">
        <v>770</v>
      </c>
      <c r="C15" s="428" t="s">
        <v>107</v>
      </c>
      <c r="D15" s="436" t="s">
        <v>569</v>
      </c>
      <c r="E15" s="432" t="s">
        <v>66</v>
      </c>
      <c r="F15" s="433" t="s">
        <v>2485</v>
      </c>
      <c r="G15" s="437" t="s">
        <v>282</v>
      </c>
      <c r="H15" s="429" t="s">
        <v>286</v>
      </c>
      <c r="I15" s="430" t="s">
        <v>2494</v>
      </c>
      <c r="J15" s="56" t="s">
        <v>291</v>
      </c>
      <c r="K15" s="429" t="s">
        <v>290</v>
      </c>
      <c r="L15" s="429" t="s">
        <v>292</v>
      </c>
      <c r="M15" s="429" t="s">
        <v>293</v>
      </c>
    </row>
    <row r="16" spans="1:13" ht="51.75" customHeight="1" x14ac:dyDescent="0.45">
      <c r="A16" s="42" t="s">
        <v>487</v>
      </c>
      <c r="B16" s="426" t="s">
        <v>785</v>
      </c>
      <c r="C16" s="45" t="s">
        <v>786</v>
      </c>
      <c r="D16" s="431" t="s">
        <v>783</v>
      </c>
      <c r="E16" s="432" t="s">
        <v>66</v>
      </c>
      <c r="F16" s="433" t="s">
        <v>2485</v>
      </c>
      <c r="G16" s="434" t="s">
        <v>2517</v>
      </c>
      <c r="H16" s="44" t="s">
        <v>802</v>
      </c>
      <c r="I16" s="46" t="s">
        <v>2518</v>
      </c>
      <c r="J16" s="56" t="s">
        <v>2519</v>
      </c>
      <c r="K16" s="44" t="s">
        <v>807</v>
      </c>
      <c r="L16" s="44" t="s">
        <v>809</v>
      </c>
      <c r="M16" s="44" t="s">
        <v>810</v>
      </c>
    </row>
    <row r="17" spans="1:13" ht="51.75" customHeight="1" x14ac:dyDescent="0.45">
      <c r="A17" s="435" t="s">
        <v>2520</v>
      </c>
      <c r="B17" s="427" t="s">
        <v>829</v>
      </c>
      <c r="C17" s="428" t="s">
        <v>830</v>
      </c>
      <c r="D17" s="436" t="s">
        <v>783</v>
      </c>
      <c r="E17" s="432" t="s">
        <v>66</v>
      </c>
      <c r="F17" s="433" t="s">
        <v>2485</v>
      </c>
      <c r="G17" s="437" t="s">
        <v>282</v>
      </c>
      <c r="H17" s="429" t="s">
        <v>286</v>
      </c>
      <c r="I17" s="430" t="s">
        <v>2494</v>
      </c>
      <c r="J17" s="56" t="s">
        <v>291</v>
      </c>
      <c r="K17" s="429" t="s">
        <v>290</v>
      </c>
      <c r="L17" s="429" t="s">
        <v>292</v>
      </c>
      <c r="M17" s="429" t="s">
        <v>293</v>
      </c>
    </row>
    <row r="18" spans="1:13" ht="51.75" customHeight="1" x14ac:dyDescent="0.45">
      <c r="A18" s="42" t="s">
        <v>2521</v>
      </c>
      <c r="B18" s="426" t="s">
        <v>843</v>
      </c>
      <c r="C18" s="45" t="s">
        <v>844</v>
      </c>
      <c r="D18" s="431" t="s">
        <v>783</v>
      </c>
      <c r="E18" s="432" t="s">
        <v>66</v>
      </c>
      <c r="F18" s="433" t="s">
        <v>2485</v>
      </c>
      <c r="G18" s="434" t="s">
        <v>853</v>
      </c>
      <c r="H18" s="44" t="s">
        <v>856</v>
      </c>
      <c r="I18" s="46" t="s">
        <v>2522</v>
      </c>
      <c r="J18" s="56" t="s">
        <v>862</v>
      </c>
      <c r="K18" s="44" t="s">
        <v>861</v>
      </c>
      <c r="L18" s="44" t="s">
        <v>863</v>
      </c>
      <c r="M18" s="44" t="s">
        <v>864</v>
      </c>
    </row>
    <row r="19" spans="1:13" ht="51.75" customHeight="1" x14ac:dyDescent="0.45">
      <c r="A19" s="435" t="s">
        <v>273</v>
      </c>
      <c r="B19" s="427" t="s">
        <v>896</v>
      </c>
      <c r="C19" s="428" t="s">
        <v>897</v>
      </c>
      <c r="D19" s="436" t="s">
        <v>783</v>
      </c>
      <c r="E19" s="432" t="s">
        <v>66</v>
      </c>
      <c r="F19" s="433" t="s">
        <v>2485</v>
      </c>
      <c r="G19" s="437" t="s">
        <v>282</v>
      </c>
      <c r="H19" s="429" t="s">
        <v>286</v>
      </c>
      <c r="I19" s="430" t="s">
        <v>2494</v>
      </c>
      <c r="J19" s="56" t="s">
        <v>291</v>
      </c>
      <c r="K19" s="429" t="s">
        <v>290</v>
      </c>
      <c r="L19" s="429" t="s">
        <v>292</v>
      </c>
      <c r="M19" s="429" t="s">
        <v>293</v>
      </c>
    </row>
    <row r="20" spans="1:13" ht="51.75" customHeight="1" x14ac:dyDescent="0.45">
      <c r="A20" s="42" t="s">
        <v>2523</v>
      </c>
      <c r="B20" s="426" t="s">
        <v>930</v>
      </c>
      <c r="C20" s="45" t="s">
        <v>931</v>
      </c>
      <c r="D20" s="431" t="s">
        <v>928</v>
      </c>
      <c r="E20" s="432" t="s">
        <v>66</v>
      </c>
      <c r="F20" s="438" t="s">
        <v>2524</v>
      </c>
      <c r="G20" s="434" t="s">
        <v>2525</v>
      </c>
      <c r="H20" s="44" t="s">
        <v>948</v>
      </c>
      <c r="I20" s="46" t="s">
        <v>2526</v>
      </c>
      <c r="J20" s="27" t="s">
        <v>2527</v>
      </c>
      <c r="K20" s="44" t="s">
        <v>952</v>
      </c>
      <c r="L20" s="44" t="s">
        <v>954</v>
      </c>
      <c r="M20" s="44" t="s">
        <v>955</v>
      </c>
    </row>
    <row r="21" spans="1:13" ht="51.75" customHeight="1" x14ac:dyDescent="0.45">
      <c r="A21" s="435" t="s">
        <v>1134</v>
      </c>
      <c r="B21" s="427" t="s">
        <v>1198</v>
      </c>
      <c r="C21" s="428" t="s">
        <v>1199</v>
      </c>
      <c r="D21" s="436" t="s">
        <v>1196</v>
      </c>
      <c r="E21" s="432" t="s">
        <v>66</v>
      </c>
      <c r="F21" s="433" t="s">
        <v>2485</v>
      </c>
      <c r="G21" s="437" t="s">
        <v>282</v>
      </c>
      <c r="H21" s="429" t="s">
        <v>286</v>
      </c>
      <c r="I21" s="430" t="s">
        <v>2494</v>
      </c>
      <c r="J21" s="56" t="s">
        <v>291</v>
      </c>
      <c r="K21" s="429" t="s">
        <v>290</v>
      </c>
      <c r="L21" s="429" t="s">
        <v>292</v>
      </c>
      <c r="M21" s="429" t="s">
        <v>293</v>
      </c>
    </row>
    <row r="22" spans="1:13" ht="51.75" customHeight="1" x14ac:dyDescent="0.45">
      <c r="A22" s="42" t="s">
        <v>2528</v>
      </c>
      <c r="B22" s="426" t="s">
        <v>1246</v>
      </c>
      <c r="C22" s="45" t="s">
        <v>1247</v>
      </c>
      <c r="D22" s="431" t="s">
        <v>1244</v>
      </c>
      <c r="E22" s="432" t="s">
        <v>66</v>
      </c>
      <c r="F22" s="433" t="s">
        <v>2485</v>
      </c>
      <c r="G22" s="434" t="s">
        <v>2529</v>
      </c>
      <c r="H22" s="44" t="s">
        <v>1260</v>
      </c>
      <c r="I22" s="46" t="s">
        <v>2530</v>
      </c>
      <c r="J22" s="27" t="s">
        <v>2531</v>
      </c>
      <c r="K22" s="44" t="s">
        <v>1264</v>
      </c>
      <c r="L22" s="44" t="s">
        <v>1266</v>
      </c>
      <c r="M22" s="44" t="s">
        <v>1267</v>
      </c>
    </row>
    <row r="23" spans="1:13" ht="51.75" customHeight="1" x14ac:dyDescent="0.45">
      <c r="A23" s="435" t="s">
        <v>297</v>
      </c>
      <c r="B23" s="427" t="s">
        <v>1274</v>
      </c>
      <c r="C23" s="428" t="s">
        <v>1275</v>
      </c>
      <c r="D23" s="436" t="s">
        <v>1244</v>
      </c>
      <c r="E23" s="432" t="s">
        <v>66</v>
      </c>
      <c r="F23" s="433" t="s">
        <v>2485</v>
      </c>
      <c r="G23" s="437" t="s">
        <v>282</v>
      </c>
      <c r="H23" s="429" t="s">
        <v>286</v>
      </c>
      <c r="I23" s="430" t="s">
        <v>2494</v>
      </c>
      <c r="J23" s="56" t="s">
        <v>291</v>
      </c>
      <c r="K23" s="429" t="s">
        <v>290</v>
      </c>
      <c r="L23" s="429" t="s">
        <v>292</v>
      </c>
      <c r="M23" s="429" t="s">
        <v>293</v>
      </c>
    </row>
    <row r="24" spans="1:13" ht="51.75" customHeight="1" x14ac:dyDescent="0.45">
      <c r="A24" s="42" t="s">
        <v>1451</v>
      </c>
      <c r="B24" s="426" t="s">
        <v>1397</v>
      </c>
      <c r="C24" s="45" t="s">
        <v>1398</v>
      </c>
      <c r="D24" s="431" t="s">
        <v>1340</v>
      </c>
      <c r="E24" s="432" t="s">
        <v>66</v>
      </c>
      <c r="F24" s="433" t="s">
        <v>2485</v>
      </c>
      <c r="G24" s="434" t="s">
        <v>2532</v>
      </c>
      <c r="H24" s="44" t="s">
        <v>1411</v>
      </c>
      <c r="I24" s="46" t="s">
        <v>2494</v>
      </c>
      <c r="J24" s="60" t="s">
        <v>1415</v>
      </c>
      <c r="K24" s="44" t="s">
        <v>211</v>
      </c>
      <c r="L24" s="44" t="s">
        <v>1416</v>
      </c>
      <c r="M24" s="44" t="s">
        <v>1417</v>
      </c>
    </row>
    <row r="25" spans="1:13" ht="51.75" customHeight="1" x14ac:dyDescent="0.45">
      <c r="A25" s="435" t="s">
        <v>2533</v>
      </c>
      <c r="B25" s="427" t="s">
        <v>148</v>
      </c>
      <c r="C25" s="428" t="s">
        <v>149</v>
      </c>
      <c r="D25" s="436" t="s">
        <v>54</v>
      </c>
      <c r="E25" s="439" t="s">
        <v>154</v>
      </c>
      <c r="F25" s="433" t="s">
        <v>2485</v>
      </c>
      <c r="G25" s="437" t="s">
        <v>162</v>
      </c>
      <c r="H25" s="429" t="s">
        <v>166</v>
      </c>
      <c r="I25" s="430" t="s">
        <v>2534</v>
      </c>
      <c r="J25" s="27" t="s">
        <v>171</v>
      </c>
      <c r="K25" s="429" t="s">
        <v>170</v>
      </c>
      <c r="L25" s="429" t="s">
        <v>172</v>
      </c>
      <c r="M25" s="429" t="s">
        <v>173</v>
      </c>
    </row>
    <row r="26" spans="1:13" ht="51.75" customHeight="1" x14ac:dyDescent="0.45">
      <c r="A26" s="42" t="s">
        <v>755</v>
      </c>
      <c r="B26" s="426" t="s">
        <v>191</v>
      </c>
      <c r="C26" s="45" t="s">
        <v>192</v>
      </c>
      <c r="D26" s="431" t="s">
        <v>54</v>
      </c>
      <c r="E26" s="439" t="s">
        <v>154</v>
      </c>
      <c r="F26" s="433" t="s">
        <v>2485</v>
      </c>
      <c r="G26" s="434" t="s">
        <v>202</v>
      </c>
      <c r="H26" s="44" t="s">
        <v>206</v>
      </c>
      <c r="I26" s="46" t="s">
        <v>2535</v>
      </c>
      <c r="J26" s="27" t="s">
        <v>212</v>
      </c>
      <c r="K26" s="44" t="s">
        <v>211</v>
      </c>
      <c r="L26" s="44" t="s">
        <v>213</v>
      </c>
      <c r="M26" s="44" t="s">
        <v>214</v>
      </c>
    </row>
    <row r="27" spans="1:13" ht="51.75" customHeight="1" x14ac:dyDescent="0.45">
      <c r="A27" s="435" t="s">
        <v>2536</v>
      </c>
      <c r="B27" s="427" t="s">
        <v>222</v>
      </c>
      <c r="C27" s="428" t="s">
        <v>223</v>
      </c>
      <c r="D27" s="436" t="s">
        <v>54</v>
      </c>
      <c r="E27" s="439" t="s">
        <v>154</v>
      </c>
      <c r="F27" s="433" t="s">
        <v>2485</v>
      </c>
      <c r="G27" s="437" t="s">
        <v>235</v>
      </c>
      <c r="H27" s="429" t="s">
        <v>239</v>
      </c>
      <c r="I27" s="430" t="s">
        <v>2537</v>
      </c>
      <c r="J27" s="27" t="s">
        <v>244</v>
      </c>
      <c r="K27" s="429" t="s">
        <v>243</v>
      </c>
      <c r="L27" s="429" t="s">
        <v>245</v>
      </c>
      <c r="M27" s="429" t="s">
        <v>246</v>
      </c>
    </row>
    <row r="28" spans="1:13" ht="51.75" customHeight="1" x14ac:dyDescent="0.45">
      <c r="A28" s="42" t="s">
        <v>2538</v>
      </c>
      <c r="B28" s="426" t="s">
        <v>294</v>
      </c>
      <c r="C28" s="45" t="s">
        <v>295</v>
      </c>
      <c r="D28" s="431" t="s">
        <v>54</v>
      </c>
      <c r="E28" s="439" t="s">
        <v>154</v>
      </c>
      <c r="F28" s="433" t="s">
        <v>2485</v>
      </c>
      <c r="G28" s="434" t="s">
        <v>282</v>
      </c>
      <c r="H28" s="44" t="s">
        <v>286</v>
      </c>
      <c r="I28" s="46" t="s">
        <v>2494</v>
      </c>
      <c r="J28" s="56" t="s">
        <v>291</v>
      </c>
      <c r="K28" s="44" t="s">
        <v>290</v>
      </c>
      <c r="L28" s="44" t="s">
        <v>292</v>
      </c>
      <c r="M28" s="44" t="s">
        <v>293</v>
      </c>
    </row>
    <row r="29" spans="1:13" ht="51.75" customHeight="1" x14ac:dyDescent="0.45">
      <c r="A29" s="435" t="s">
        <v>251</v>
      </c>
      <c r="B29" s="427" t="s">
        <v>306</v>
      </c>
      <c r="C29" s="428" t="s">
        <v>307</v>
      </c>
      <c r="D29" s="436" t="s">
        <v>54</v>
      </c>
      <c r="E29" s="439" t="s">
        <v>154</v>
      </c>
      <c r="F29" s="433" t="s">
        <v>2485</v>
      </c>
      <c r="G29" s="437" t="s">
        <v>282</v>
      </c>
      <c r="H29" s="429" t="s">
        <v>286</v>
      </c>
      <c r="I29" s="430" t="s">
        <v>2494</v>
      </c>
      <c r="J29" s="56" t="s">
        <v>291</v>
      </c>
      <c r="K29" s="429" t="s">
        <v>290</v>
      </c>
      <c r="L29" s="429" t="s">
        <v>292</v>
      </c>
      <c r="M29" s="429" t="s">
        <v>293</v>
      </c>
    </row>
    <row r="30" spans="1:13" ht="51.75" customHeight="1" x14ac:dyDescent="0.45">
      <c r="A30" s="42" t="s">
        <v>2539</v>
      </c>
      <c r="B30" s="426" t="s">
        <v>473</v>
      </c>
      <c r="C30" s="45" t="s">
        <v>474</v>
      </c>
      <c r="D30" s="431" t="s">
        <v>380</v>
      </c>
      <c r="E30" s="439" t="s">
        <v>154</v>
      </c>
      <c r="F30" s="433" t="s">
        <v>2485</v>
      </c>
      <c r="G30" s="434" t="s">
        <v>282</v>
      </c>
      <c r="H30" s="44" t="s">
        <v>286</v>
      </c>
      <c r="I30" s="46" t="s">
        <v>2494</v>
      </c>
      <c r="J30" s="56" t="s">
        <v>291</v>
      </c>
      <c r="K30" s="44" t="s">
        <v>290</v>
      </c>
      <c r="L30" s="44" t="s">
        <v>292</v>
      </c>
      <c r="M30" s="44" t="s">
        <v>293</v>
      </c>
    </row>
    <row r="31" spans="1:13" ht="51.75" customHeight="1" x14ac:dyDescent="0.45">
      <c r="A31" s="435" t="s">
        <v>743</v>
      </c>
      <c r="B31" s="427" t="s">
        <v>484</v>
      </c>
      <c r="C31" s="428" t="s">
        <v>485</v>
      </c>
      <c r="D31" s="436" t="s">
        <v>380</v>
      </c>
      <c r="E31" s="439" t="s">
        <v>154</v>
      </c>
      <c r="F31" s="433" t="s">
        <v>2485</v>
      </c>
      <c r="G31" s="437" t="s">
        <v>282</v>
      </c>
      <c r="H31" s="429" t="s">
        <v>286</v>
      </c>
      <c r="I31" s="430" t="s">
        <v>2494</v>
      </c>
      <c r="J31" s="56" t="s">
        <v>291</v>
      </c>
      <c r="K31" s="429" t="s">
        <v>290</v>
      </c>
      <c r="L31" s="429" t="s">
        <v>292</v>
      </c>
      <c r="M31" s="429" t="s">
        <v>293</v>
      </c>
    </row>
    <row r="32" spans="1:13" ht="51.75" customHeight="1" x14ac:dyDescent="0.45">
      <c r="A32" s="42" t="s">
        <v>2540</v>
      </c>
      <c r="B32" s="426" t="s">
        <v>492</v>
      </c>
      <c r="C32" s="45" t="s">
        <v>493</v>
      </c>
      <c r="D32" s="431" t="s">
        <v>380</v>
      </c>
      <c r="E32" s="439" t="s">
        <v>154</v>
      </c>
      <c r="F32" s="433" t="s">
        <v>2485</v>
      </c>
      <c r="G32" s="434" t="s">
        <v>282</v>
      </c>
      <c r="H32" s="44" t="s">
        <v>286</v>
      </c>
      <c r="I32" s="46" t="s">
        <v>2494</v>
      </c>
      <c r="J32" s="56" t="s">
        <v>291</v>
      </c>
      <c r="K32" s="44" t="s">
        <v>290</v>
      </c>
      <c r="L32" s="44" t="s">
        <v>292</v>
      </c>
      <c r="M32" s="44" t="s">
        <v>293</v>
      </c>
    </row>
    <row r="33" spans="1:13" ht="51.75" customHeight="1" x14ac:dyDescent="0.45">
      <c r="A33" s="435" t="s">
        <v>2541</v>
      </c>
      <c r="B33" s="427" t="s">
        <v>534</v>
      </c>
      <c r="C33" s="428" t="s">
        <v>535</v>
      </c>
      <c r="D33" s="436" t="s">
        <v>380</v>
      </c>
      <c r="E33" s="439" t="s">
        <v>154</v>
      </c>
      <c r="F33" s="438" t="s">
        <v>2524</v>
      </c>
      <c r="G33" s="437" t="s">
        <v>282</v>
      </c>
      <c r="H33" s="429" t="s">
        <v>286</v>
      </c>
      <c r="I33" s="430" t="s">
        <v>2494</v>
      </c>
      <c r="J33" s="56" t="s">
        <v>291</v>
      </c>
      <c r="K33" s="429" t="s">
        <v>290</v>
      </c>
      <c r="L33" s="429" t="s">
        <v>292</v>
      </c>
      <c r="M33" s="429" t="s">
        <v>293</v>
      </c>
    </row>
    <row r="34" spans="1:13" ht="51.75" customHeight="1" x14ac:dyDescent="0.45">
      <c r="A34" s="42" t="s">
        <v>2542</v>
      </c>
      <c r="B34" s="426" t="s">
        <v>679</v>
      </c>
      <c r="C34" s="45" t="s">
        <v>680</v>
      </c>
      <c r="D34" s="431" t="s">
        <v>569</v>
      </c>
      <c r="E34" s="439" t="s">
        <v>154</v>
      </c>
      <c r="F34" s="433" t="s">
        <v>2485</v>
      </c>
      <c r="G34" s="434" t="s">
        <v>282</v>
      </c>
      <c r="H34" s="44" t="s">
        <v>286</v>
      </c>
      <c r="I34" s="46" t="s">
        <v>2494</v>
      </c>
      <c r="J34" s="56" t="s">
        <v>291</v>
      </c>
      <c r="K34" s="44" t="s">
        <v>290</v>
      </c>
      <c r="L34" s="44" t="s">
        <v>292</v>
      </c>
      <c r="M34" s="44" t="s">
        <v>293</v>
      </c>
    </row>
    <row r="35" spans="1:13" ht="51.75" customHeight="1" x14ac:dyDescent="0.45">
      <c r="A35" s="435" t="s">
        <v>1330</v>
      </c>
      <c r="B35" s="427" t="s">
        <v>729</v>
      </c>
      <c r="C35" s="428" t="s">
        <v>730</v>
      </c>
      <c r="D35" s="436" t="s">
        <v>569</v>
      </c>
      <c r="E35" s="439" t="s">
        <v>154</v>
      </c>
      <c r="F35" s="433" t="s">
        <v>2485</v>
      </c>
      <c r="G35" s="437" t="s">
        <v>282</v>
      </c>
      <c r="H35" s="429" t="s">
        <v>286</v>
      </c>
      <c r="I35" s="430" t="s">
        <v>2494</v>
      </c>
      <c r="J35" s="56" t="s">
        <v>291</v>
      </c>
      <c r="K35" s="429" t="s">
        <v>290</v>
      </c>
      <c r="L35" s="429" t="s">
        <v>292</v>
      </c>
      <c r="M35" s="429" t="s">
        <v>293</v>
      </c>
    </row>
    <row r="36" spans="1:13" ht="51.75" customHeight="1" x14ac:dyDescent="0.45">
      <c r="A36" s="42" t="s">
        <v>226</v>
      </c>
      <c r="B36" s="426" t="s">
        <v>740</v>
      </c>
      <c r="C36" s="45" t="s">
        <v>741</v>
      </c>
      <c r="D36" s="431" t="s">
        <v>569</v>
      </c>
      <c r="E36" s="439" t="s">
        <v>154</v>
      </c>
      <c r="F36" s="433" t="s">
        <v>2485</v>
      </c>
      <c r="G36" s="434" t="s">
        <v>282</v>
      </c>
      <c r="H36" s="44" t="s">
        <v>286</v>
      </c>
      <c r="I36" s="46" t="s">
        <v>2494</v>
      </c>
      <c r="J36" s="56" t="s">
        <v>291</v>
      </c>
      <c r="K36" s="44" t="s">
        <v>290</v>
      </c>
      <c r="L36" s="44" t="s">
        <v>292</v>
      </c>
      <c r="M36" s="44" t="s">
        <v>293</v>
      </c>
    </row>
    <row r="37" spans="1:13" ht="51.75" customHeight="1" x14ac:dyDescent="0.45">
      <c r="A37" s="435" t="s">
        <v>2543</v>
      </c>
      <c r="B37" s="427" t="s">
        <v>751</v>
      </c>
      <c r="C37" s="428" t="s">
        <v>752</v>
      </c>
      <c r="D37" s="436" t="s">
        <v>569</v>
      </c>
      <c r="E37" s="439" t="s">
        <v>154</v>
      </c>
      <c r="F37" s="433" t="s">
        <v>2485</v>
      </c>
      <c r="G37" s="437" t="s">
        <v>282</v>
      </c>
      <c r="H37" s="429" t="s">
        <v>286</v>
      </c>
      <c r="I37" s="430" t="s">
        <v>2494</v>
      </c>
      <c r="J37" s="56" t="s">
        <v>291</v>
      </c>
      <c r="K37" s="429" t="s">
        <v>290</v>
      </c>
      <c r="L37" s="429" t="s">
        <v>292</v>
      </c>
      <c r="M37" s="429" t="s">
        <v>293</v>
      </c>
    </row>
    <row r="38" spans="1:13" ht="51.75" customHeight="1" x14ac:dyDescent="0.45">
      <c r="A38" s="42" t="s">
        <v>2544</v>
      </c>
      <c r="B38" s="426" t="s">
        <v>768</v>
      </c>
      <c r="C38" s="45" t="s">
        <v>192</v>
      </c>
      <c r="D38" s="431" t="s">
        <v>569</v>
      </c>
      <c r="E38" s="439" t="s">
        <v>154</v>
      </c>
      <c r="F38" s="433" t="s">
        <v>2485</v>
      </c>
      <c r="G38" s="434" t="s">
        <v>282</v>
      </c>
      <c r="H38" s="44" t="s">
        <v>286</v>
      </c>
      <c r="I38" s="46" t="s">
        <v>2494</v>
      </c>
      <c r="J38" s="56" t="s">
        <v>291</v>
      </c>
      <c r="K38" s="44" t="s">
        <v>290</v>
      </c>
      <c r="L38" s="44" t="s">
        <v>292</v>
      </c>
      <c r="M38" s="44" t="s">
        <v>293</v>
      </c>
    </row>
    <row r="39" spans="1:13" ht="51.75" customHeight="1" x14ac:dyDescent="0.45">
      <c r="A39" s="435" t="s">
        <v>692</v>
      </c>
      <c r="B39" s="427" t="s">
        <v>883</v>
      </c>
      <c r="C39" s="428" t="s">
        <v>884</v>
      </c>
      <c r="D39" s="436" t="s">
        <v>783</v>
      </c>
      <c r="E39" s="439" t="s">
        <v>154</v>
      </c>
      <c r="F39" s="433" t="s">
        <v>2485</v>
      </c>
      <c r="G39" s="437" t="s">
        <v>282</v>
      </c>
      <c r="H39" s="429" t="s">
        <v>286</v>
      </c>
      <c r="I39" s="430" t="s">
        <v>2494</v>
      </c>
      <c r="J39" s="56" t="s">
        <v>291</v>
      </c>
      <c r="K39" s="429" t="s">
        <v>290</v>
      </c>
      <c r="L39" s="429" t="s">
        <v>292</v>
      </c>
      <c r="M39" s="429" t="s">
        <v>293</v>
      </c>
    </row>
    <row r="40" spans="1:13" ht="51.75" customHeight="1" x14ac:dyDescent="0.45">
      <c r="A40" s="42" t="s">
        <v>2545</v>
      </c>
      <c r="B40" s="426" t="s">
        <v>916</v>
      </c>
      <c r="C40" s="45" t="s">
        <v>917</v>
      </c>
      <c r="D40" s="431" t="s">
        <v>783</v>
      </c>
      <c r="E40" s="439" t="s">
        <v>154</v>
      </c>
      <c r="F40" s="433" t="s">
        <v>2485</v>
      </c>
      <c r="G40" s="434" t="s">
        <v>282</v>
      </c>
      <c r="H40" s="44" t="s">
        <v>286</v>
      </c>
      <c r="I40" s="46" t="s">
        <v>2494</v>
      </c>
      <c r="J40" s="56" t="s">
        <v>291</v>
      </c>
      <c r="K40" s="44" t="s">
        <v>290</v>
      </c>
      <c r="L40" s="44" t="s">
        <v>292</v>
      </c>
      <c r="M40" s="44" t="s">
        <v>293</v>
      </c>
    </row>
    <row r="41" spans="1:13" ht="51.75" customHeight="1" x14ac:dyDescent="0.45">
      <c r="A41" s="435" t="s">
        <v>194</v>
      </c>
      <c r="B41" s="427" t="s">
        <v>973</v>
      </c>
      <c r="C41" s="428" t="s">
        <v>974</v>
      </c>
      <c r="D41" s="436" t="s">
        <v>928</v>
      </c>
      <c r="E41" s="439" t="s">
        <v>154</v>
      </c>
      <c r="F41" s="438" t="s">
        <v>2524</v>
      </c>
      <c r="G41" s="437" t="s">
        <v>282</v>
      </c>
      <c r="H41" s="429" t="s">
        <v>286</v>
      </c>
      <c r="I41" s="430" t="s">
        <v>2494</v>
      </c>
      <c r="J41" s="56" t="s">
        <v>291</v>
      </c>
      <c r="K41" s="429" t="s">
        <v>290</v>
      </c>
      <c r="L41" s="429" t="s">
        <v>292</v>
      </c>
      <c r="M41" s="429" t="s">
        <v>293</v>
      </c>
    </row>
    <row r="42" spans="1:13" ht="51.75" customHeight="1" x14ac:dyDescent="0.45">
      <c r="A42" s="42" t="s">
        <v>2546</v>
      </c>
      <c r="B42" s="426" t="s">
        <v>985</v>
      </c>
      <c r="C42" s="45" t="s">
        <v>986</v>
      </c>
      <c r="D42" s="431" t="s">
        <v>928</v>
      </c>
      <c r="E42" s="439" t="s">
        <v>154</v>
      </c>
      <c r="F42" s="438" t="s">
        <v>2524</v>
      </c>
      <c r="G42" s="434" t="s">
        <v>282</v>
      </c>
      <c r="H42" s="44" t="s">
        <v>286</v>
      </c>
      <c r="I42" s="46" t="s">
        <v>2494</v>
      </c>
      <c r="J42" s="56" t="s">
        <v>291</v>
      </c>
      <c r="K42" s="44" t="s">
        <v>290</v>
      </c>
      <c r="L42" s="44" t="s">
        <v>292</v>
      </c>
      <c r="M42" s="44" t="s">
        <v>293</v>
      </c>
    </row>
    <row r="43" spans="1:13" ht="51.75" customHeight="1" x14ac:dyDescent="0.45">
      <c r="A43" s="435" t="s">
        <v>1446</v>
      </c>
      <c r="B43" s="427" t="s">
        <v>996</v>
      </c>
      <c r="C43" s="428" t="s">
        <v>997</v>
      </c>
      <c r="D43" s="436" t="s">
        <v>928</v>
      </c>
      <c r="E43" s="439" t="s">
        <v>154</v>
      </c>
      <c r="F43" s="438" t="s">
        <v>2524</v>
      </c>
      <c r="G43" s="437" t="s">
        <v>282</v>
      </c>
      <c r="H43" s="429" t="s">
        <v>286</v>
      </c>
      <c r="I43" s="430" t="s">
        <v>2494</v>
      </c>
      <c r="J43" s="56" t="s">
        <v>291</v>
      </c>
      <c r="K43" s="429" t="s">
        <v>290</v>
      </c>
      <c r="L43" s="429" t="s">
        <v>292</v>
      </c>
      <c r="M43" s="429" t="s">
        <v>293</v>
      </c>
    </row>
    <row r="44" spans="1:13" ht="51.75" customHeight="1" x14ac:dyDescent="0.45">
      <c r="A44" s="42" t="s">
        <v>2547</v>
      </c>
      <c r="B44" s="426" t="s">
        <v>1007</v>
      </c>
      <c r="C44" s="45" t="s">
        <v>1008</v>
      </c>
      <c r="D44" s="431" t="s">
        <v>928</v>
      </c>
      <c r="E44" s="439" t="s">
        <v>154</v>
      </c>
      <c r="F44" s="438" t="s">
        <v>2524</v>
      </c>
      <c r="G44" s="434" t="s">
        <v>282</v>
      </c>
      <c r="H44" s="44" t="s">
        <v>286</v>
      </c>
      <c r="I44" s="46" t="s">
        <v>2494</v>
      </c>
      <c r="J44" s="56" t="s">
        <v>291</v>
      </c>
      <c r="K44" s="44" t="s">
        <v>290</v>
      </c>
      <c r="L44" s="44" t="s">
        <v>292</v>
      </c>
      <c r="M44" s="44" t="s">
        <v>293</v>
      </c>
    </row>
    <row r="45" spans="1:13" ht="51.75" customHeight="1" x14ac:dyDescent="0.45">
      <c r="A45" s="435" t="s">
        <v>2548</v>
      </c>
      <c r="B45" s="427" t="s">
        <v>1020</v>
      </c>
      <c r="C45" s="428" t="s">
        <v>1021</v>
      </c>
      <c r="D45" s="436" t="s">
        <v>1018</v>
      </c>
      <c r="E45" s="439" t="s">
        <v>154</v>
      </c>
      <c r="F45" s="433" t="s">
        <v>2485</v>
      </c>
      <c r="G45" s="437" t="s">
        <v>2549</v>
      </c>
      <c r="H45" s="429" t="s">
        <v>1037</v>
      </c>
      <c r="I45" s="430" t="s">
        <v>2550</v>
      </c>
      <c r="J45" s="60" t="s">
        <v>1043</v>
      </c>
      <c r="K45" s="429" t="s">
        <v>1042</v>
      </c>
      <c r="L45" s="429" t="s">
        <v>1044</v>
      </c>
      <c r="M45" s="429" t="s">
        <v>1045</v>
      </c>
    </row>
    <row r="46" spans="1:13" ht="51.75" customHeight="1" x14ac:dyDescent="0.45">
      <c r="A46" s="42" t="s">
        <v>386</v>
      </c>
      <c r="B46" s="426" t="s">
        <v>1056</v>
      </c>
      <c r="C46" s="45" t="s">
        <v>1057</v>
      </c>
      <c r="D46" s="431" t="s">
        <v>1018</v>
      </c>
      <c r="E46" s="439" t="s">
        <v>154</v>
      </c>
      <c r="F46" s="433" t="s">
        <v>2485</v>
      </c>
      <c r="G46" s="434" t="s">
        <v>282</v>
      </c>
      <c r="H46" s="44" t="s">
        <v>286</v>
      </c>
      <c r="I46" s="46" t="s">
        <v>2494</v>
      </c>
      <c r="J46" s="56" t="s">
        <v>291</v>
      </c>
      <c r="K46" s="44" t="s">
        <v>290</v>
      </c>
      <c r="L46" s="44" t="s">
        <v>292</v>
      </c>
      <c r="M46" s="44" t="s">
        <v>293</v>
      </c>
    </row>
    <row r="47" spans="1:13" ht="51.75" customHeight="1" x14ac:dyDescent="0.45">
      <c r="A47" s="435" t="s">
        <v>2551</v>
      </c>
      <c r="B47" s="427" t="s">
        <v>1085</v>
      </c>
      <c r="C47" s="428" t="s">
        <v>1086</v>
      </c>
      <c r="D47" s="436" t="s">
        <v>1083</v>
      </c>
      <c r="E47" s="439" t="s">
        <v>154</v>
      </c>
      <c r="F47" s="433" t="s">
        <v>2485</v>
      </c>
      <c r="G47" s="437" t="s">
        <v>2552</v>
      </c>
      <c r="H47" s="429" t="s">
        <v>1101</v>
      </c>
      <c r="I47" s="430" t="s">
        <v>2553</v>
      </c>
      <c r="J47" s="60" t="s">
        <v>1106</v>
      </c>
      <c r="K47" s="429" t="s">
        <v>675</v>
      </c>
      <c r="L47" s="429" t="s">
        <v>1107</v>
      </c>
      <c r="M47" s="429" t="s">
        <v>1108</v>
      </c>
    </row>
    <row r="48" spans="1:13" ht="51.75" customHeight="1" x14ac:dyDescent="0.45">
      <c r="A48" s="42" t="s">
        <v>2554</v>
      </c>
      <c r="B48" s="426" t="s">
        <v>1120</v>
      </c>
      <c r="C48" s="45" t="s">
        <v>1121</v>
      </c>
      <c r="D48" s="431" t="s">
        <v>1083</v>
      </c>
      <c r="E48" s="439" t="s">
        <v>154</v>
      </c>
      <c r="F48" s="433" t="s">
        <v>2485</v>
      </c>
      <c r="G48" s="434" t="s">
        <v>282</v>
      </c>
      <c r="H48" s="44" t="s">
        <v>286</v>
      </c>
      <c r="I48" s="46" t="s">
        <v>2494</v>
      </c>
      <c r="J48" s="56" t="s">
        <v>291</v>
      </c>
      <c r="K48" s="44" t="s">
        <v>290</v>
      </c>
      <c r="L48" s="44" t="s">
        <v>292</v>
      </c>
      <c r="M48" s="44" t="s">
        <v>293</v>
      </c>
    </row>
    <row r="49" spans="1:13" ht="51.75" customHeight="1" x14ac:dyDescent="0.45">
      <c r="A49" s="435" t="s">
        <v>2555</v>
      </c>
      <c r="B49" s="427" t="s">
        <v>1152</v>
      </c>
      <c r="C49" s="428" t="s">
        <v>1153</v>
      </c>
      <c r="D49" s="436" t="s">
        <v>1083</v>
      </c>
      <c r="E49" s="439" t="s">
        <v>154</v>
      </c>
      <c r="F49" s="433" t="s">
        <v>2485</v>
      </c>
      <c r="G49" s="437" t="s">
        <v>2556</v>
      </c>
      <c r="H49" s="429" t="s">
        <v>1169</v>
      </c>
      <c r="I49" s="430" t="s">
        <v>2557</v>
      </c>
      <c r="J49" s="27" t="s">
        <v>2558</v>
      </c>
      <c r="K49" s="429" t="s">
        <v>1174</v>
      </c>
      <c r="L49" s="429" t="s">
        <v>1176</v>
      </c>
      <c r="M49" s="429" t="s">
        <v>1177</v>
      </c>
    </row>
    <row r="50" spans="1:13" ht="51.75" customHeight="1" x14ac:dyDescent="0.45">
      <c r="A50" s="42" t="s">
        <v>2559</v>
      </c>
      <c r="B50" s="426" t="s">
        <v>1234</v>
      </c>
      <c r="C50" s="45" t="s">
        <v>1235</v>
      </c>
      <c r="D50" s="431" t="s">
        <v>1196</v>
      </c>
      <c r="E50" s="439" t="s">
        <v>154</v>
      </c>
      <c r="F50" s="438" t="s">
        <v>2524</v>
      </c>
      <c r="G50" s="434" t="s">
        <v>282</v>
      </c>
      <c r="H50" s="44" t="s">
        <v>286</v>
      </c>
      <c r="I50" s="46" t="s">
        <v>2494</v>
      </c>
      <c r="J50" s="56" t="s">
        <v>291</v>
      </c>
      <c r="K50" s="44" t="s">
        <v>290</v>
      </c>
      <c r="L50" s="44" t="s">
        <v>292</v>
      </c>
      <c r="M50" s="44" t="s">
        <v>293</v>
      </c>
    </row>
    <row r="51" spans="1:13" ht="51.75" customHeight="1" x14ac:dyDescent="0.45">
      <c r="A51" s="435" t="s">
        <v>1089</v>
      </c>
      <c r="B51" s="427" t="s">
        <v>1238</v>
      </c>
      <c r="C51" s="428" t="s">
        <v>1239</v>
      </c>
      <c r="D51" s="436" t="s">
        <v>1196</v>
      </c>
      <c r="E51" s="439" t="s">
        <v>154</v>
      </c>
      <c r="F51" s="438" t="s">
        <v>2524</v>
      </c>
      <c r="G51" s="437" t="s">
        <v>282</v>
      </c>
      <c r="H51" s="429" t="s">
        <v>286</v>
      </c>
      <c r="I51" s="430" t="s">
        <v>2494</v>
      </c>
      <c r="J51" s="56" t="s">
        <v>291</v>
      </c>
      <c r="K51" s="429" t="s">
        <v>290</v>
      </c>
      <c r="L51" s="429" t="s">
        <v>292</v>
      </c>
      <c r="M51" s="429" t="s">
        <v>293</v>
      </c>
    </row>
    <row r="52" spans="1:13" ht="51.75" customHeight="1" x14ac:dyDescent="0.45">
      <c r="A52" s="42" t="s">
        <v>2560</v>
      </c>
      <c r="B52" s="426" t="s">
        <v>1268</v>
      </c>
      <c r="C52" s="45" t="s">
        <v>1269</v>
      </c>
      <c r="D52" s="431" t="s">
        <v>1244</v>
      </c>
      <c r="E52" s="439" t="s">
        <v>154</v>
      </c>
      <c r="F52" s="433" t="s">
        <v>2485</v>
      </c>
      <c r="G52" s="434" t="s">
        <v>282</v>
      </c>
      <c r="H52" s="44" t="s">
        <v>286</v>
      </c>
      <c r="I52" s="46" t="s">
        <v>2494</v>
      </c>
      <c r="J52" s="56" t="s">
        <v>291</v>
      </c>
      <c r="K52" s="44" t="s">
        <v>290</v>
      </c>
      <c r="L52" s="44" t="s">
        <v>292</v>
      </c>
      <c r="M52" s="44" t="s">
        <v>293</v>
      </c>
    </row>
    <row r="53" spans="1:13" ht="51.75" customHeight="1" x14ac:dyDescent="0.45">
      <c r="A53" s="435" t="s">
        <v>634</v>
      </c>
      <c r="B53" s="427" t="s">
        <v>1279</v>
      </c>
      <c r="C53" s="428" t="s">
        <v>1280</v>
      </c>
      <c r="D53" s="436" t="s">
        <v>1244</v>
      </c>
      <c r="E53" s="439" t="s">
        <v>154</v>
      </c>
      <c r="F53" s="433" t="s">
        <v>2485</v>
      </c>
      <c r="G53" s="437" t="s">
        <v>282</v>
      </c>
      <c r="H53" s="429" t="s">
        <v>286</v>
      </c>
      <c r="I53" s="430" t="s">
        <v>2494</v>
      </c>
      <c r="J53" s="56" t="s">
        <v>291</v>
      </c>
      <c r="K53" s="429" t="s">
        <v>290</v>
      </c>
      <c r="L53" s="429" t="s">
        <v>292</v>
      </c>
      <c r="M53" s="429" t="s">
        <v>293</v>
      </c>
    </row>
    <row r="54" spans="1:13" ht="51.75" customHeight="1" x14ac:dyDescent="0.45">
      <c r="A54" s="42" t="s">
        <v>110</v>
      </c>
      <c r="B54" s="426" t="s">
        <v>1343</v>
      </c>
      <c r="C54" s="45" t="s">
        <v>1344</v>
      </c>
      <c r="D54" s="431" t="s">
        <v>1340</v>
      </c>
      <c r="E54" s="439" t="s">
        <v>154</v>
      </c>
      <c r="F54" s="433" t="s">
        <v>2485</v>
      </c>
      <c r="G54" s="434" t="s">
        <v>282</v>
      </c>
      <c r="H54" s="44" t="s">
        <v>286</v>
      </c>
      <c r="I54" s="46" t="s">
        <v>2494</v>
      </c>
      <c r="J54" s="56" t="s">
        <v>291</v>
      </c>
      <c r="K54" s="44" t="s">
        <v>290</v>
      </c>
      <c r="L54" s="44" t="s">
        <v>292</v>
      </c>
      <c r="M54" s="44" t="s">
        <v>293</v>
      </c>
    </row>
    <row r="55" spans="1:13" ht="51.75" customHeight="1" x14ac:dyDescent="0.45">
      <c r="A55" s="435" t="s">
        <v>2561</v>
      </c>
      <c r="B55" s="427" t="s">
        <v>1356</v>
      </c>
      <c r="C55" s="428" t="s">
        <v>1357</v>
      </c>
      <c r="D55" s="436" t="s">
        <v>1340</v>
      </c>
      <c r="E55" s="439" t="s">
        <v>154</v>
      </c>
      <c r="F55" s="433" t="s">
        <v>2485</v>
      </c>
      <c r="G55" s="437" t="s">
        <v>282</v>
      </c>
      <c r="H55" s="429" t="s">
        <v>286</v>
      </c>
      <c r="I55" s="430" t="s">
        <v>2494</v>
      </c>
      <c r="J55" s="56" t="s">
        <v>291</v>
      </c>
      <c r="K55" s="429" t="s">
        <v>290</v>
      </c>
      <c r="L55" s="429" t="s">
        <v>292</v>
      </c>
      <c r="M55" s="429" t="s">
        <v>293</v>
      </c>
    </row>
    <row r="56" spans="1:13" ht="51.75" customHeight="1" x14ac:dyDescent="0.45">
      <c r="A56" s="42" t="s">
        <v>1316</v>
      </c>
      <c r="B56" s="426" t="s">
        <v>1362</v>
      </c>
      <c r="C56" s="45" t="s">
        <v>1363</v>
      </c>
      <c r="D56" s="431" t="s">
        <v>1340</v>
      </c>
      <c r="E56" s="439" t="s">
        <v>154</v>
      </c>
      <c r="F56" s="433" t="s">
        <v>2485</v>
      </c>
      <c r="G56" s="434" t="s">
        <v>282</v>
      </c>
      <c r="H56" s="44" t="s">
        <v>286</v>
      </c>
      <c r="I56" s="46" t="s">
        <v>2494</v>
      </c>
      <c r="J56" s="56" t="s">
        <v>291</v>
      </c>
      <c r="K56" s="44" t="s">
        <v>290</v>
      </c>
      <c r="L56" s="44" t="s">
        <v>292</v>
      </c>
      <c r="M56" s="44" t="s">
        <v>293</v>
      </c>
    </row>
    <row r="57" spans="1:13" ht="51.75" customHeight="1" x14ac:dyDescent="0.45">
      <c r="A57" s="435" t="s">
        <v>2562</v>
      </c>
      <c r="B57" s="427" t="s">
        <v>1367</v>
      </c>
      <c r="C57" s="428" t="s">
        <v>1368</v>
      </c>
      <c r="D57" s="436" t="s">
        <v>1340</v>
      </c>
      <c r="E57" s="439" t="s">
        <v>154</v>
      </c>
      <c r="F57" s="433" t="s">
        <v>2485</v>
      </c>
      <c r="G57" s="437" t="s">
        <v>282</v>
      </c>
      <c r="H57" s="429" t="s">
        <v>286</v>
      </c>
      <c r="I57" s="430" t="s">
        <v>2494</v>
      </c>
      <c r="J57" s="56" t="s">
        <v>291</v>
      </c>
      <c r="K57" s="429" t="s">
        <v>290</v>
      </c>
      <c r="L57" s="429" t="s">
        <v>292</v>
      </c>
      <c r="M57" s="429" t="s">
        <v>293</v>
      </c>
    </row>
    <row r="58" spans="1:13" ht="51.75" customHeight="1" x14ac:dyDescent="0.45">
      <c r="A58" s="42" t="s">
        <v>2563</v>
      </c>
      <c r="B58" s="426" t="s">
        <v>1379</v>
      </c>
      <c r="C58" s="45" t="s">
        <v>1380</v>
      </c>
      <c r="D58" s="431" t="s">
        <v>1340</v>
      </c>
      <c r="E58" s="439" t="s">
        <v>154</v>
      </c>
      <c r="F58" s="433" t="s">
        <v>2485</v>
      </c>
      <c r="G58" s="434" t="s">
        <v>282</v>
      </c>
      <c r="H58" s="44" t="s">
        <v>286</v>
      </c>
      <c r="I58" s="46" t="s">
        <v>2494</v>
      </c>
      <c r="J58" s="56" t="s">
        <v>291</v>
      </c>
      <c r="K58" s="44" t="s">
        <v>290</v>
      </c>
      <c r="L58" s="44" t="s">
        <v>292</v>
      </c>
      <c r="M58" s="44" t="s">
        <v>293</v>
      </c>
    </row>
    <row r="59" spans="1:13" ht="51.75" customHeight="1" x14ac:dyDescent="0.45">
      <c r="A59" s="435" t="s">
        <v>1370</v>
      </c>
      <c r="B59" s="427" t="s">
        <v>1389</v>
      </c>
      <c r="C59" s="428" t="s">
        <v>1390</v>
      </c>
      <c r="D59" s="436" t="s">
        <v>1340</v>
      </c>
      <c r="E59" s="439" t="s">
        <v>154</v>
      </c>
      <c r="F59" s="433" t="s">
        <v>2485</v>
      </c>
      <c r="G59" s="437" t="s">
        <v>282</v>
      </c>
      <c r="H59" s="429" t="s">
        <v>286</v>
      </c>
      <c r="I59" s="430" t="s">
        <v>2494</v>
      </c>
      <c r="J59" s="56" t="s">
        <v>291</v>
      </c>
      <c r="K59" s="429" t="s">
        <v>290</v>
      </c>
      <c r="L59" s="429" t="s">
        <v>292</v>
      </c>
      <c r="M59" s="429" t="s">
        <v>293</v>
      </c>
    </row>
    <row r="60" spans="1:13" ht="51.75" customHeight="1" x14ac:dyDescent="0.45">
      <c r="A60" s="42" t="s">
        <v>2564</v>
      </c>
      <c r="B60" s="426" t="s">
        <v>1431</v>
      </c>
      <c r="C60" s="45" t="s">
        <v>1432</v>
      </c>
      <c r="D60" s="431" t="s">
        <v>1429</v>
      </c>
      <c r="E60" s="439" t="s">
        <v>154</v>
      </c>
      <c r="F60" s="433" t="s">
        <v>2485</v>
      </c>
      <c r="G60" s="434" t="s">
        <v>282</v>
      </c>
      <c r="H60" s="44" t="s">
        <v>286</v>
      </c>
      <c r="I60" s="46" t="s">
        <v>2494</v>
      </c>
      <c r="J60" s="56" t="s">
        <v>291</v>
      </c>
      <c r="K60" s="44" t="s">
        <v>290</v>
      </c>
      <c r="L60" s="44" t="s">
        <v>292</v>
      </c>
      <c r="M60" s="44" t="s">
        <v>293</v>
      </c>
    </row>
    <row r="61" spans="1:13" ht="51.75" customHeight="1" x14ac:dyDescent="0.45">
      <c r="A61" s="435" t="s">
        <v>2565</v>
      </c>
      <c r="B61" s="427" t="s">
        <v>1513</v>
      </c>
      <c r="C61" s="428" t="s">
        <v>1514</v>
      </c>
      <c r="D61" s="436" t="s">
        <v>1510</v>
      </c>
      <c r="E61" s="439" t="s">
        <v>154</v>
      </c>
      <c r="F61" s="433" t="s">
        <v>2485</v>
      </c>
      <c r="G61" s="437" t="s">
        <v>1527</v>
      </c>
      <c r="H61" s="429" t="s">
        <v>1530</v>
      </c>
      <c r="I61" s="430" t="s">
        <v>2497</v>
      </c>
      <c r="J61" s="60" t="s">
        <v>1535</v>
      </c>
      <c r="K61" s="429" t="s">
        <v>211</v>
      </c>
      <c r="L61" s="429" t="s">
        <v>1536</v>
      </c>
      <c r="M61" s="429" t="s">
        <v>1537</v>
      </c>
    </row>
    <row r="62" spans="1:13" ht="51.75" customHeight="1" x14ac:dyDescent="0.45">
      <c r="A62" s="42" t="s">
        <v>2566</v>
      </c>
      <c r="B62" s="426" t="s">
        <v>1539</v>
      </c>
      <c r="C62" s="45" t="s">
        <v>1540</v>
      </c>
      <c r="D62" s="431" t="s">
        <v>1510</v>
      </c>
      <c r="E62" s="439" t="s">
        <v>154</v>
      </c>
      <c r="F62" s="433" t="s">
        <v>2485</v>
      </c>
      <c r="G62" s="434" t="s">
        <v>282</v>
      </c>
      <c r="H62" s="44" t="s">
        <v>286</v>
      </c>
      <c r="I62" s="46" t="s">
        <v>2494</v>
      </c>
      <c r="J62" s="56" t="s">
        <v>291</v>
      </c>
      <c r="K62" s="44" t="s">
        <v>290</v>
      </c>
      <c r="L62" s="44" t="s">
        <v>292</v>
      </c>
      <c r="M62" s="44" t="s">
        <v>293</v>
      </c>
    </row>
    <row r="63" spans="1:13" ht="51.75" customHeight="1" x14ac:dyDescent="0.45">
      <c r="A63" s="435" t="s">
        <v>2567</v>
      </c>
      <c r="B63" s="427" t="s">
        <v>1575</v>
      </c>
      <c r="C63" s="428" t="s">
        <v>1576</v>
      </c>
      <c r="D63" s="436" t="s">
        <v>1560</v>
      </c>
      <c r="E63" s="439" t="s">
        <v>154</v>
      </c>
      <c r="F63" s="433" t="s">
        <v>2485</v>
      </c>
      <c r="G63" s="437" t="s">
        <v>2568</v>
      </c>
      <c r="H63" s="429" t="s">
        <v>1590</v>
      </c>
      <c r="I63" s="430" t="s">
        <v>2569</v>
      </c>
      <c r="J63" s="56" t="s">
        <v>1595</v>
      </c>
      <c r="K63" s="429" t="s">
        <v>1042</v>
      </c>
      <c r="L63" s="429" t="s">
        <v>1596</v>
      </c>
      <c r="M63" s="429" t="s">
        <v>1597</v>
      </c>
    </row>
    <row r="64" spans="1:13" ht="51.75" customHeight="1" x14ac:dyDescent="0.45">
      <c r="A64" s="42" t="s">
        <v>2570</v>
      </c>
      <c r="B64" s="426" t="s">
        <v>1609</v>
      </c>
      <c r="C64" s="45" t="s">
        <v>1610</v>
      </c>
      <c r="D64" s="431" t="s">
        <v>1560</v>
      </c>
      <c r="E64" s="439" t="s">
        <v>154</v>
      </c>
      <c r="F64" s="433" t="s">
        <v>2485</v>
      </c>
      <c r="G64" s="434" t="s">
        <v>282</v>
      </c>
      <c r="H64" s="44" t="s">
        <v>286</v>
      </c>
      <c r="I64" s="46" t="s">
        <v>2494</v>
      </c>
      <c r="J64" s="56" t="s">
        <v>291</v>
      </c>
      <c r="K64" s="44" t="s">
        <v>290</v>
      </c>
      <c r="L64" s="44" t="s">
        <v>292</v>
      </c>
      <c r="M64" s="44" t="s">
        <v>293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1"/>
  <sheetViews>
    <sheetView zoomScaleNormal="100" workbookViewId="0">
      <pane ySplit="1" topLeftCell="A2" activePane="bottomLeft" state="frozen"/>
      <selection pane="bottomLeft"/>
    </sheetView>
  </sheetViews>
  <sheetFormatPr defaultColWidth="8.6640625" defaultRowHeight="14.25" x14ac:dyDescent="0.45"/>
  <cols>
    <col min="1" max="1" width="18" customWidth="1"/>
    <col min="2" max="2" width="38" customWidth="1"/>
    <col min="3" max="3" width="12" customWidth="1"/>
    <col min="4" max="4" width="10" customWidth="1"/>
    <col min="5" max="6" width="46" customWidth="1"/>
    <col min="7" max="7" width="38" customWidth="1"/>
    <col min="8" max="8" width="28" customWidth="1"/>
    <col min="9" max="9" width="42" customWidth="1"/>
  </cols>
  <sheetData>
    <row r="1" spans="1:9" ht="21.75" customHeight="1" x14ac:dyDescent="0.45">
      <c r="A1" s="5" t="s">
        <v>4</v>
      </c>
      <c r="B1" s="5" t="s">
        <v>2472</v>
      </c>
      <c r="C1" s="5" t="s">
        <v>2468</v>
      </c>
      <c r="D1" s="5" t="s">
        <v>13</v>
      </c>
      <c r="E1" s="5" t="s">
        <v>2571</v>
      </c>
      <c r="F1" s="5" t="s">
        <v>2572</v>
      </c>
      <c r="G1" s="5" t="s">
        <v>2573</v>
      </c>
      <c r="H1" s="5" t="s">
        <v>2574</v>
      </c>
      <c r="I1" s="5" t="s">
        <v>2575</v>
      </c>
    </row>
    <row r="2" spans="1:9" ht="72" customHeight="1" x14ac:dyDescent="0.45">
      <c r="A2" s="426" t="s">
        <v>930</v>
      </c>
      <c r="B2" s="45" t="s">
        <v>931</v>
      </c>
      <c r="C2" s="44" t="s">
        <v>928</v>
      </c>
      <c r="D2" s="432" t="s">
        <v>66</v>
      </c>
      <c r="E2" s="440" t="s">
        <v>2576</v>
      </c>
      <c r="F2" s="434" t="s">
        <v>2577</v>
      </c>
      <c r="G2" s="44" t="s">
        <v>2578</v>
      </c>
      <c r="H2" s="441" t="s">
        <v>2579</v>
      </c>
      <c r="I2" s="426" t="s">
        <v>2580</v>
      </c>
    </row>
    <row r="3" spans="1:9" ht="72" customHeight="1" x14ac:dyDescent="0.45">
      <c r="A3" s="131" t="s">
        <v>1397</v>
      </c>
      <c r="B3" s="122" t="s">
        <v>1398</v>
      </c>
      <c r="C3" s="121" t="s">
        <v>1340</v>
      </c>
      <c r="D3" s="432" t="s">
        <v>66</v>
      </c>
      <c r="E3" s="442" t="s">
        <v>2581</v>
      </c>
      <c r="F3" s="127" t="s">
        <v>2582</v>
      </c>
      <c r="G3" s="121" t="s">
        <v>217</v>
      </c>
      <c r="H3" s="128" t="s">
        <v>2583</v>
      </c>
      <c r="I3" s="131" t="s">
        <v>2584</v>
      </c>
    </row>
    <row r="4" spans="1:9" ht="72" customHeight="1" x14ac:dyDescent="0.45">
      <c r="A4" s="426" t="s">
        <v>57</v>
      </c>
      <c r="B4" s="45" t="s">
        <v>58</v>
      </c>
      <c r="C4" s="44" t="s">
        <v>54</v>
      </c>
      <c r="D4" s="432" t="s">
        <v>66</v>
      </c>
      <c r="E4" s="440" t="s">
        <v>2585</v>
      </c>
      <c r="F4" s="434" t="s">
        <v>2586</v>
      </c>
      <c r="G4" s="44" t="s">
        <v>2587</v>
      </c>
      <c r="H4" s="441" t="s">
        <v>2588</v>
      </c>
      <c r="I4" s="426" t="s">
        <v>2589</v>
      </c>
    </row>
    <row r="5" spans="1:9" ht="72" customHeight="1" x14ac:dyDescent="0.45">
      <c r="A5" s="77" t="s">
        <v>630</v>
      </c>
      <c r="B5" s="72" t="s">
        <v>631</v>
      </c>
      <c r="C5" s="70" t="s">
        <v>569</v>
      </c>
      <c r="D5" s="432" t="s">
        <v>66</v>
      </c>
      <c r="E5" s="443" t="s">
        <v>2581</v>
      </c>
      <c r="F5" s="74" t="s">
        <v>2582</v>
      </c>
      <c r="G5" s="70" t="s">
        <v>217</v>
      </c>
      <c r="H5" s="75" t="s">
        <v>2583</v>
      </c>
      <c r="I5" s="77" t="s">
        <v>2584</v>
      </c>
    </row>
    <row r="6" spans="1:9" ht="72" customHeight="1" x14ac:dyDescent="0.45">
      <c r="A6" s="426" t="s">
        <v>586</v>
      </c>
      <c r="B6" s="45" t="s">
        <v>587</v>
      </c>
      <c r="C6" s="44" t="s">
        <v>569</v>
      </c>
      <c r="D6" s="432" t="s">
        <v>66</v>
      </c>
      <c r="E6" s="440" t="s">
        <v>2590</v>
      </c>
      <c r="F6" s="434" t="s">
        <v>2591</v>
      </c>
      <c r="G6" s="44" t="s">
        <v>2592</v>
      </c>
      <c r="H6" s="441" t="s">
        <v>2593</v>
      </c>
      <c r="I6" s="426" t="s">
        <v>2594</v>
      </c>
    </row>
    <row r="7" spans="1:9" ht="72" customHeight="1" x14ac:dyDescent="0.45">
      <c r="A7" s="77" t="s">
        <v>572</v>
      </c>
      <c r="B7" s="72" t="s">
        <v>573</v>
      </c>
      <c r="C7" s="70" t="s">
        <v>569</v>
      </c>
      <c r="D7" s="432" t="s">
        <v>66</v>
      </c>
      <c r="E7" s="443" t="s">
        <v>2581</v>
      </c>
      <c r="F7" s="74" t="s">
        <v>2582</v>
      </c>
      <c r="G7" s="70" t="s">
        <v>217</v>
      </c>
      <c r="H7" s="75" t="s">
        <v>2583</v>
      </c>
      <c r="I7" s="77" t="s">
        <v>2584</v>
      </c>
    </row>
    <row r="8" spans="1:9" ht="72" customHeight="1" x14ac:dyDescent="0.45">
      <c r="A8" s="426" t="s">
        <v>655</v>
      </c>
      <c r="B8" s="45" t="s">
        <v>656</v>
      </c>
      <c r="C8" s="44" t="s">
        <v>569</v>
      </c>
      <c r="D8" s="432" t="s">
        <v>66</v>
      </c>
      <c r="E8" s="440" t="s">
        <v>2581</v>
      </c>
      <c r="F8" s="434" t="s">
        <v>2582</v>
      </c>
      <c r="G8" s="44" t="s">
        <v>217</v>
      </c>
      <c r="H8" s="441" t="s">
        <v>2583</v>
      </c>
      <c r="I8" s="426" t="s">
        <v>2584</v>
      </c>
    </row>
    <row r="9" spans="1:9" ht="72" customHeight="1" x14ac:dyDescent="0.45">
      <c r="A9" s="77" t="s">
        <v>688</v>
      </c>
      <c r="B9" s="72" t="s">
        <v>689</v>
      </c>
      <c r="C9" s="70" t="s">
        <v>569</v>
      </c>
      <c r="D9" s="432" t="s">
        <v>66</v>
      </c>
      <c r="E9" s="443" t="s">
        <v>2595</v>
      </c>
      <c r="F9" s="74" t="s">
        <v>2596</v>
      </c>
      <c r="G9" s="70" t="s">
        <v>2597</v>
      </c>
      <c r="H9" s="75" t="s">
        <v>2598</v>
      </c>
      <c r="I9" s="77" t="s">
        <v>2599</v>
      </c>
    </row>
    <row r="10" spans="1:9" ht="72" customHeight="1" x14ac:dyDescent="0.45">
      <c r="A10" s="426" t="s">
        <v>557</v>
      </c>
      <c r="B10" s="45" t="s">
        <v>58</v>
      </c>
      <c r="C10" s="44" t="s">
        <v>380</v>
      </c>
      <c r="D10" s="432" t="s">
        <v>66</v>
      </c>
      <c r="E10" s="440" t="s">
        <v>2581</v>
      </c>
      <c r="F10" s="434" t="s">
        <v>2582</v>
      </c>
      <c r="G10" s="44" t="s">
        <v>217</v>
      </c>
      <c r="H10" s="441" t="s">
        <v>2583</v>
      </c>
      <c r="I10" s="426" t="s">
        <v>2584</v>
      </c>
    </row>
    <row r="11" spans="1:9" ht="72" customHeight="1" x14ac:dyDescent="0.45">
      <c r="A11" s="77" t="s">
        <v>770</v>
      </c>
      <c r="B11" s="72" t="s">
        <v>107</v>
      </c>
      <c r="C11" s="70" t="s">
        <v>569</v>
      </c>
      <c r="D11" s="432" t="s">
        <v>66</v>
      </c>
      <c r="E11" s="443" t="s">
        <v>2581</v>
      </c>
      <c r="F11" s="74" t="s">
        <v>2582</v>
      </c>
      <c r="G11" s="70" t="s">
        <v>217</v>
      </c>
      <c r="H11" s="75" t="s">
        <v>2583</v>
      </c>
      <c r="I11" s="77" t="s">
        <v>2584</v>
      </c>
    </row>
    <row r="12" spans="1:9" ht="72" customHeight="1" x14ac:dyDescent="0.45">
      <c r="A12" s="426" t="s">
        <v>333</v>
      </c>
      <c r="B12" s="45" t="s">
        <v>334</v>
      </c>
      <c r="C12" s="44" t="s">
        <v>54</v>
      </c>
      <c r="D12" s="432" t="s">
        <v>66</v>
      </c>
      <c r="E12" s="440" t="s">
        <v>2581</v>
      </c>
      <c r="F12" s="434" t="s">
        <v>2582</v>
      </c>
      <c r="G12" s="44" t="s">
        <v>217</v>
      </c>
      <c r="H12" s="441" t="s">
        <v>2583</v>
      </c>
      <c r="I12" s="426" t="s">
        <v>2584</v>
      </c>
    </row>
    <row r="13" spans="1:9" ht="72" customHeight="1" x14ac:dyDescent="0.45">
      <c r="A13" s="33" t="s">
        <v>548</v>
      </c>
      <c r="B13" s="20" t="s">
        <v>549</v>
      </c>
      <c r="C13" s="19" t="s">
        <v>380</v>
      </c>
      <c r="D13" s="432" t="s">
        <v>66</v>
      </c>
      <c r="E13" s="444" t="s">
        <v>2581</v>
      </c>
      <c r="F13" s="29" t="s">
        <v>2582</v>
      </c>
      <c r="G13" s="19" t="s">
        <v>217</v>
      </c>
      <c r="H13" s="30" t="s">
        <v>2583</v>
      </c>
      <c r="I13" s="33" t="s">
        <v>2584</v>
      </c>
    </row>
    <row r="14" spans="1:9" ht="72" customHeight="1" x14ac:dyDescent="0.45">
      <c r="A14" s="426" t="s">
        <v>1274</v>
      </c>
      <c r="B14" s="45" t="s">
        <v>1275</v>
      </c>
      <c r="C14" s="44" t="s">
        <v>1244</v>
      </c>
      <c r="D14" s="432" t="s">
        <v>66</v>
      </c>
      <c r="E14" s="440" t="s">
        <v>2581</v>
      </c>
      <c r="F14" s="434" t="s">
        <v>2582</v>
      </c>
      <c r="G14" s="44" t="s">
        <v>217</v>
      </c>
      <c r="H14" s="441" t="s">
        <v>2583</v>
      </c>
      <c r="I14" s="426" t="s">
        <v>2584</v>
      </c>
    </row>
    <row r="15" spans="1:9" ht="72" customHeight="1" x14ac:dyDescent="0.45">
      <c r="A15" s="77" t="s">
        <v>1246</v>
      </c>
      <c r="B15" s="72" t="s">
        <v>1247</v>
      </c>
      <c r="C15" s="70" t="s">
        <v>1244</v>
      </c>
      <c r="D15" s="432" t="s">
        <v>66</v>
      </c>
      <c r="E15" s="443" t="s">
        <v>2581</v>
      </c>
      <c r="F15" s="74" t="s">
        <v>2582</v>
      </c>
      <c r="G15" s="70" t="s">
        <v>217</v>
      </c>
      <c r="H15" s="75" t="s">
        <v>2583</v>
      </c>
      <c r="I15" s="77" t="s">
        <v>2584</v>
      </c>
    </row>
    <row r="16" spans="1:9" ht="72" customHeight="1" x14ac:dyDescent="0.45">
      <c r="A16" s="426" t="s">
        <v>106</v>
      </c>
      <c r="B16" s="45" t="s">
        <v>107</v>
      </c>
      <c r="C16" s="44" t="s">
        <v>54</v>
      </c>
      <c r="D16" s="432" t="s">
        <v>66</v>
      </c>
      <c r="E16" s="440" t="s">
        <v>2600</v>
      </c>
      <c r="F16" s="434" t="s">
        <v>2601</v>
      </c>
      <c r="G16" s="44" t="s">
        <v>2602</v>
      </c>
      <c r="H16" s="441" t="s">
        <v>2603</v>
      </c>
      <c r="I16" s="426" t="s">
        <v>2604</v>
      </c>
    </row>
    <row r="17" spans="1:9" ht="72" customHeight="1" x14ac:dyDescent="0.45">
      <c r="A17" s="33" t="s">
        <v>382</v>
      </c>
      <c r="B17" s="20" t="s">
        <v>383</v>
      </c>
      <c r="C17" s="19" t="s">
        <v>380</v>
      </c>
      <c r="D17" s="432" t="s">
        <v>66</v>
      </c>
      <c r="E17" s="444" t="s">
        <v>2605</v>
      </c>
      <c r="F17" s="29" t="s">
        <v>2606</v>
      </c>
      <c r="G17" s="19" t="s">
        <v>2607</v>
      </c>
      <c r="H17" s="30" t="s">
        <v>2608</v>
      </c>
      <c r="I17" s="33" t="s">
        <v>2609</v>
      </c>
    </row>
    <row r="18" spans="1:9" ht="72" customHeight="1" x14ac:dyDescent="0.45">
      <c r="A18" s="426" t="s">
        <v>461</v>
      </c>
      <c r="B18" s="45" t="s">
        <v>462</v>
      </c>
      <c r="C18" s="44" t="s">
        <v>380</v>
      </c>
      <c r="D18" s="432" t="s">
        <v>66</v>
      </c>
      <c r="E18" s="440" t="s">
        <v>2581</v>
      </c>
      <c r="F18" s="434" t="s">
        <v>2582</v>
      </c>
      <c r="G18" s="44" t="s">
        <v>217</v>
      </c>
      <c r="H18" s="441" t="s">
        <v>2583</v>
      </c>
      <c r="I18" s="426" t="s">
        <v>2584</v>
      </c>
    </row>
    <row r="19" spans="1:9" ht="72" customHeight="1" x14ac:dyDescent="0.45">
      <c r="A19" s="33" t="s">
        <v>426</v>
      </c>
      <c r="B19" s="20" t="s">
        <v>427</v>
      </c>
      <c r="C19" s="19" t="s">
        <v>380</v>
      </c>
      <c r="D19" s="432" t="s">
        <v>66</v>
      </c>
      <c r="E19" s="444" t="s">
        <v>2581</v>
      </c>
      <c r="F19" s="29" t="s">
        <v>2582</v>
      </c>
      <c r="G19" s="19" t="s">
        <v>217</v>
      </c>
      <c r="H19" s="30" t="s">
        <v>2583</v>
      </c>
      <c r="I19" s="33" t="s">
        <v>2584</v>
      </c>
    </row>
    <row r="20" spans="1:9" ht="72" customHeight="1" x14ac:dyDescent="0.45">
      <c r="A20" s="426" t="s">
        <v>843</v>
      </c>
      <c r="B20" s="45" t="s">
        <v>844</v>
      </c>
      <c r="C20" s="44" t="s">
        <v>783</v>
      </c>
      <c r="D20" s="432" t="s">
        <v>66</v>
      </c>
      <c r="E20" s="440" t="s">
        <v>2610</v>
      </c>
      <c r="F20" s="434" t="s">
        <v>2611</v>
      </c>
      <c r="G20" s="44" t="s">
        <v>2612</v>
      </c>
      <c r="H20" s="441" t="s">
        <v>2613</v>
      </c>
      <c r="I20" s="426" t="s">
        <v>2614</v>
      </c>
    </row>
    <row r="21" spans="1:9" ht="72" customHeight="1" x14ac:dyDescent="0.45">
      <c r="A21" s="77" t="s">
        <v>785</v>
      </c>
      <c r="B21" s="72" t="s">
        <v>786</v>
      </c>
      <c r="C21" s="70" t="s">
        <v>783</v>
      </c>
      <c r="D21" s="432" t="s">
        <v>66</v>
      </c>
      <c r="E21" s="443" t="s">
        <v>2615</v>
      </c>
      <c r="F21" s="74" t="s">
        <v>2616</v>
      </c>
      <c r="G21" s="70" t="s">
        <v>2617</v>
      </c>
      <c r="H21" s="75" t="s">
        <v>2618</v>
      </c>
      <c r="I21" s="77" t="s">
        <v>2619</v>
      </c>
    </row>
    <row r="22" spans="1:9" ht="72" customHeight="1" x14ac:dyDescent="0.45">
      <c r="A22" s="426" t="s">
        <v>829</v>
      </c>
      <c r="B22" s="45" t="s">
        <v>830</v>
      </c>
      <c r="C22" s="44" t="s">
        <v>783</v>
      </c>
      <c r="D22" s="432" t="s">
        <v>66</v>
      </c>
      <c r="E22" s="440" t="s">
        <v>2581</v>
      </c>
      <c r="F22" s="434" t="s">
        <v>2582</v>
      </c>
      <c r="G22" s="44" t="s">
        <v>217</v>
      </c>
      <c r="H22" s="441" t="s">
        <v>2583</v>
      </c>
      <c r="I22" s="426" t="s">
        <v>2584</v>
      </c>
    </row>
    <row r="23" spans="1:9" ht="72" customHeight="1" x14ac:dyDescent="0.45">
      <c r="A23" s="77" t="s">
        <v>896</v>
      </c>
      <c r="B23" s="72" t="s">
        <v>897</v>
      </c>
      <c r="C23" s="70" t="s">
        <v>783</v>
      </c>
      <c r="D23" s="432" t="s">
        <v>66</v>
      </c>
      <c r="E23" s="443" t="s">
        <v>2581</v>
      </c>
      <c r="F23" s="74" t="s">
        <v>2582</v>
      </c>
      <c r="G23" s="70" t="s">
        <v>217</v>
      </c>
      <c r="H23" s="75" t="s">
        <v>2583</v>
      </c>
      <c r="I23" s="77" t="s">
        <v>2584</v>
      </c>
    </row>
    <row r="24" spans="1:9" ht="72" customHeight="1" x14ac:dyDescent="0.45">
      <c r="A24" s="426" t="s">
        <v>1198</v>
      </c>
      <c r="B24" s="45" t="s">
        <v>1199</v>
      </c>
      <c r="C24" s="44" t="s">
        <v>1196</v>
      </c>
      <c r="D24" s="432" t="s">
        <v>66</v>
      </c>
      <c r="E24" s="440" t="s">
        <v>2620</v>
      </c>
      <c r="F24" s="434" t="s">
        <v>2621</v>
      </c>
      <c r="G24" s="44" t="s">
        <v>2622</v>
      </c>
      <c r="H24" s="441" t="s">
        <v>2623</v>
      </c>
      <c r="I24" s="426" t="s">
        <v>2624</v>
      </c>
    </row>
    <row r="25" spans="1:9" ht="72" customHeight="1" x14ac:dyDescent="0.45">
      <c r="A25" s="77" t="s">
        <v>1007</v>
      </c>
      <c r="B25" s="72" t="s">
        <v>1008</v>
      </c>
      <c r="C25" s="70" t="s">
        <v>928</v>
      </c>
      <c r="D25" s="439" t="s">
        <v>154</v>
      </c>
      <c r="E25" s="443" t="s">
        <v>2581</v>
      </c>
      <c r="F25" s="74" t="s">
        <v>2582</v>
      </c>
      <c r="G25" s="70" t="s">
        <v>217</v>
      </c>
      <c r="H25" s="75" t="s">
        <v>2583</v>
      </c>
      <c r="I25" s="77" t="s">
        <v>2584</v>
      </c>
    </row>
    <row r="26" spans="1:9" ht="72" customHeight="1" x14ac:dyDescent="0.45">
      <c r="A26" s="426" t="s">
        <v>985</v>
      </c>
      <c r="B26" s="45" t="s">
        <v>986</v>
      </c>
      <c r="C26" s="44" t="s">
        <v>928</v>
      </c>
      <c r="D26" s="439" t="s">
        <v>154</v>
      </c>
      <c r="E26" s="440" t="s">
        <v>2581</v>
      </c>
      <c r="F26" s="434" t="s">
        <v>2582</v>
      </c>
      <c r="G26" s="44" t="s">
        <v>217</v>
      </c>
      <c r="H26" s="441" t="s">
        <v>2583</v>
      </c>
      <c r="I26" s="426" t="s">
        <v>2584</v>
      </c>
    </row>
    <row r="27" spans="1:9" ht="72" customHeight="1" x14ac:dyDescent="0.45">
      <c r="A27" s="77" t="s">
        <v>996</v>
      </c>
      <c r="B27" s="72" t="s">
        <v>997</v>
      </c>
      <c r="C27" s="70" t="s">
        <v>928</v>
      </c>
      <c r="D27" s="439" t="s">
        <v>154</v>
      </c>
      <c r="E27" s="443" t="s">
        <v>2581</v>
      </c>
      <c r="F27" s="74" t="s">
        <v>2582</v>
      </c>
      <c r="G27" s="70" t="s">
        <v>217</v>
      </c>
      <c r="H27" s="75" t="s">
        <v>2583</v>
      </c>
      <c r="I27" s="77" t="s">
        <v>2584</v>
      </c>
    </row>
    <row r="28" spans="1:9" ht="72" customHeight="1" x14ac:dyDescent="0.45">
      <c r="A28" s="426" t="s">
        <v>973</v>
      </c>
      <c r="B28" s="45" t="s">
        <v>974</v>
      </c>
      <c r="C28" s="44" t="s">
        <v>928</v>
      </c>
      <c r="D28" s="439" t="s">
        <v>154</v>
      </c>
      <c r="E28" s="440" t="s">
        <v>2581</v>
      </c>
      <c r="F28" s="434" t="s">
        <v>2582</v>
      </c>
      <c r="G28" s="44" t="s">
        <v>217</v>
      </c>
      <c r="H28" s="441" t="s">
        <v>2583</v>
      </c>
      <c r="I28" s="426" t="s">
        <v>2584</v>
      </c>
    </row>
    <row r="29" spans="1:9" ht="72" customHeight="1" x14ac:dyDescent="0.45">
      <c r="A29" s="33" t="s">
        <v>148</v>
      </c>
      <c r="B29" s="20" t="s">
        <v>149</v>
      </c>
      <c r="C29" s="19" t="s">
        <v>54</v>
      </c>
      <c r="D29" s="439" t="s">
        <v>154</v>
      </c>
      <c r="E29" s="444" t="s">
        <v>2625</v>
      </c>
      <c r="F29" s="29" t="s">
        <v>2626</v>
      </c>
      <c r="G29" s="19" t="s">
        <v>176</v>
      </c>
      <c r="H29" s="30" t="s">
        <v>2627</v>
      </c>
      <c r="I29" s="33" t="s">
        <v>2628</v>
      </c>
    </row>
    <row r="30" spans="1:9" ht="72" customHeight="1" x14ac:dyDescent="0.45">
      <c r="A30" s="426" t="s">
        <v>1085</v>
      </c>
      <c r="B30" s="45" t="s">
        <v>1086</v>
      </c>
      <c r="C30" s="44" t="s">
        <v>1083</v>
      </c>
      <c r="D30" s="439" t="s">
        <v>154</v>
      </c>
      <c r="E30" s="440" t="s">
        <v>2581</v>
      </c>
      <c r="F30" s="434" t="s">
        <v>2582</v>
      </c>
      <c r="G30" s="44" t="s">
        <v>217</v>
      </c>
      <c r="H30" s="441" t="s">
        <v>2583</v>
      </c>
      <c r="I30" s="426" t="s">
        <v>2584</v>
      </c>
    </row>
    <row r="31" spans="1:9" ht="72" customHeight="1" x14ac:dyDescent="0.45">
      <c r="A31" s="77" t="s">
        <v>1120</v>
      </c>
      <c r="B31" s="72" t="s">
        <v>1121</v>
      </c>
      <c r="C31" s="70" t="s">
        <v>1083</v>
      </c>
      <c r="D31" s="439" t="s">
        <v>154</v>
      </c>
      <c r="E31" s="443" t="s">
        <v>2581</v>
      </c>
      <c r="F31" s="74" t="s">
        <v>2582</v>
      </c>
      <c r="G31" s="70" t="s">
        <v>217</v>
      </c>
      <c r="H31" s="75" t="s">
        <v>2583</v>
      </c>
      <c r="I31" s="77" t="s">
        <v>2584</v>
      </c>
    </row>
    <row r="32" spans="1:9" ht="72" customHeight="1" x14ac:dyDescent="0.45">
      <c r="A32" s="426" t="s">
        <v>222</v>
      </c>
      <c r="B32" s="45" t="s">
        <v>223</v>
      </c>
      <c r="C32" s="44" t="s">
        <v>54</v>
      </c>
      <c r="D32" s="439" t="s">
        <v>154</v>
      </c>
      <c r="E32" s="440" t="s">
        <v>2581</v>
      </c>
      <c r="F32" s="434" t="s">
        <v>2582</v>
      </c>
      <c r="G32" s="44" t="s">
        <v>217</v>
      </c>
      <c r="H32" s="441" t="s">
        <v>2583</v>
      </c>
      <c r="I32" s="426" t="s">
        <v>2584</v>
      </c>
    </row>
    <row r="33" spans="1:9" ht="72" customHeight="1" x14ac:dyDescent="0.45">
      <c r="A33" s="131" t="s">
        <v>1367</v>
      </c>
      <c r="B33" s="122" t="s">
        <v>1368</v>
      </c>
      <c r="C33" s="121" t="s">
        <v>1340</v>
      </c>
      <c r="D33" s="439" t="s">
        <v>154</v>
      </c>
      <c r="E33" s="442" t="s">
        <v>2581</v>
      </c>
      <c r="F33" s="127" t="s">
        <v>2582</v>
      </c>
      <c r="G33" s="121" t="s">
        <v>217</v>
      </c>
      <c r="H33" s="128" t="s">
        <v>2583</v>
      </c>
      <c r="I33" s="131" t="s">
        <v>2584</v>
      </c>
    </row>
    <row r="34" spans="1:9" ht="72" customHeight="1" x14ac:dyDescent="0.45">
      <c r="A34" s="426" t="s">
        <v>1356</v>
      </c>
      <c r="B34" s="45" t="s">
        <v>1357</v>
      </c>
      <c r="C34" s="44" t="s">
        <v>1340</v>
      </c>
      <c r="D34" s="439" t="s">
        <v>154</v>
      </c>
      <c r="E34" s="440" t="s">
        <v>2581</v>
      </c>
      <c r="F34" s="434" t="s">
        <v>2582</v>
      </c>
      <c r="G34" s="44" t="s">
        <v>217</v>
      </c>
      <c r="H34" s="441" t="s">
        <v>2583</v>
      </c>
      <c r="I34" s="426" t="s">
        <v>2584</v>
      </c>
    </row>
    <row r="35" spans="1:9" ht="72" customHeight="1" x14ac:dyDescent="0.45">
      <c r="A35" s="131" t="s">
        <v>1362</v>
      </c>
      <c r="B35" s="122" t="s">
        <v>1363</v>
      </c>
      <c r="C35" s="121" t="s">
        <v>1340</v>
      </c>
      <c r="D35" s="439" t="s">
        <v>154</v>
      </c>
      <c r="E35" s="442" t="s">
        <v>2581</v>
      </c>
      <c r="F35" s="127" t="s">
        <v>2582</v>
      </c>
      <c r="G35" s="121" t="s">
        <v>217</v>
      </c>
      <c r="H35" s="128" t="s">
        <v>2583</v>
      </c>
      <c r="I35" s="131" t="s">
        <v>2584</v>
      </c>
    </row>
    <row r="36" spans="1:9" ht="72" customHeight="1" x14ac:dyDescent="0.45">
      <c r="A36" s="426" t="s">
        <v>1389</v>
      </c>
      <c r="B36" s="45" t="s">
        <v>1390</v>
      </c>
      <c r="C36" s="44" t="s">
        <v>1340</v>
      </c>
      <c r="D36" s="439" t="s">
        <v>154</v>
      </c>
      <c r="E36" s="440" t="s">
        <v>2581</v>
      </c>
      <c r="F36" s="434" t="s">
        <v>2582</v>
      </c>
      <c r="G36" s="44" t="s">
        <v>217</v>
      </c>
      <c r="H36" s="441" t="s">
        <v>2583</v>
      </c>
      <c r="I36" s="426" t="s">
        <v>2584</v>
      </c>
    </row>
    <row r="37" spans="1:9" ht="72" customHeight="1" x14ac:dyDescent="0.45">
      <c r="A37" s="131" t="s">
        <v>1379</v>
      </c>
      <c r="B37" s="122" t="s">
        <v>1380</v>
      </c>
      <c r="C37" s="121" t="s">
        <v>1340</v>
      </c>
      <c r="D37" s="439" t="s">
        <v>154</v>
      </c>
      <c r="E37" s="442" t="s">
        <v>2581</v>
      </c>
      <c r="F37" s="127" t="s">
        <v>2582</v>
      </c>
      <c r="G37" s="121" t="s">
        <v>217</v>
      </c>
      <c r="H37" s="128" t="s">
        <v>2583</v>
      </c>
      <c r="I37" s="131" t="s">
        <v>2584</v>
      </c>
    </row>
    <row r="38" spans="1:9" ht="72" customHeight="1" x14ac:dyDescent="0.45">
      <c r="A38" s="426" t="s">
        <v>1343</v>
      </c>
      <c r="B38" s="45" t="s">
        <v>1344</v>
      </c>
      <c r="C38" s="44" t="s">
        <v>1340</v>
      </c>
      <c r="D38" s="439" t="s">
        <v>154</v>
      </c>
      <c r="E38" s="440" t="s">
        <v>2581</v>
      </c>
      <c r="F38" s="434" t="s">
        <v>2582</v>
      </c>
      <c r="G38" s="44" t="s">
        <v>217</v>
      </c>
      <c r="H38" s="441" t="s">
        <v>2583</v>
      </c>
      <c r="I38" s="426" t="s">
        <v>2584</v>
      </c>
    </row>
    <row r="39" spans="1:9" ht="72" customHeight="1" x14ac:dyDescent="0.45">
      <c r="A39" s="33" t="s">
        <v>191</v>
      </c>
      <c r="B39" s="20" t="s">
        <v>192</v>
      </c>
      <c r="C39" s="19" t="s">
        <v>54</v>
      </c>
      <c r="D39" s="439" t="s">
        <v>154</v>
      </c>
      <c r="E39" s="444" t="s">
        <v>2581</v>
      </c>
      <c r="F39" s="29" t="s">
        <v>2582</v>
      </c>
      <c r="G39" s="19" t="s">
        <v>217</v>
      </c>
      <c r="H39" s="30" t="s">
        <v>2583</v>
      </c>
      <c r="I39" s="33" t="s">
        <v>2584</v>
      </c>
    </row>
    <row r="40" spans="1:9" ht="72" customHeight="1" x14ac:dyDescent="0.45">
      <c r="A40" s="426" t="s">
        <v>1431</v>
      </c>
      <c r="B40" s="45" t="s">
        <v>1432</v>
      </c>
      <c r="C40" s="44" t="s">
        <v>1429</v>
      </c>
      <c r="D40" s="439" t="s">
        <v>154</v>
      </c>
      <c r="E40" s="440" t="s">
        <v>2581</v>
      </c>
      <c r="F40" s="434" t="s">
        <v>2582</v>
      </c>
      <c r="G40" s="44" t="s">
        <v>217</v>
      </c>
      <c r="H40" s="441" t="s">
        <v>2583</v>
      </c>
      <c r="I40" s="426" t="s">
        <v>2584</v>
      </c>
    </row>
    <row r="41" spans="1:9" ht="72" customHeight="1" x14ac:dyDescent="0.45">
      <c r="A41" s="198" t="s">
        <v>1575</v>
      </c>
      <c r="B41" s="192" t="s">
        <v>1576</v>
      </c>
      <c r="C41" s="190" t="s">
        <v>1560</v>
      </c>
      <c r="D41" s="439" t="s">
        <v>154</v>
      </c>
      <c r="E41" s="445" t="s">
        <v>2581</v>
      </c>
      <c r="F41" s="194" t="s">
        <v>2582</v>
      </c>
      <c r="G41" s="190" t="s">
        <v>217</v>
      </c>
      <c r="H41" s="195" t="s">
        <v>2583</v>
      </c>
      <c r="I41" s="198" t="s">
        <v>2584</v>
      </c>
    </row>
    <row r="42" spans="1:9" ht="72" customHeight="1" x14ac:dyDescent="0.45">
      <c r="A42" s="426" t="s">
        <v>751</v>
      </c>
      <c r="B42" s="45" t="s">
        <v>752</v>
      </c>
      <c r="C42" s="44" t="s">
        <v>569</v>
      </c>
      <c r="D42" s="439" t="s">
        <v>154</v>
      </c>
      <c r="E42" s="440" t="s">
        <v>2581</v>
      </c>
      <c r="F42" s="434" t="s">
        <v>2582</v>
      </c>
      <c r="G42" s="44" t="s">
        <v>217</v>
      </c>
      <c r="H42" s="441" t="s">
        <v>2583</v>
      </c>
      <c r="I42" s="426" t="s">
        <v>2584</v>
      </c>
    </row>
    <row r="43" spans="1:9" ht="72" customHeight="1" x14ac:dyDescent="0.45">
      <c r="A43" s="77" t="s">
        <v>740</v>
      </c>
      <c r="B43" s="72" t="s">
        <v>741</v>
      </c>
      <c r="C43" s="70" t="s">
        <v>569</v>
      </c>
      <c r="D43" s="439" t="s">
        <v>154</v>
      </c>
      <c r="E43" s="443" t="s">
        <v>2581</v>
      </c>
      <c r="F43" s="74" t="s">
        <v>2582</v>
      </c>
      <c r="G43" s="70" t="s">
        <v>217</v>
      </c>
      <c r="H43" s="75" t="s">
        <v>2583</v>
      </c>
      <c r="I43" s="77" t="s">
        <v>2584</v>
      </c>
    </row>
    <row r="44" spans="1:9" ht="72" customHeight="1" x14ac:dyDescent="0.45">
      <c r="A44" s="426" t="s">
        <v>729</v>
      </c>
      <c r="B44" s="45" t="s">
        <v>730</v>
      </c>
      <c r="C44" s="44" t="s">
        <v>569</v>
      </c>
      <c r="D44" s="439" t="s">
        <v>154</v>
      </c>
      <c r="E44" s="440" t="s">
        <v>2581</v>
      </c>
      <c r="F44" s="434" t="s">
        <v>2582</v>
      </c>
      <c r="G44" s="44" t="s">
        <v>217</v>
      </c>
      <c r="H44" s="441" t="s">
        <v>2583</v>
      </c>
      <c r="I44" s="426" t="s">
        <v>2584</v>
      </c>
    </row>
    <row r="45" spans="1:9" ht="72" customHeight="1" x14ac:dyDescent="0.45">
      <c r="A45" s="77" t="s">
        <v>679</v>
      </c>
      <c r="B45" s="72" t="s">
        <v>680</v>
      </c>
      <c r="C45" s="70" t="s">
        <v>569</v>
      </c>
      <c r="D45" s="439" t="s">
        <v>154</v>
      </c>
      <c r="E45" s="443" t="s">
        <v>2581</v>
      </c>
      <c r="F45" s="74" t="s">
        <v>2582</v>
      </c>
      <c r="G45" s="70" t="s">
        <v>217</v>
      </c>
      <c r="H45" s="75" t="s">
        <v>2583</v>
      </c>
      <c r="I45" s="77" t="s">
        <v>2584</v>
      </c>
    </row>
    <row r="46" spans="1:9" ht="72" customHeight="1" x14ac:dyDescent="0.45">
      <c r="A46" s="426" t="s">
        <v>768</v>
      </c>
      <c r="B46" s="45" t="s">
        <v>192</v>
      </c>
      <c r="C46" s="44" t="s">
        <v>569</v>
      </c>
      <c r="D46" s="439" t="s">
        <v>154</v>
      </c>
      <c r="E46" s="440" t="s">
        <v>2581</v>
      </c>
      <c r="F46" s="434" t="s">
        <v>2582</v>
      </c>
      <c r="G46" s="44" t="s">
        <v>217</v>
      </c>
      <c r="H46" s="441" t="s">
        <v>2583</v>
      </c>
      <c r="I46" s="426" t="s">
        <v>2584</v>
      </c>
    </row>
    <row r="47" spans="1:9" ht="72" customHeight="1" x14ac:dyDescent="0.45">
      <c r="A47" s="33" t="s">
        <v>294</v>
      </c>
      <c r="B47" s="20" t="s">
        <v>295</v>
      </c>
      <c r="C47" s="19" t="s">
        <v>54</v>
      </c>
      <c r="D47" s="439" t="s">
        <v>154</v>
      </c>
      <c r="E47" s="444" t="s">
        <v>2581</v>
      </c>
      <c r="F47" s="29" t="s">
        <v>2582</v>
      </c>
      <c r="G47" s="19" t="s">
        <v>217</v>
      </c>
      <c r="H47" s="30" t="s">
        <v>2583</v>
      </c>
      <c r="I47" s="33" t="s">
        <v>2584</v>
      </c>
    </row>
    <row r="48" spans="1:9" ht="72" customHeight="1" x14ac:dyDescent="0.45">
      <c r="A48" s="426" t="s">
        <v>484</v>
      </c>
      <c r="B48" s="45" t="s">
        <v>485</v>
      </c>
      <c r="C48" s="44" t="s">
        <v>380</v>
      </c>
      <c r="D48" s="439" t="s">
        <v>154</v>
      </c>
      <c r="E48" s="440" t="s">
        <v>2581</v>
      </c>
      <c r="F48" s="434" t="s">
        <v>2582</v>
      </c>
      <c r="G48" s="44" t="s">
        <v>217</v>
      </c>
      <c r="H48" s="441" t="s">
        <v>2583</v>
      </c>
      <c r="I48" s="426" t="s">
        <v>2584</v>
      </c>
    </row>
    <row r="49" spans="1:9" ht="72" customHeight="1" x14ac:dyDescent="0.45">
      <c r="A49" s="33" t="s">
        <v>473</v>
      </c>
      <c r="B49" s="20" t="s">
        <v>474</v>
      </c>
      <c r="C49" s="19" t="s">
        <v>380</v>
      </c>
      <c r="D49" s="439" t="s">
        <v>154</v>
      </c>
      <c r="E49" s="444" t="s">
        <v>2581</v>
      </c>
      <c r="F49" s="29" t="s">
        <v>2582</v>
      </c>
      <c r="G49" s="19" t="s">
        <v>217</v>
      </c>
      <c r="H49" s="30" t="s">
        <v>2583</v>
      </c>
      <c r="I49" s="33" t="s">
        <v>2584</v>
      </c>
    </row>
    <row r="50" spans="1:9" ht="72" customHeight="1" x14ac:dyDescent="0.45">
      <c r="A50" s="426" t="s">
        <v>492</v>
      </c>
      <c r="B50" s="45" t="s">
        <v>493</v>
      </c>
      <c r="C50" s="44" t="s">
        <v>380</v>
      </c>
      <c r="D50" s="439" t="s">
        <v>154</v>
      </c>
      <c r="E50" s="440" t="s">
        <v>2581</v>
      </c>
      <c r="F50" s="434" t="s">
        <v>2582</v>
      </c>
      <c r="G50" s="44" t="s">
        <v>217</v>
      </c>
      <c r="H50" s="441" t="s">
        <v>2583</v>
      </c>
      <c r="I50" s="426" t="s">
        <v>2584</v>
      </c>
    </row>
    <row r="51" spans="1:9" ht="72" customHeight="1" x14ac:dyDescent="0.45">
      <c r="A51" s="77" t="s">
        <v>1279</v>
      </c>
      <c r="B51" s="72" t="s">
        <v>1280</v>
      </c>
      <c r="C51" s="70" t="s">
        <v>1244</v>
      </c>
      <c r="D51" s="439" t="s">
        <v>154</v>
      </c>
      <c r="E51" s="443" t="s">
        <v>2581</v>
      </c>
      <c r="F51" s="74" t="s">
        <v>2582</v>
      </c>
      <c r="G51" s="70" t="s">
        <v>217</v>
      </c>
      <c r="H51" s="75" t="s">
        <v>2583</v>
      </c>
      <c r="I51" s="77" t="s">
        <v>2584</v>
      </c>
    </row>
    <row r="52" spans="1:9" ht="72" customHeight="1" x14ac:dyDescent="0.45">
      <c r="A52" s="426" t="s">
        <v>1268</v>
      </c>
      <c r="B52" s="45" t="s">
        <v>1269</v>
      </c>
      <c r="C52" s="44" t="s">
        <v>1244</v>
      </c>
      <c r="D52" s="439" t="s">
        <v>154</v>
      </c>
      <c r="E52" s="440" t="s">
        <v>2581</v>
      </c>
      <c r="F52" s="434" t="s">
        <v>2582</v>
      </c>
      <c r="G52" s="44" t="s">
        <v>217</v>
      </c>
      <c r="H52" s="441" t="s">
        <v>2583</v>
      </c>
      <c r="I52" s="426" t="s">
        <v>2584</v>
      </c>
    </row>
    <row r="53" spans="1:9" ht="72" customHeight="1" x14ac:dyDescent="0.45">
      <c r="A53" s="198" t="s">
        <v>1609</v>
      </c>
      <c r="B53" s="192" t="s">
        <v>1610</v>
      </c>
      <c r="C53" s="190" t="s">
        <v>1560</v>
      </c>
      <c r="D53" s="439" t="s">
        <v>154</v>
      </c>
      <c r="E53" s="445" t="s">
        <v>2581</v>
      </c>
      <c r="F53" s="194" t="s">
        <v>2582</v>
      </c>
      <c r="G53" s="190" t="s">
        <v>217</v>
      </c>
      <c r="H53" s="195" t="s">
        <v>2583</v>
      </c>
      <c r="I53" s="198" t="s">
        <v>2584</v>
      </c>
    </row>
    <row r="54" spans="1:9" ht="72" customHeight="1" x14ac:dyDescent="0.45">
      <c r="A54" s="426" t="s">
        <v>1152</v>
      </c>
      <c r="B54" s="45" t="s">
        <v>1153</v>
      </c>
      <c r="C54" s="44" t="s">
        <v>1083</v>
      </c>
      <c r="D54" s="439" t="s">
        <v>154</v>
      </c>
      <c r="E54" s="440" t="s">
        <v>2629</v>
      </c>
      <c r="F54" s="434" t="s">
        <v>2630</v>
      </c>
      <c r="G54" s="44" t="s">
        <v>2631</v>
      </c>
      <c r="H54" s="441" t="s">
        <v>2632</v>
      </c>
      <c r="I54" s="426" t="s">
        <v>2633</v>
      </c>
    </row>
    <row r="55" spans="1:9" ht="72" customHeight="1" x14ac:dyDescent="0.45">
      <c r="A55" s="178" t="s">
        <v>1513</v>
      </c>
      <c r="B55" s="169" t="s">
        <v>1514</v>
      </c>
      <c r="C55" s="168" t="s">
        <v>1510</v>
      </c>
      <c r="D55" s="439" t="s">
        <v>154</v>
      </c>
      <c r="E55" s="446" t="s">
        <v>2581</v>
      </c>
      <c r="F55" s="174" t="s">
        <v>2582</v>
      </c>
      <c r="G55" s="168" t="s">
        <v>217</v>
      </c>
      <c r="H55" s="175" t="s">
        <v>2583</v>
      </c>
      <c r="I55" s="178" t="s">
        <v>2584</v>
      </c>
    </row>
    <row r="56" spans="1:9" ht="72" customHeight="1" x14ac:dyDescent="0.45">
      <c r="A56" s="426" t="s">
        <v>1539</v>
      </c>
      <c r="B56" s="45" t="s">
        <v>1540</v>
      </c>
      <c r="C56" s="44" t="s">
        <v>1510</v>
      </c>
      <c r="D56" s="439" t="s">
        <v>154</v>
      </c>
      <c r="E56" s="440" t="s">
        <v>2581</v>
      </c>
      <c r="F56" s="434" t="s">
        <v>2582</v>
      </c>
      <c r="G56" s="44" t="s">
        <v>217</v>
      </c>
      <c r="H56" s="441" t="s">
        <v>2583</v>
      </c>
      <c r="I56" s="426" t="s">
        <v>2584</v>
      </c>
    </row>
    <row r="57" spans="1:9" ht="72" customHeight="1" x14ac:dyDescent="0.45">
      <c r="A57" s="77" t="s">
        <v>1056</v>
      </c>
      <c r="B57" s="72" t="s">
        <v>1057</v>
      </c>
      <c r="C57" s="70" t="s">
        <v>1018</v>
      </c>
      <c r="D57" s="439" t="s">
        <v>154</v>
      </c>
      <c r="E57" s="443" t="s">
        <v>2581</v>
      </c>
      <c r="F57" s="74" t="s">
        <v>2582</v>
      </c>
      <c r="G57" s="70" t="s">
        <v>217</v>
      </c>
      <c r="H57" s="75" t="s">
        <v>2583</v>
      </c>
      <c r="I57" s="77" t="s">
        <v>2584</v>
      </c>
    </row>
    <row r="58" spans="1:9" ht="72" customHeight="1" x14ac:dyDescent="0.45">
      <c r="A58" s="426" t="s">
        <v>1020</v>
      </c>
      <c r="B58" s="45" t="s">
        <v>1021</v>
      </c>
      <c r="C58" s="44" t="s">
        <v>1018</v>
      </c>
      <c r="D58" s="439" t="s">
        <v>154</v>
      </c>
      <c r="E58" s="440" t="s">
        <v>2581</v>
      </c>
      <c r="F58" s="434" t="s">
        <v>2582</v>
      </c>
      <c r="G58" s="44" t="s">
        <v>217</v>
      </c>
      <c r="H58" s="441" t="s">
        <v>2583</v>
      </c>
      <c r="I58" s="426" t="s">
        <v>2584</v>
      </c>
    </row>
    <row r="59" spans="1:9" ht="72" customHeight="1" x14ac:dyDescent="0.45">
      <c r="A59" s="33" t="s">
        <v>306</v>
      </c>
      <c r="B59" s="20" t="s">
        <v>307</v>
      </c>
      <c r="C59" s="19" t="s">
        <v>54</v>
      </c>
      <c r="D59" s="439" t="s">
        <v>154</v>
      </c>
      <c r="E59" s="444" t="s">
        <v>2581</v>
      </c>
      <c r="F59" s="29" t="s">
        <v>2582</v>
      </c>
      <c r="G59" s="19" t="s">
        <v>217</v>
      </c>
      <c r="H59" s="30" t="s">
        <v>2583</v>
      </c>
      <c r="I59" s="33" t="s">
        <v>2584</v>
      </c>
    </row>
    <row r="60" spans="1:9" ht="72" customHeight="1" x14ac:dyDescent="0.45">
      <c r="A60" s="426" t="s">
        <v>534</v>
      </c>
      <c r="B60" s="45" t="s">
        <v>535</v>
      </c>
      <c r="C60" s="44" t="s">
        <v>380</v>
      </c>
      <c r="D60" s="439" t="s">
        <v>154</v>
      </c>
      <c r="E60" s="440" t="s">
        <v>2581</v>
      </c>
      <c r="F60" s="434" t="s">
        <v>2582</v>
      </c>
      <c r="G60" s="44" t="s">
        <v>217</v>
      </c>
      <c r="H60" s="441" t="s">
        <v>2583</v>
      </c>
      <c r="I60" s="426" t="s">
        <v>2584</v>
      </c>
    </row>
    <row r="61" spans="1:9" ht="72" customHeight="1" x14ac:dyDescent="0.45">
      <c r="A61" s="77" t="s">
        <v>916</v>
      </c>
      <c r="B61" s="72" t="s">
        <v>917</v>
      </c>
      <c r="C61" s="70" t="s">
        <v>783</v>
      </c>
      <c r="D61" s="439" t="s">
        <v>154</v>
      </c>
      <c r="E61" s="443" t="s">
        <v>2581</v>
      </c>
      <c r="F61" s="74" t="s">
        <v>2582</v>
      </c>
      <c r="G61" s="70" t="s">
        <v>217</v>
      </c>
      <c r="H61" s="75" t="s">
        <v>2583</v>
      </c>
      <c r="I61" s="77" t="s">
        <v>2584</v>
      </c>
    </row>
    <row r="62" spans="1:9" ht="72" customHeight="1" x14ac:dyDescent="0.45">
      <c r="A62" s="426" t="s">
        <v>883</v>
      </c>
      <c r="B62" s="45" t="s">
        <v>884</v>
      </c>
      <c r="C62" s="44" t="s">
        <v>783</v>
      </c>
      <c r="D62" s="439" t="s">
        <v>154</v>
      </c>
      <c r="E62" s="440" t="s">
        <v>2581</v>
      </c>
      <c r="F62" s="434" t="s">
        <v>2582</v>
      </c>
      <c r="G62" s="44" t="s">
        <v>217</v>
      </c>
      <c r="H62" s="441" t="s">
        <v>2583</v>
      </c>
      <c r="I62" s="426" t="s">
        <v>2584</v>
      </c>
    </row>
    <row r="63" spans="1:9" ht="72" customHeight="1" x14ac:dyDescent="0.45">
      <c r="A63" s="77" t="s">
        <v>1238</v>
      </c>
      <c r="B63" s="72" t="s">
        <v>1239</v>
      </c>
      <c r="C63" s="70" t="s">
        <v>1196</v>
      </c>
      <c r="D63" s="439" t="s">
        <v>154</v>
      </c>
      <c r="E63" s="443" t="s">
        <v>2581</v>
      </c>
      <c r="F63" s="74" t="s">
        <v>2582</v>
      </c>
      <c r="G63" s="70" t="s">
        <v>217</v>
      </c>
      <c r="H63" s="75" t="s">
        <v>2583</v>
      </c>
      <c r="I63" s="77" t="s">
        <v>2584</v>
      </c>
    </row>
    <row r="64" spans="1:9" ht="72" customHeight="1" x14ac:dyDescent="0.45">
      <c r="A64" s="426" t="s">
        <v>1234</v>
      </c>
      <c r="B64" s="45" t="s">
        <v>1235</v>
      </c>
      <c r="C64" s="44" t="s">
        <v>1196</v>
      </c>
      <c r="D64" s="439" t="s">
        <v>154</v>
      </c>
      <c r="E64" s="440" t="s">
        <v>2581</v>
      </c>
      <c r="F64" s="434" t="s">
        <v>2582</v>
      </c>
      <c r="G64" s="44" t="s">
        <v>217</v>
      </c>
      <c r="H64" s="441" t="s">
        <v>2583</v>
      </c>
      <c r="I64" s="426" t="s">
        <v>2584</v>
      </c>
    </row>
    <row r="65" spans="1:9" ht="72" customHeight="1" x14ac:dyDescent="0.45">
      <c r="A65" s="379" t="s">
        <v>2118</v>
      </c>
      <c r="B65" s="370" t="s">
        <v>2119</v>
      </c>
      <c r="C65" s="369" t="s">
        <v>2116</v>
      </c>
      <c r="D65" s="447" t="s">
        <v>253</v>
      </c>
      <c r="E65" s="448" t="s">
        <v>2581</v>
      </c>
      <c r="F65" s="375" t="s">
        <v>2582</v>
      </c>
      <c r="G65" s="369" t="s">
        <v>217</v>
      </c>
      <c r="H65" s="376" t="s">
        <v>2583</v>
      </c>
      <c r="I65" s="379" t="s">
        <v>2584</v>
      </c>
    </row>
    <row r="66" spans="1:9" ht="72" customHeight="1" x14ac:dyDescent="0.45">
      <c r="A66" s="426" t="s">
        <v>2064</v>
      </c>
      <c r="B66" s="45" t="s">
        <v>2065</v>
      </c>
      <c r="C66" s="44" t="s">
        <v>2061</v>
      </c>
      <c r="D66" s="447" t="s">
        <v>253</v>
      </c>
      <c r="E66" s="440" t="s">
        <v>2581</v>
      </c>
      <c r="F66" s="434" t="s">
        <v>2582</v>
      </c>
      <c r="G66" s="44" t="s">
        <v>217</v>
      </c>
      <c r="H66" s="441" t="s">
        <v>2583</v>
      </c>
      <c r="I66" s="426" t="s">
        <v>2584</v>
      </c>
    </row>
    <row r="67" spans="1:9" ht="72" customHeight="1" x14ac:dyDescent="0.45">
      <c r="A67" s="77" t="s">
        <v>1131</v>
      </c>
      <c r="B67" s="72" t="s">
        <v>1132</v>
      </c>
      <c r="C67" s="70" t="s">
        <v>1083</v>
      </c>
      <c r="D67" s="447" t="s">
        <v>253</v>
      </c>
      <c r="E67" s="443" t="s">
        <v>2581</v>
      </c>
      <c r="F67" s="74" t="s">
        <v>2582</v>
      </c>
      <c r="G67" s="70" t="s">
        <v>217</v>
      </c>
      <c r="H67" s="75" t="s">
        <v>2583</v>
      </c>
      <c r="I67" s="77" t="s">
        <v>2584</v>
      </c>
    </row>
    <row r="68" spans="1:9" ht="72" customHeight="1" x14ac:dyDescent="0.45">
      <c r="A68" s="426" t="s">
        <v>1140</v>
      </c>
      <c r="B68" s="45" t="s">
        <v>1141</v>
      </c>
      <c r="C68" s="44" t="s">
        <v>1083</v>
      </c>
      <c r="D68" s="447" t="s">
        <v>253</v>
      </c>
      <c r="E68" s="440" t="s">
        <v>2581</v>
      </c>
      <c r="F68" s="434" t="s">
        <v>2582</v>
      </c>
      <c r="G68" s="44" t="s">
        <v>217</v>
      </c>
      <c r="H68" s="441" t="s">
        <v>2583</v>
      </c>
      <c r="I68" s="426" t="s">
        <v>2584</v>
      </c>
    </row>
    <row r="69" spans="1:9" ht="72" customHeight="1" x14ac:dyDescent="0.45">
      <c r="A69" s="77" t="s">
        <v>1145</v>
      </c>
      <c r="B69" s="72" t="s">
        <v>1146</v>
      </c>
      <c r="C69" s="70" t="s">
        <v>1083</v>
      </c>
      <c r="D69" s="447" t="s">
        <v>253</v>
      </c>
      <c r="E69" s="443" t="s">
        <v>2581</v>
      </c>
      <c r="F69" s="74" t="s">
        <v>2582</v>
      </c>
      <c r="G69" s="70" t="s">
        <v>217</v>
      </c>
      <c r="H69" s="75" t="s">
        <v>2583</v>
      </c>
      <c r="I69" s="77" t="s">
        <v>2584</v>
      </c>
    </row>
    <row r="70" spans="1:9" ht="72" customHeight="1" x14ac:dyDescent="0.45">
      <c r="A70" s="426" t="s">
        <v>2170</v>
      </c>
      <c r="B70" s="45" t="s">
        <v>2171</v>
      </c>
      <c r="C70" s="44" t="s">
        <v>2167</v>
      </c>
      <c r="D70" s="447" t="s">
        <v>253</v>
      </c>
      <c r="E70" s="440" t="s">
        <v>2581</v>
      </c>
      <c r="F70" s="434" t="s">
        <v>2582</v>
      </c>
      <c r="G70" s="44" t="s">
        <v>217</v>
      </c>
      <c r="H70" s="441" t="s">
        <v>2583</v>
      </c>
      <c r="I70" s="426" t="s">
        <v>2584</v>
      </c>
    </row>
    <row r="71" spans="1:9" ht="72" customHeight="1" x14ac:dyDescent="0.45">
      <c r="A71" s="131" t="s">
        <v>1424</v>
      </c>
      <c r="B71" s="122" t="s">
        <v>1425</v>
      </c>
      <c r="C71" s="121" t="s">
        <v>1340</v>
      </c>
      <c r="D71" s="447" t="s">
        <v>253</v>
      </c>
      <c r="E71" s="442" t="s">
        <v>2581</v>
      </c>
      <c r="F71" s="127" t="s">
        <v>2582</v>
      </c>
      <c r="G71" s="121" t="s">
        <v>217</v>
      </c>
      <c r="H71" s="128" t="s">
        <v>2583</v>
      </c>
      <c r="I71" s="131" t="s">
        <v>2584</v>
      </c>
    </row>
    <row r="72" spans="1:9" ht="72" customHeight="1" x14ac:dyDescent="0.45">
      <c r="A72" s="426" t="s">
        <v>1443</v>
      </c>
      <c r="B72" s="45" t="s">
        <v>1444</v>
      </c>
      <c r="C72" s="44" t="s">
        <v>1429</v>
      </c>
      <c r="D72" s="447" t="s">
        <v>253</v>
      </c>
      <c r="E72" s="440" t="s">
        <v>2581</v>
      </c>
      <c r="F72" s="434" t="s">
        <v>2582</v>
      </c>
      <c r="G72" s="44" t="s">
        <v>217</v>
      </c>
      <c r="H72" s="441" t="s">
        <v>2583</v>
      </c>
      <c r="I72" s="426" t="s">
        <v>2584</v>
      </c>
    </row>
    <row r="73" spans="1:9" ht="72" customHeight="1" x14ac:dyDescent="0.45">
      <c r="A73" s="131" t="s">
        <v>1454</v>
      </c>
      <c r="B73" s="122" t="s">
        <v>1455</v>
      </c>
      <c r="C73" s="121" t="s">
        <v>1429</v>
      </c>
      <c r="D73" s="447" t="s">
        <v>253</v>
      </c>
      <c r="E73" s="442" t="s">
        <v>2581</v>
      </c>
      <c r="F73" s="127" t="s">
        <v>2582</v>
      </c>
      <c r="G73" s="121" t="s">
        <v>217</v>
      </c>
      <c r="H73" s="128" t="s">
        <v>2583</v>
      </c>
      <c r="I73" s="131" t="s">
        <v>2584</v>
      </c>
    </row>
    <row r="74" spans="1:9" ht="72" customHeight="1" x14ac:dyDescent="0.45">
      <c r="A74" s="426" t="s">
        <v>1459</v>
      </c>
      <c r="B74" s="45" t="s">
        <v>1460</v>
      </c>
      <c r="C74" s="44" t="s">
        <v>1429</v>
      </c>
      <c r="D74" s="447" t="s">
        <v>253</v>
      </c>
      <c r="E74" s="440" t="s">
        <v>2581</v>
      </c>
      <c r="F74" s="434" t="s">
        <v>2582</v>
      </c>
      <c r="G74" s="44" t="s">
        <v>217</v>
      </c>
      <c r="H74" s="441" t="s">
        <v>2583</v>
      </c>
      <c r="I74" s="426" t="s">
        <v>2584</v>
      </c>
    </row>
    <row r="75" spans="1:9" ht="72" customHeight="1" x14ac:dyDescent="0.45">
      <c r="A75" s="131" t="s">
        <v>1448</v>
      </c>
      <c r="B75" s="122" t="s">
        <v>1449</v>
      </c>
      <c r="C75" s="121" t="s">
        <v>1429</v>
      </c>
      <c r="D75" s="447" t="s">
        <v>253</v>
      </c>
      <c r="E75" s="442" t="s">
        <v>2581</v>
      </c>
      <c r="F75" s="127" t="s">
        <v>2582</v>
      </c>
      <c r="G75" s="121" t="s">
        <v>217</v>
      </c>
      <c r="H75" s="128" t="s">
        <v>2583</v>
      </c>
      <c r="I75" s="131" t="s">
        <v>2584</v>
      </c>
    </row>
    <row r="76" spans="1:9" ht="72" customHeight="1" x14ac:dyDescent="0.45">
      <c r="A76" s="426" t="s">
        <v>2108</v>
      </c>
      <c r="B76" s="45" t="s">
        <v>2109</v>
      </c>
      <c r="C76" s="44" t="s">
        <v>2106</v>
      </c>
      <c r="D76" s="447" t="s">
        <v>253</v>
      </c>
      <c r="E76" s="440" t="s">
        <v>2581</v>
      </c>
      <c r="F76" s="434" t="s">
        <v>2582</v>
      </c>
      <c r="G76" s="44" t="s">
        <v>217</v>
      </c>
      <c r="H76" s="441" t="s">
        <v>2583</v>
      </c>
      <c r="I76" s="426" t="s">
        <v>2584</v>
      </c>
    </row>
    <row r="77" spans="1:9" ht="72" customHeight="1" x14ac:dyDescent="0.45">
      <c r="A77" s="224" t="s">
        <v>1963</v>
      </c>
      <c r="B77" s="215" t="s">
        <v>1964</v>
      </c>
      <c r="C77" s="214" t="s">
        <v>1960</v>
      </c>
      <c r="D77" s="447" t="s">
        <v>253</v>
      </c>
      <c r="E77" s="449" t="s">
        <v>2581</v>
      </c>
      <c r="F77" s="220" t="s">
        <v>2582</v>
      </c>
      <c r="G77" s="214" t="s">
        <v>217</v>
      </c>
      <c r="H77" s="221" t="s">
        <v>2583</v>
      </c>
      <c r="I77" s="224" t="s">
        <v>2584</v>
      </c>
    </row>
    <row r="78" spans="1:9" ht="72" customHeight="1" x14ac:dyDescent="0.45">
      <c r="A78" s="426" t="s">
        <v>2029</v>
      </c>
      <c r="B78" s="45" t="s">
        <v>2030</v>
      </c>
      <c r="C78" s="44" t="s">
        <v>2026</v>
      </c>
      <c r="D78" s="447" t="s">
        <v>253</v>
      </c>
      <c r="E78" s="440" t="s">
        <v>2581</v>
      </c>
      <c r="F78" s="434" t="s">
        <v>2582</v>
      </c>
      <c r="G78" s="44" t="s">
        <v>217</v>
      </c>
      <c r="H78" s="441" t="s">
        <v>2583</v>
      </c>
      <c r="I78" s="426" t="s">
        <v>2584</v>
      </c>
    </row>
    <row r="79" spans="1:9" ht="72" customHeight="1" x14ac:dyDescent="0.45">
      <c r="A79" s="269" t="s">
        <v>1992</v>
      </c>
      <c r="B79" s="260" t="s">
        <v>1993</v>
      </c>
      <c r="C79" s="259" t="s">
        <v>1989</v>
      </c>
      <c r="D79" s="447" t="s">
        <v>253</v>
      </c>
      <c r="E79" s="450" t="s">
        <v>2581</v>
      </c>
      <c r="F79" s="265" t="s">
        <v>2582</v>
      </c>
      <c r="G79" s="259" t="s">
        <v>217</v>
      </c>
      <c r="H79" s="266" t="s">
        <v>2583</v>
      </c>
      <c r="I79" s="269" t="s">
        <v>2584</v>
      </c>
    </row>
    <row r="80" spans="1:9" ht="72" customHeight="1" x14ac:dyDescent="0.45">
      <c r="A80" s="426" t="s">
        <v>1941</v>
      </c>
      <c r="B80" s="45" t="s">
        <v>1942</v>
      </c>
      <c r="C80" s="44" t="s">
        <v>1939</v>
      </c>
      <c r="D80" s="447" t="s">
        <v>253</v>
      </c>
      <c r="E80" s="440" t="s">
        <v>2581</v>
      </c>
      <c r="F80" s="434" t="s">
        <v>2582</v>
      </c>
      <c r="G80" s="44" t="s">
        <v>217</v>
      </c>
      <c r="H80" s="441" t="s">
        <v>2583</v>
      </c>
      <c r="I80" s="426" t="s">
        <v>2584</v>
      </c>
    </row>
    <row r="81" spans="1:9" ht="72" customHeight="1" x14ac:dyDescent="0.45">
      <c r="A81" s="178" t="s">
        <v>1951</v>
      </c>
      <c r="B81" s="169" t="s">
        <v>1952</v>
      </c>
      <c r="C81" s="168" t="s">
        <v>1949</v>
      </c>
      <c r="D81" s="447" t="s">
        <v>253</v>
      </c>
      <c r="E81" s="446" t="s">
        <v>2581</v>
      </c>
      <c r="F81" s="174" t="s">
        <v>2582</v>
      </c>
      <c r="G81" s="168" t="s">
        <v>217</v>
      </c>
      <c r="H81" s="175" t="s">
        <v>2583</v>
      </c>
      <c r="I81" s="178" t="s">
        <v>2584</v>
      </c>
    </row>
    <row r="82" spans="1:9" ht="72" customHeight="1" x14ac:dyDescent="0.45">
      <c r="A82" s="426" t="s">
        <v>1724</v>
      </c>
      <c r="B82" s="45" t="s">
        <v>1725</v>
      </c>
      <c r="C82" s="44" t="s">
        <v>1722</v>
      </c>
      <c r="D82" s="447" t="s">
        <v>253</v>
      </c>
      <c r="E82" s="440" t="s">
        <v>2581</v>
      </c>
      <c r="F82" s="434" t="s">
        <v>2582</v>
      </c>
      <c r="G82" s="44" t="s">
        <v>217</v>
      </c>
      <c r="H82" s="441" t="s">
        <v>2583</v>
      </c>
      <c r="I82" s="426" t="s">
        <v>2584</v>
      </c>
    </row>
    <row r="83" spans="1:9" ht="72" customHeight="1" x14ac:dyDescent="0.45">
      <c r="A83" s="108" t="s">
        <v>1735</v>
      </c>
      <c r="B83" s="99" t="s">
        <v>1736</v>
      </c>
      <c r="C83" s="98" t="s">
        <v>1722</v>
      </c>
      <c r="D83" s="447" t="s">
        <v>253</v>
      </c>
      <c r="E83" s="451" t="s">
        <v>2581</v>
      </c>
      <c r="F83" s="104" t="s">
        <v>2582</v>
      </c>
      <c r="G83" s="98" t="s">
        <v>217</v>
      </c>
      <c r="H83" s="105" t="s">
        <v>2583</v>
      </c>
      <c r="I83" s="108" t="s">
        <v>2584</v>
      </c>
    </row>
    <row r="84" spans="1:9" ht="72" customHeight="1" x14ac:dyDescent="0.45">
      <c r="A84" s="426" t="s">
        <v>1931</v>
      </c>
      <c r="B84" s="45" t="s">
        <v>1932</v>
      </c>
      <c r="C84" s="44" t="s">
        <v>1929</v>
      </c>
      <c r="D84" s="447" t="s">
        <v>253</v>
      </c>
      <c r="E84" s="440" t="s">
        <v>2581</v>
      </c>
      <c r="F84" s="434" t="s">
        <v>2582</v>
      </c>
      <c r="G84" s="44" t="s">
        <v>217</v>
      </c>
      <c r="H84" s="441" t="s">
        <v>2583</v>
      </c>
      <c r="I84" s="426" t="s">
        <v>2584</v>
      </c>
    </row>
    <row r="85" spans="1:9" ht="72" customHeight="1" x14ac:dyDescent="0.45">
      <c r="A85" s="108" t="s">
        <v>1706</v>
      </c>
      <c r="B85" s="99" t="s">
        <v>1707</v>
      </c>
      <c r="C85" s="98" t="s">
        <v>1704</v>
      </c>
      <c r="D85" s="447" t="s">
        <v>253</v>
      </c>
      <c r="E85" s="451" t="s">
        <v>2581</v>
      </c>
      <c r="F85" s="104" t="s">
        <v>2582</v>
      </c>
      <c r="G85" s="98" t="s">
        <v>217</v>
      </c>
      <c r="H85" s="105" t="s">
        <v>2583</v>
      </c>
      <c r="I85" s="108" t="s">
        <v>2584</v>
      </c>
    </row>
    <row r="86" spans="1:9" ht="72" customHeight="1" x14ac:dyDescent="0.45">
      <c r="A86" s="426" t="s">
        <v>1712</v>
      </c>
      <c r="B86" s="45" t="s">
        <v>1713</v>
      </c>
      <c r="C86" s="44" t="s">
        <v>1704</v>
      </c>
      <c r="D86" s="447" t="s">
        <v>253</v>
      </c>
      <c r="E86" s="440" t="s">
        <v>2581</v>
      </c>
      <c r="F86" s="434" t="s">
        <v>2582</v>
      </c>
      <c r="G86" s="44" t="s">
        <v>217</v>
      </c>
      <c r="H86" s="441" t="s">
        <v>2583</v>
      </c>
      <c r="I86" s="426" t="s">
        <v>2584</v>
      </c>
    </row>
    <row r="87" spans="1:9" ht="72" customHeight="1" x14ac:dyDescent="0.45">
      <c r="A87" s="224" t="s">
        <v>1968</v>
      </c>
      <c r="B87" s="215" t="s">
        <v>1969</v>
      </c>
      <c r="C87" s="214" t="s">
        <v>1966</v>
      </c>
      <c r="D87" s="447" t="s">
        <v>253</v>
      </c>
      <c r="E87" s="449" t="s">
        <v>2581</v>
      </c>
      <c r="F87" s="220" t="s">
        <v>2582</v>
      </c>
      <c r="G87" s="214" t="s">
        <v>217</v>
      </c>
      <c r="H87" s="221" t="s">
        <v>2583</v>
      </c>
      <c r="I87" s="224" t="s">
        <v>2584</v>
      </c>
    </row>
    <row r="88" spans="1:9" ht="72" customHeight="1" x14ac:dyDescent="0.45">
      <c r="A88" s="426" t="s">
        <v>2138</v>
      </c>
      <c r="B88" s="45" t="s">
        <v>2139</v>
      </c>
      <c r="C88" s="44" t="s">
        <v>2136</v>
      </c>
      <c r="D88" s="447" t="s">
        <v>253</v>
      </c>
      <c r="E88" s="440" t="s">
        <v>2581</v>
      </c>
      <c r="F88" s="434" t="s">
        <v>2582</v>
      </c>
      <c r="G88" s="44" t="s">
        <v>217</v>
      </c>
      <c r="H88" s="441" t="s">
        <v>2583</v>
      </c>
      <c r="I88" s="426" t="s">
        <v>2584</v>
      </c>
    </row>
    <row r="89" spans="1:9" ht="72" customHeight="1" x14ac:dyDescent="0.45">
      <c r="A89" s="77" t="s">
        <v>2128</v>
      </c>
      <c r="B89" s="72" t="s">
        <v>2129</v>
      </c>
      <c r="C89" s="70" t="s">
        <v>2126</v>
      </c>
      <c r="D89" s="447" t="s">
        <v>253</v>
      </c>
      <c r="E89" s="443" t="s">
        <v>2581</v>
      </c>
      <c r="F89" s="74" t="s">
        <v>2582</v>
      </c>
      <c r="G89" s="70" t="s">
        <v>217</v>
      </c>
      <c r="H89" s="75" t="s">
        <v>2583</v>
      </c>
      <c r="I89" s="77" t="s">
        <v>2584</v>
      </c>
    </row>
    <row r="90" spans="1:9" ht="72" customHeight="1" x14ac:dyDescent="0.45">
      <c r="A90" s="426" t="s">
        <v>2052</v>
      </c>
      <c r="B90" s="45" t="s">
        <v>2047</v>
      </c>
      <c r="C90" s="44" t="s">
        <v>2050</v>
      </c>
      <c r="D90" s="447" t="s">
        <v>253</v>
      </c>
      <c r="E90" s="440" t="s">
        <v>2581</v>
      </c>
      <c r="F90" s="434" t="s">
        <v>2582</v>
      </c>
      <c r="G90" s="44" t="s">
        <v>217</v>
      </c>
      <c r="H90" s="441" t="s">
        <v>2583</v>
      </c>
      <c r="I90" s="426" t="s">
        <v>2584</v>
      </c>
    </row>
    <row r="91" spans="1:9" ht="72" customHeight="1" x14ac:dyDescent="0.45">
      <c r="A91" s="313" t="s">
        <v>2040</v>
      </c>
      <c r="B91" s="304" t="s">
        <v>2041</v>
      </c>
      <c r="C91" s="303" t="s">
        <v>2038</v>
      </c>
      <c r="D91" s="447" t="s">
        <v>253</v>
      </c>
      <c r="E91" s="452" t="s">
        <v>2581</v>
      </c>
      <c r="F91" s="309" t="s">
        <v>2582</v>
      </c>
      <c r="G91" s="303" t="s">
        <v>217</v>
      </c>
      <c r="H91" s="310" t="s">
        <v>2583</v>
      </c>
      <c r="I91" s="313" t="s">
        <v>2584</v>
      </c>
    </row>
    <row r="92" spans="1:9" ht="72" customHeight="1" x14ac:dyDescent="0.45">
      <c r="A92" s="426" t="s">
        <v>2143</v>
      </c>
      <c r="B92" s="45" t="s">
        <v>2144</v>
      </c>
      <c r="C92" s="44" t="s">
        <v>2141</v>
      </c>
      <c r="D92" s="447" t="s">
        <v>253</v>
      </c>
      <c r="E92" s="440" t="s">
        <v>2581</v>
      </c>
      <c r="F92" s="434" t="s">
        <v>2582</v>
      </c>
      <c r="G92" s="44" t="s">
        <v>217</v>
      </c>
      <c r="H92" s="441" t="s">
        <v>2583</v>
      </c>
      <c r="I92" s="426" t="s">
        <v>2584</v>
      </c>
    </row>
    <row r="93" spans="1:9" ht="72" customHeight="1" x14ac:dyDescent="0.45">
      <c r="A93" s="313" t="s">
        <v>2056</v>
      </c>
      <c r="B93" s="304" t="s">
        <v>2057</v>
      </c>
      <c r="C93" s="303" t="s">
        <v>2054</v>
      </c>
      <c r="D93" s="447" t="s">
        <v>253</v>
      </c>
      <c r="E93" s="452" t="s">
        <v>2581</v>
      </c>
      <c r="F93" s="309" t="s">
        <v>2582</v>
      </c>
      <c r="G93" s="303" t="s">
        <v>217</v>
      </c>
      <c r="H93" s="310" t="s">
        <v>2583</v>
      </c>
      <c r="I93" s="313" t="s">
        <v>2584</v>
      </c>
    </row>
    <row r="94" spans="1:9" ht="72" customHeight="1" x14ac:dyDescent="0.45">
      <c r="A94" s="426" t="s">
        <v>2158</v>
      </c>
      <c r="B94" s="45" t="s">
        <v>2159</v>
      </c>
      <c r="C94" s="44" t="s">
        <v>2156</v>
      </c>
      <c r="D94" s="447" t="s">
        <v>253</v>
      </c>
      <c r="E94" s="440" t="s">
        <v>2581</v>
      </c>
      <c r="F94" s="434" t="s">
        <v>2582</v>
      </c>
      <c r="G94" s="44" t="s">
        <v>217</v>
      </c>
      <c r="H94" s="441" t="s">
        <v>2583</v>
      </c>
      <c r="I94" s="426" t="s">
        <v>2584</v>
      </c>
    </row>
    <row r="95" spans="1:9" ht="72" customHeight="1" x14ac:dyDescent="0.45">
      <c r="A95" s="313" t="s">
        <v>2046</v>
      </c>
      <c r="B95" s="304" t="s">
        <v>2047</v>
      </c>
      <c r="C95" s="303" t="s">
        <v>2044</v>
      </c>
      <c r="D95" s="447" t="s">
        <v>253</v>
      </c>
      <c r="E95" s="452" t="s">
        <v>2581</v>
      </c>
      <c r="F95" s="309" t="s">
        <v>2582</v>
      </c>
      <c r="G95" s="303" t="s">
        <v>217</v>
      </c>
      <c r="H95" s="310" t="s">
        <v>2583</v>
      </c>
      <c r="I95" s="313" t="s">
        <v>2584</v>
      </c>
    </row>
    <row r="96" spans="1:9" ht="72" customHeight="1" x14ac:dyDescent="0.45">
      <c r="A96" s="426" t="s">
        <v>1998</v>
      </c>
      <c r="B96" s="45" t="s">
        <v>1999</v>
      </c>
      <c r="C96" s="44" t="s">
        <v>1996</v>
      </c>
      <c r="D96" s="447" t="s">
        <v>253</v>
      </c>
      <c r="E96" s="440" t="s">
        <v>2581</v>
      </c>
      <c r="F96" s="434" t="s">
        <v>2582</v>
      </c>
      <c r="G96" s="44" t="s">
        <v>217</v>
      </c>
      <c r="H96" s="441" t="s">
        <v>2583</v>
      </c>
      <c r="I96" s="426" t="s">
        <v>2584</v>
      </c>
    </row>
    <row r="97" spans="1:9" ht="72" customHeight="1" x14ac:dyDescent="0.45">
      <c r="A97" s="198" t="s">
        <v>1653</v>
      </c>
      <c r="B97" s="192" t="s">
        <v>1654</v>
      </c>
      <c r="C97" s="190" t="s">
        <v>1651</v>
      </c>
      <c r="D97" s="447" t="s">
        <v>253</v>
      </c>
      <c r="E97" s="445" t="s">
        <v>2581</v>
      </c>
      <c r="F97" s="194" t="s">
        <v>2582</v>
      </c>
      <c r="G97" s="190" t="s">
        <v>217</v>
      </c>
      <c r="H97" s="195" t="s">
        <v>2583</v>
      </c>
      <c r="I97" s="198" t="s">
        <v>2584</v>
      </c>
    </row>
    <row r="98" spans="1:9" ht="72" customHeight="1" x14ac:dyDescent="0.45">
      <c r="A98" s="426" t="s">
        <v>1668</v>
      </c>
      <c r="B98" s="45" t="s">
        <v>1669</v>
      </c>
      <c r="C98" s="44" t="s">
        <v>1651</v>
      </c>
      <c r="D98" s="447" t="s">
        <v>253</v>
      </c>
      <c r="E98" s="440" t="s">
        <v>2581</v>
      </c>
      <c r="F98" s="434" t="s">
        <v>2582</v>
      </c>
      <c r="G98" s="44" t="s">
        <v>217</v>
      </c>
      <c r="H98" s="441" t="s">
        <v>2583</v>
      </c>
      <c r="I98" s="426" t="s">
        <v>2584</v>
      </c>
    </row>
    <row r="99" spans="1:9" ht="72" customHeight="1" x14ac:dyDescent="0.45">
      <c r="A99" s="198" t="s">
        <v>1661</v>
      </c>
      <c r="B99" s="192" t="s">
        <v>1662</v>
      </c>
      <c r="C99" s="190" t="s">
        <v>1651</v>
      </c>
      <c r="D99" s="447" t="s">
        <v>253</v>
      </c>
      <c r="E99" s="445" t="s">
        <v>2581</v>
      </c>
      <c r="F99" s="194" t="s">
        <v>2582</v>
      </c>
      <c r="G99" s="190" t="s">
        <v>217</v>
      </c>
      <c r="H99" s="195" t="s">
        <v>2583</v>
      </c>
      <c r="I99" s="198" t="s">
        <v>2584</v>
      </c>
    </row>
    <row r="100" spans="1:9" ht="72" customHeight="1" x14ac:dyDescent="0.45">
      <c r="A100" s="426" t="s">
        <v>1824</v>
      </c>
      <c r="B100" s="45" t="s">
        <v>1825</v>
      </c>
      <c r="C100" s="44" t="s">
        <v>1822</v>
      </c>
      <c r="D100" s="447" t="s">
        <v>253</v>
      </c>
      <c r="E100" s="440" t="s">
        <v>2581</v>
      </c>
      <c r="F100" s="434" t="s">
        <v>2582</v>
      </c>
      <c r="G100" s="44" t="s">
        <v>217</v>
      </c>
      <c r="H100" s="441" t="s">
        <v>2583</v>
      </c>
      <c r="I100" s="426" t="s">
        <v>2584</v>
      </c>
    </row>
    <row r="101" spans="1:9" ht="72" customHeight="1" x14ac:dyDescent="0.45">
      <c r="A101" s="198" t="s">
        <v>1786</v>
      </c>
      <c r="B101" s="192" t="s">
        <v>1787</v>
      </c>
      <c r="C101" s="190" t="s">
        <v>1784</v>
      </c>
      <c r="D101" s="447" t="s">
        <v>253</v>
      </c>
      <c r="E101" s="445" t="s">
        <v>2581</v>
      </c>
      <c r="F101" s="194" t="s">
        <v>2582</v>
      </c>
      <c r="G101" s="190" t="s">
        <v>217</v>
      </c>
      <c r="H101" s="195" t="s">
        <v>2583</v>
      </c>
      <c r="I101" s="198" t="s">
        <v>2584</v>
      </c>
    </row>
    <row r="102" spans="1:9" ht="72" customHeight="1" x14ac:dyDescent="0.45">
      <c r="A102" s="426" t="s">
        <v>1563</v>
      </c>
      <c r="B102" s="45" t="s">
        <v>1564</v>
      </c>
      <c r="C102" s="44" t="s">
        <v>1560</v>
      </c>
      <c r="D102" s="447" t="s">
        <v>253</v>
      </c>
      <c r="E102" s="440" t="s">
        <v>2581</v>
      </c>
      <c r="F102" s="434" t="s">
        <v>2582</v>
      </c>
      <c r="G102" s="44" t="s">
        <v>217</v>
      </c>
      <c r="H102" s="441" t="s">
        <v>2583</v>
      </c>
      <c r="I102" s="426" t="s">
        <v>2584</v>
      </c>
    </row>
    <row r="103" spans="1:9" ht="72" customHeight="1" x14ac:dyDescent="0.45">
      <c r="A103" s="198" t="s">
        <v>1619</v>
      </c>
      <c r="B103" s="192" t="s">
        <v>1620</v>
      </c>
      <c r="C103" s="190" t="s">
        <v>1560</v>
      </c>
      <c r="D103" s="447" t="s">
        <v>253</v>
      </c>
      <c r="E103" s="445" t="s">
        <v>2581</v>
      </c>
      <c r="F103" s="194" t="s">
        <v>2582</v>
      </c>
      <c r="G103" s="190" t="s">
        <v>217</v>
      </c>
      <c r="H103" s="195" t="s">
        <v>2583</v>
      </c>
      <c r="I103" s="198" t="s">
        <v>2584</v>
      </c>
    </row>
    <row r="104" spans="1:9" ht="72" customHeight="1" x14ac:dyDescent="0.45">
      <c r="A104" s="426" t="s">
        <v>1860</v>
      </c>
      <c r="B104" s="45" t="s">
        <v>1861</v>
      </c>
      <c r="C104" s="44" t="s">
        <v>1858</v>
      </c>
      <c r="D104" s="447" t="s">
        <v>253</v>
      </c>
      <c r="E104" s="440" t="s">
        <v>2581</v>
      </c>
      <c r="F104" s="434" t="s">
        <v>2582</v>
      </c>
      <c r="G104" s="44" t="s">
        <v>217</v>
      </c>
      <c r="H104" s="441" t="s">
        <v>2583</v>
      </c>
      <c r="I104" s="426" t="s">
        <v>2584</v>
      </c>
    </row>
    <row r="105" spans="1:9" ht="72" customHeight="1" x14ac:dyDescent="0.45">
      <c r="A105" s="198" t="s">
        <v>1868</v>
      </c>
      <c r="B105" s="192" t="s">
        <v>1869</v>
      </c>
      <c r="C105" s="190" t="s">
        <v>1866</v>
      </c>
      <c r="D105" s="447" t="s">
        <v>253</v>
      </c>
      <c r="E105" s="445" t="s">
        <v>2581</v>
      </c>
      <c r="F105" s="194" t="s">
        <v>2582</v>
      </c>
      <c r="G105" s="190" t="s">
        <v>217</v>
      </c>
      <c r="H105" s="195" t="s">
        <v>2583</v>
      </c>
      <c r="I105" s="198" t="s">
        <v>2584</v>
      </c>
    </row>
    <row r="106" spans="1:9" ht="72" customHeight="1" x14ac:dyDescent="0.45">
      <c r="A106" s="426" t="s">
        <v>2163</v>
      </c>
      <c r="B106" s="45" t="s">
        <v>2164</v>
      </c>
      <c r="C106" s="44" t="s">
        <v>2161</v>
      </c>
      <c r="D106" s="447" t="s">
        <v>253</v>
      </c>
      <c r="E106" s="440" t="s">
        <v>2581</v>
      </c>
      <c r="F106" s="434" t="s">
        <v>2582</v>
      </c>
      <c r="G106" s="44" t="s">
        <v>217</v>
      </c>
      <c r="H106" s="441" t="s">
        <v>2583</v>
      </c>
      <c r="I106" s="426" t="s">
        <v>2584</v>
      </c>
    </row>
    <row r="107" spans="1:9" ht="72" customHeight="1" x14ac:dyDescent="0.45">
      <c r="A107" s="198" t="s">
        <v>1809</v>
      </c>
      <c r="B107" s="192" t="s">
        <v>1810</v>
      </c>
      <c r="C107" s="190" t="s">
        <v>1807</v>
      </c>
      <c r="D107" s="447" t="s">
        <v>253</v>
      </c>
      <c r="E107" s="445" t="s">
        <v>2581</v>
      </c>
      <c r="F107" s="194" t="s">
        <v>2582</v>
      </c>
      <c r="G107" s="190" t="s">
        <v>217</v>
      </c>
      <c r="H107" s="195" t="s">
        <v>2583</v>
      </c>
      <c r="I107" s="198" t="s">
        <v>2584</v>
      </c>
    </row>
    <row r="108" spans="1:9" ht="72" customHeight="1" x14ac:dyDescent="0.45">
      <c r="A108" s="426" t="s">
        <v>1846</v>
      </c>
      <c r="B108" s="45" t="s">
        <v>1847</v>
      </c>
      <c r="C108" s="44" t="s">
        <v>1844</v>
      </c>
      <c r="D108" s="447" t="s">
        <v>253</v>
      </c>
      <c r="E108" s="440" t="s">
        <v>2581</v>
      </c>
      <c r="F108" s="434" t="s">
        <v>2582</v>
      </c>
      <c r="G108" s="44" t="s">
        <v>217</v>
      </c>
      <c r="H108" s="441" t="s">
        <v>2583</v>
      </c>
      <c r="I108" s="426" t="s">
        <v>2584</v>
      </c>
    </row>
    <row r="109" spans="1:9" ht="72" customHeight="1" x14ac:dyDescent="0.45">
      <c r="A109" s="198" t="s">
        <v>1763</v>
      </c>
      <c r="B109" s="192" t="s">
        <v>1764</v>
      </c>
      <c r="C109" s="190" t="s">
        <v>1761</v>
      </c>
      <c r="D109" s="447" t="s">
        <v>253</v>
      </c>
      <c r="E109" s="445" t="s">
        <v>2581</v>
      </c>
      <c r="F109" s="194" t="s">
        <v>2582</v>
      </c>
      <c r="G109" s="190" t="s">
        <v>217</v>
      </c>
      <c r="H109" s="195" t="s">
        <v>2583</v>
      </c>
      <c r="I109" s="198" t="s">
        <v>2584</v>
      </c>
    </row>
    <row r="110" spans="1:9" ht="72" customHeight="1" x14ac:dyDescent="0.45">
      <c r="A110" s="426" t="s">
        <v>2006</v>
      </c>
      <c r="B110" s="45" t="s">
        <v>2007</v>
      </c>
      <c r="C110" s="44" t="s">
        <v>2003</v>
      </c>
      <c r="D110" s="447" t="s">
        <v>253</v>
      </c>
      <c r="E110" s="440" t="s">
        <v>2581</v>
      </c>
      <c r="F110" s="434" t="s">
        <v>2582</v>
      </c>
      <c r="G110" s="44" t="s">
        <v>217</v>
      </c>
      <c r="H110" s="441" t="s">
        <v>2583</v>
      </c>
      <c r="I110" s="426" t="s">
        <v>2584</v>
      </c>
    </row>
    <row r="111" spans="1:9" ht="72" customHeight="1" x14ac:dyDescent="0.45">
      <c r="A111" s="198" t="s">
        <v>1802</v>
      </c>
      <c r="B111" s="192" t="s">
        <v>1803</v>
      </c>
      <c r="C111" s="190" t="s">
        <v>1800</v>
      </c>
      <c r="D111" s="447" t="s">
        <v>253</v>
      </c>
      <c r="E111" s="445" t="s">
        <v>2581</v>
      </c>
      <c r="F111" s="194" t="s">
        <v>2582</v>
      </c>
      <c r="G111" s="190" t="s">
        <v>217</v>
      </c>
      <c r="H111" s="195" t="s">
        <v>2583</v>
      </c>
      <c r="I111" s="198" t="s">
        <v>2584</v>
      </c>
    </row>
    <row r="112" spans="1:9" ht="72" customHeight="1" x14ac:dyDescent="0.45">
      <c r="A112" s="426" t="s">
        <v>1816</v>
      </c>
      <c r="B112" s="45" t="s">
        <v>1817</v>
      </c>
      <c r="C112" s="44" t="s">
        <v>1814</v>
      </c>
      <c r="D112" s="447" t="s">
        <v>253</v>
      </c>
      <c r="E112" s="440" t="s">
        <v>2581</v>
      </c>
      <c r="F112" s="434" t="s">
        <v>2582</v>
      </c>
      <c r="G112" s="44" t="s">
        <v>217</v>
      </c>
      <c r="H112" s="441" t="s">
        <v>2583</v>
      </c>
      <c r="I112" s="426" t="s">
        <v>2584</v>
      </c>
    </row>
    <row r="113" spans="1:9" ht="72" customHeight="1" x14ac:dyDescent="0.45">
      <c r="A113" s="198" t="s">
        <v>1755</v>
      </c>
      <c r="B113" s="192" t="s">
        <v>1756</v>
      </c>
      <c r="C113" s="190" t="s">
        <v>1753</v>
      </c>
      <c r="D113" s="447" t="s">
        <v>253</v>
      </c>
      <c r="E113" s="445" t="s">
        <v>2581</v>
      </c>
      <c r="F113" s="194" t="s">
        <v>2582</v>
      </c>
      <c r="G113" s="190" t="s">
        <v>217</v>
      </c>
      <c r="H113" s="195" t="s">
        <v>2583</v>
      </c>
      <c r="I113" s="198" t="s">
        <v>2584</v>
      </c>
    </row>
    <row r="114" spans="1:9" ht="72" customHeight="1" x14ac:dyDescent="0.45">
      <c r="A114" s="426" t="s">
        <v>1743</v>
      </c>
      <c r="B114" s="45" t="s">
        <v>1744</v>
      </c>
      <c r="C114" s="44" t="s">
        <v>1741</v>
      </c>
      <c r="D114" s="447" t="s">
        <v>253</v>
      </c>
      <c r="E114" s="440" t="s">
        <v>2581</v>
      </c>
      <c r="F114" s="434" t="s">
        <v>2582</v>
      </c>
      <c r="G114" s="44" t="s">
        <v>217</v>
      </c>
      <c r="H114" s="441" t="s">
        <v>2583</v>
      </c>
      <c r="I114" s="426" t="s">
        <v>2584</v>
      </c>
    </row>
    <row r="115" spans="1:9" ht="72" customHeight="1" x14ac:dyDescent="0.45">
      <c r="A115" s="198" t="s">
        <v>1771</v>
      </c>
      <c r="B115" s="192" t="s">
        <v>1772</v>
      </c>
      <c r="C115" s="190" t="s">
        <v>1769</v>
      </c>
      <c r="D115" s="447" t="s">
        <v>253</v>
      </c>
      <c r="E115" s="445" t="s">
        <v>2581</v>
      </c>
      <c r="F115" s="194" t="s">
        <v>2582</v>
      </c>
      <c r="G115" s="190" t="s">
        <v>217</v>
      </c>
      <c r="H115" s="195" t="s">
        <v>2583</v>
      </c>
      <c r="I115" s="198" t="s">
        <v>2584</v>
      </c>
    </row>
    <row r="116" spans="1:9" ht="72" customHeight="1" x14ac:dyDescent="0.45">
      <c r="A116" s="426" t="s">
        <v>1626</v>
      </c>
      <c r="B116" s="45" t="s">
        <v>1627</v>
      </c>
      <c r="C116" s="44" t="s">
        <v>1624</v>
      </c>
      <c r="D116" s="447" t="s">
        <v>253</v>
      </c>
      <c r="E116" s="440" t="s">
        <v>2581</v>
      </c>
      <c r="F116" s="434" t="s">
        <v>2582</v>
      </c>
      <c r="G116" s="44" t="s">
        <v>217</v>
      </c>
      <c r="H116" s="441" t="s">
        <v>2583</v>
      </c>
      <c r="I116" s="426" t="s">
        <v>2584</v>
      </c>
    </row>
    <row r="117" spans="1:9" ht="72" customHeight="1" x14ac:dyDescent="0.45">
      <c r="A117" s="198" t="s">
        <v>1636</v>
      </c>
      <c r="B117" s="192" t="s">
        <v>1637</v>
      </c>
      <c r="C117" s="190" t="s">
        <v>1624</v>
      </c>
      <c r="D117" s="447" t="s">
        <v>253</v>
      </c>
      <c r="E117" s="445" t="s">
        <v>2581</v>
      </c>
      <c r="F117" s="194" t="s">
        <v>2582</v>
      </c>
      <c r="G117" s="190" t="s">
        <v>217</v>
      </c>
      <c r="H117" s="195" t="s">
        <v>2583</v>
      </c>
      <c r="I117" s="198" t="s">
        <v>2584</v>
      </c>
    </row>
    <row r="118" spans="1:9" ht="72" customHeight="1" x14ac:dyDescent="0.45">
      <c r="A118" s="426" t="s">
        <v>1839</v>
      </c>
      <c r="B118" s="45" t="s">
        <v>1840</v>
      </c>
      <c r="C118" s="44" t="s">
        <v>1837</v>
      </c>
      <c r="D118" s="447" t="s">
        <v>253</v>
      </c>
      <c r="E118" s="440" t="s">
        <v>2581</v>
      </c>
      <c r="F118" s="434" t="s">
        <v>2582</v>
      </c>
      <c r="G118" s="44" t="s">
        <v>217</v>
      </c>
      <c r="H118" s="441" t="s">
        <v>2583</v>
      </c>
      <c r="I118" s="426" t="s">
        <v>2584</v>
      </c>
    </row>
    <row r="119" spans="1:9" ht="72" customHeight="1" x14ac:dyDescent="0.45">
      <c r="A119" s="198" t="s">
        <v>1889</v>
      </c>
      <c r="B119" s="192" t="s">
        <v>1890</v>
      </c>
      <c r="C119" s="190" t="s">
        <v>1887</v>
      </c>
      <c r="D119" s="447" t="s">
        <v>253</v>
      </c>
      <c r="E119" s="445" t="s">
        <v>2581</v>
      </c>
      <c r="F119" s="194" t="s">
        <v>2582</v>
      </c>
      <c r="G119" s="190" t="s">
        <v>217</v>
      </c>
      <c r="H119" s="195" t="s">
        <v>2583</v>
      </c>
      <c r="I119" s="198" t="s">
        <v>2584</v>
      </c>
    </row>
    <row r="120" spans="1:9" ht="72" customHeight="1" x14ac:dyDescent="0.45">
      <c r="A120" s="426" t="s">
        <v>1831</v>
      </c>
      <c r="B120" s="45" t="s">
        <v>1832</v>
      </c>
      <c r="C120" s="44" t="s">
        <v>1829</v>
      </c>
      <c r="D120" s="447" t="s">
        <v>253</v>
      </c>
      <c r="E120" s="440" t="s">
        <v>2581</v>
      </c>
      <c r="F120" s="434" t="s">
        <v>2582</v>
      </c>
      <c r="G120" s="44" t="s">
        <v>217</v>
      </c>
      <c r="H120" s="441" t="s">
        <v>2583</v>
      </c>
      <c r="I120" s="426" t="s">
        <v>2584</v>
      </c>
    </row>
    <row r="121" spans="1:9" ht="72" customHeight="1" x14ac:dyDescent="0.45">
      <c r="A121" s="198" t="s">
        <v>1853</v>
      </c>
      <c r="B121" s="192" t="s">
        <v>1854</v>
      </c>
      <c r="C121" s="190" t="s">
        <v>1851</v>
      </c>
      <c r="D121" s="447" t="s">
        <v>253</v>
      </c>
      <c r="E121" s="445" t="s">
        <v>2581</v>
      </c>
      <c r="F121" s="194" t="s">
        <v>2582</v>
      </c>
      <c r="G121" s="190" t="s">
        <v>217</v>
      </c>
      <c r="H121" s="195" t="s">
        <v>2583</v>
      </c>
      <c r="I121" s="198" t="s">
        <v>2584</v>
      </c>
    </row>
    <row r="122" spans="1:9" ht="72" customHeight="1" x14ac:dyDescent="0.45">
      <c r="A122" s="426" t="s">
        <v>1778</v>
      </c>
      <c r="B122" s="45" t="s">
        <v>1779</v>
      </c>
      <c r="C122" s="44" t="s">
        <v>1776</v>
      </c>
      <c r="D122" s="447" t="s">
        <v>253</v>
      </c>
      <c r="E122" s="440" t="s">
        <v>2581</v>
      </c>
      <c r="F122" s="434" t="s">
        <v>2582</v>
      </c>
      <c r="G122" s="44" t="s">
        <v>217</v>
      </c>
      <c r="H122" s="441" t="s">
        <v>2583</v>
      </c>
      <c r="I122" s="426" t="s">
        <v>2584</v>
      </c>
    </row>
    <row r="123" spans="1:9" ht="72" customHeight="1" x14ac:dyDescent="0.45">
      <c r="A123" s="198" t="s">
        <v>1875</v>
      </c>
      <c r="B123" s="192" t="s">
        <v>1876</v>
      </c>
      <c r="C123" s="190" t="s">
        <v>1873</v>
      </c>
      <c r="D123" s="447" t="s">
        <v>253</v>
      </c>
      <c r="E123" s="445" t="s">
        <v>2581</v>
      </c>
      <c r="F123" s="194" t="s">
        <v>2582</v>
      </c>
      <c r="G123" s="190" t="s">
        <v>217</v>
      </c>
      <c r="H123" s="195" t="s">
        <v>2583</v>
      </c>
      <c r="I123" s="198" t="s">
        <v>2584</v>
      </c>
    </row>
    <row r="124" spans="1:9" ht="72" customHeight="1" x14ac:dyDescent="0.45">
      <c r="A124" s="426" t="s">
        <v>1794</v>
      </c>
      <c r="B124" s="45" t="s">
        <v>1795</v>
      </c>
      <c r="C124" s="44" t="s">
        <v>1792</v>
      </c>
      <c r="D124" s="447" t="s">
        <v>253</v>
      </c>
      <c r="E124" s="440" t="s">
        <v>2581</v>
      </c>
      <c r="F124" s="434" t="s">
        <v>2582</v>
      </c>
      <c r="G124" s="44" t="s">
        <v>217</v>
      </c>
      <c r="H124" s="441" t="s">
        <v>2583</v>
      </c>
      <c r="I124" s="426" t="s">
        <v>2584</v>
      </c>
    </row>
    <row r="125" spans="1:9" ht="72" customHeight="1" x14ac:dyDescent="0.45">
      <c r="A125" s="198" t="s">
        <v>1882</v>
      </c>
      <c r="B125" s="192" t="s">
        <v>1883</v>
      </c>
      <c r="C125" s="190" t="s">
        <v>1880</v>
      </c>
      <c r="D125" s="447" t="s">
        <v>253</v>
      </c>
      <c r="E125" s="445" t="s">
        <v>2581</v>
      </c>
      <c r="F125" s="194" t="s">
        <v>2582</v>
      </c>
      <c r="G125" s="190" t="s">
        <v>217</v>
      </c>
      <c r="H125" s="195" t="s">
        <v>2583</v>
      </c>
      <c r="I125" s="198" t="s">
        <v>2584</v>
      </c>
    </row>
    <row r="126" spans="1:9" ht="72" customHeight="1" x14ac:dyDescent="0.45">
      <c r="A126" s="426" t="s">
        <v>2070</v>
      </c>
      <c r="B126" s="45" t="s">
        <v>2071</v>
      </c>
      <c r="C126" s="44" t="s">
        <v>2068</v>
      </c>
      <c r="D126" s="447" t="s">
        <v>253</v>
      </c>
      <c r="E126" s="440" t="s">
        <v>2581</v>
      </c>
      <c r="F126" s="434" t="s">
        <v>2582</v>
      </c>
      <c r="G126" s="44" t="s">
        <v>217</v>
      </c>
      <c r="H126" s="441" t="s">
        <v>2583</v>
      </c>
      <c r="I126" s="426" t="s">
        <v>2584</v>
      </c>
    </row>
    <row r="127" spans="1:9" ht="72" customHeight="1" x14ac:dyDescent="0.45">
      <c r="A127" s="33" t="s">
        <v>359</v>
      </c>
      <c r="B127" s="20" t="s">
        <v>360</v>
      </c>
      <c r="C127" s="19" t="s">
        <v>54</v>
      </c>
      <c r="D127" s="447" t="s">
        <v>253</v>
      </c>
      <c r="E127" s="444" t="s">
        <v>2581</v>
      </c>
      <c r="F127" s="29" t="s">
        <v>2582</v>
      </c>
      <c r="G127" s="19" t="s">
        <v>217</v>
      </c>
      <c r="H127" s="30" t="s">
        <v>2583</v>
      </c>
      <c r="I127" s="33" t="s">
        <v>2584</v>
      </c>
    </row>
    <row r="128" spans="1:9" ht="72" customHeight="1" x14ac:dyDescent="0.45">
      <c r="A128" s="426" t="s">
        <v>1985</v>
      </c>
      <c r="B128" s="45" t="s">
        <v>1986</v>
      </c>
      <c r="C128" s="44" t="s">
        <v>1982</v>
      </c>
      <c r="D128" s="447" t="s">
        <v>253</v>
      </c>
      <c r="E128" s="440" t="s">
        <v>2581</v>
      </c>
      <c r="F128" s="434" t="s">
        <v>2582</v>
      </c>
      <c r="G128" s="44" t="s">
        <v>217</v>
      </c>
      <c r="H128" s="441" t="s">
        <v>2583</v>
      </c>
      <c r="I128" s="426" t="s">
        <v>2584</v>
      </c>
    </row>
    <row r="129" spans="1:9" ht="72" customHeight="1" x14ac:dyDescent="0.45">
      <c r="A129" s="131" t="s">
        <v>2086</v>
      </c>
      <c r="B129" s="122" t="s">
        <v>2087</v>
      </c>
      <c r="C129" s="121" t="s">
        <v>2084</v>
      </c>
      <c r="D129" s="447" t="s">
        <v>253</v>
      </c>
      <c r="E129" s="442" t="s">
        <v>2581</v>
      </c>
      <c r="F129" s="127" t="s">
        <v>2582</v>
      </c>
      <c r="G129" s="121" t="s">
        <v>217</v>
      </c>
      <c r="H129" s="128" t="s">
        <v>2583</v>
      </c>
      <c r="I129" s="131" t="s">
        <v>2584</v>
      </c>
    </row>
    <row r="130" spans="1:9" ht="72" customHeight="1" x14ac:dyDescent="0.45">
      <c r="A130" s="426" t="s">
        <v>2098</v>
      </c>
      <c r="B130" s="45" t="s">
        <v>2099</v>
      </c>
      <c r="C130" s="44" t="s">
        <v>2095</v>
      </c>
      <c r="D130" s="447" t="s">
        <v>253</v>
      </c>
      <c r="E130" s="440" t="s">
        <v>2581</v>
      </c>
      <c r="F130" s="434" t="s">
        <v>2582</v>
      </c>
      <c r="G130" s="44" t="s">
        <v>217</v>
      </c>
      <c r="H130" s="441" t="s">
        <v>2583</v>
      </c>
      <c r="I130" s="426" t="s">
        <v>2584</v>
      </c>
    </row>
    <row r="131" spans="1:9" ht="72" customHeight="1" x14ac:dyDescent="0.45">
      <c r="A131" s="77" t="s">
        <v>2133</v>
      </c>
      <c r="B131" s="72" t="s">
        <v>2134</v>
      </c>
      <c r="C131" s="70" t="s">
        <v>2131</v>
      </c>
      <c r="D131" s="447" t="s">
        <v>253</v>
      </c>
      <c r="E131" s="443" t="s">
        <v>2581</v>
      </c>
      <c r="F131" s="74" t="s">
        <v>2582</v>
      </c>
      <c r="G131" s="70" t="s">
        <v>217</v>
      </c>
      <c r="H131" s="75" t="s">
        <v>2583</v>
      </c>
      <c r="I131" s="77" t="s">
        <v>2584</v>
      </c>
    </row>
    <row r="132" spans="1:9" ht="72" customHeight="1" x14ac:dyDescent="0.45">
      <c r="A132" s="426" t="s">
        <v>2123</v>
      </c>
      <c r="B132" s="45" t="s">
        <v>2124</v>
      </c>
      <c r="C132" s="44" t="s">
        <v>2121</v>
      </c>
      <c r="D132" s="447" t="s">
        <v>253</v>
      </c>
      <c r="E132" s="440" t="s">
        <v>2581</v>
      </c>
      <c r="F132" s="434" t="s">
        <v>2582</v>
      </c>
      <c r="G132" s="44" t="s">
        <v>217</v>
      </c>
      <c r="H132" s="441" t="s">
        <v>2583</v>
      </c>
      <c r="I132" s="426" t="s">
        <v>2584</v>
      </c>
    </row>
    <row r="133" spans="1:9" ht="72" customHeight="1" x14ac:dyDescent="0.45">
      <c r="A133" s="224" t="s">
        <v>1978</v>
      </c>
      <c r="B133" s="215" t="s">
        <v>1979</v>
      </c>
      <c r="C133" s="214" t="s">
        <v>1976</v>
      </c>
      <c r="D133" s="447" t="s">
        <v>253</v>
      </c>
      <c r="E133" s="449" t="s">
        <v>2581</v>
      </c>
      <c r="F133" s="220" t="s">
        <v>2582</v>
      </c>
      <c r="G133" s="214" t="s">
        <v>217</v>
      </c>
      <c r="H133" s="221" t="s">
        <v>2583</v>
      </c>
      <c r="I133" s="224" t="s">
        <v>2584</v>
      </c>
    </row>
    <row r="134" spans="1:9" ht="72" customHeight="1" x14ac:dyDescent="0.45">
      <c r="A134" s="426" t="s">
        <v>2077</v>
      </c>
      <c r="B134" s="45" t="s">
        <v>1610</v>
      </c>
      <c r="C134" s="44" t="s">
        <v>2074</v>
      </c>
      <c r="D134" s="447" t="s">
        <v>253</v>
      </c>
      <c r="E134" s="440" t="s">
        <v>2581</v>
      </c>
      <c r="F134" s="434" t="s">
        <v>2582</v>
      </c>
      <c r="G134" s="44" t="s">
        <v>217</v>
      </c>
      <c r="H134" s="441" t="s">
        <v>2583</v>
      </c>
      <c r="I134" s="426" t="s">
        <v>2584</v>
      </c>
    </row>
    <row r="135" spans="1:9" ht="72" customHeight="1" x14ac:dyDescent="0.45">
      <c r="A135" s="108" t="s">
        <v>1906</v>
      </c>
      <c r="B135" s="99" t="s">
        <v>1907</v>
      </c>
      <c r="C135" s="98" t="s">
        <v>1904</v>
      </c>
      <c r="D135" s="447" t="s">
        <v>253</v>
      </c>
      <c r="E135" s="451" t="s">
        <v>2581</v>
      </c>
      <c r="F135" s="104" t="s">
        <v>2582</v>
      </c>
      <c r="G135" s="98" t="s">
        <v>217</v>
      </c>
      <c r="H135" s="105" t="s">
        <v>2583</v>
      </c>
      <c r="I135" s="108" t="s">
        <v>2584</v>
      </c>
    </row>
    <row r="136" spans="1:9" ht="72" customHeight="1" x14ac:dyDescent="0.45">
      <c r="A136" s="426" t="s">
        <v>1896</v>
      </c>
      <c r="B136" s="45" t="s">
        <v>1897</v>
      </c>
      <c r="C136" s="44" t="s">
        <v>1894</v>
      </c>
      <c r="D136" s="447" t="s">
        <v>253</v>
      </c>
      <c r="E136" s="440" t="s">
        <v>2581</v>
      </c>
      <c r="F136" s="434" t="s">
        <v>2582</v>
      </c>
      <c r="G136" s="44" t="s">
        <v>217</v>
      </c>
      <c r="H136" s="441" t="s">
        <v>2583</v>
      </c>
      <c r="I136" s="426" t="s">
        <v>2584</v>
      </c>
    </row>
    <row r="137" spans="1:9" ht="72" customHeight="1" x14ac:dyDescent="0.45">
      <c r="A137" s="291" t="s">
        <v>2012</v>
      </c>
      <c r="B137" s="282" t="s">
        <v>2013</v>
      </c>
      <c r="C137" s="281" t="s">
        <v>2010</v>
      </c>
      <c r="D137" s="447" t="s">
        <v>253</v>
      </c>
      <c r="E137" s="453" t="s">
        <v>2581</v>
      </c>
      <c r="F137" s="287" t="s">
        <v>2582</v>
      </c>
      <c r="G137" s="281" t="s">
        <v>217</v>
      </c>
      <c r="H137" s="288" t="s">
        <v>2583</v>
      </c>
      <c r="I137" s="291" t="s">
        <v>2584</v>
      </c>
    </row>
    <row r="138" spans="1:9" ht="72" customHeight="1" x14ac:dyDescent="0.45">
      <c r="A138" s="426" t="s">
        <v>2113</v>
      </c>
      <c r="B138" s="45" t="s">
        <v>2114</v>
      </c>
      <c r="C138" s="44" t="s">
        <v>2111</v>
      </c>
      <c r="D138" s="447" t="s">
        <v>253</v>
      </c>
      <c r="E138" s="440" t="s">
        <v>2581</v>
      </c>
      <c r="F138" s="434" t="s">
        <v>2582</v>
      </c>
      <c r="G138" s="44" t="s">
        <v>217</v>
      </c>
      <c r="H138" s="441" t="s">
        <v>2583</v>
      </c>
      <c r="I138" s="426" t="s">
        <v>2584</v>
      </c>
    </row>
    <row r="139" spans="1:9" ht="72" customHeight="1" x14ac:dyDescent="0.45">
      <c r="A139" s="379" t="s">
        <v>2103</v>
      </c>
      <c r="B139" s="370" t="s">
        <v>2104</v>
      </c>
      <c r="C139" s="369" t="s">
        <v>2101</v>
      </c>
      <c r="D139" s="447" t="s">
        <v>253</v>
      </c>
      <c r="E139" s="448" t="s">
        <v>2581</v>
      </c>
      <c r="F139" s="375" t="s">
        <v>2582</v>
      </c>
      <c r="G139" s="369" t="s">
        <v>217</v>
      </c>
      <c r="H139" s="376" t="s">
        <v>2583</v>
      </c>
      <c r="I139" s="379" t="s">
        <v>2584</v>
      </c>
    </row>
    <row r="140" spans="1:9" ht="72" customHeight="1" x14ac:dyDescent="0.45">
      <c r="A140" s="426" t="s">
        <v>2081</v>
      </c>
      <c r="B140" s="45" t="s">
        <v>2082</v>
      </c>
      <c r="C140" s="44" t="s">
        <v>2079</v>
      </c>
      <c r="D140" s="447" t="s">
        <v>253</v>
      </c>
      <c r="E140" s="440" t="s">
        <v>2581</v>
      </c>
      <c r="F140" s="434" t="s">
        <v>2582</v>
      </c>
      <c r="G140" s="44" t="s">
        <v>217</v>
      </c>
      <c r="H140" s="441" t="s">
        <v>2583</v>
      </c>
      <c r="I140" s="426" t="s">
        <v>2584</v>
      </c>
    </row>
    <row r="141" spans="1:9" ht="72" customHeight="1" x14ac:dyDescent="0.45">
      <c r="A141" s="108" t="s">
        <v>1921</v>
      </c>
      <c r="B141" s="99" t="s">
        <v>1922</v>
      </c>
      <c r="C141" s="98" t="s">
        <v>1919</v>
      </c>
      <c r="D141" s="447" t="s">
        <v>253</v>
      </c>
      <c r="E141" s="451" t="s">
        <v>2581</v>
      </c>
      <c r="F141" s="104" t="s">
        <v>2582</v>
      </c>
      <c r="G141" s="98" t="s">
        <v>217</v>
      </c>
      <c r="H141" s="105" t="s">
        <v>2583</v>
      </c>
      <c r="I141" s="108" t="s">
        <v>2584</v>
      </c>
    </row>
    <row r="142" spans="1:9" ht="72" customHeight="1" x14ac:dyDescent="0.45">
      <c r="A142" s="426" t="s">
        <v>1946</v>
      </c>
      <c r="B142" s="45" t="s">
        <v>1947</v>
      </c>
      <c r="C142" s="44" t="s">
        <v>1944</v>
      </c>
      <c r="D142" s="447" t="s">
        <v>253</v>
      </c>
      <c r="E142" s="440" t="s">
        <v>2581</v>
      </c>
      <c r="F142" s="434" t="s">
        <v>2582</v>
      </c>
      <c r="G142" s="44" t="s">
        <v>217</v>
      </c>
      <c r="H142" s="441" t="s">
        <v>2583</v>
      </c>
      <c r="I142" s="426" t="s">
        <v>2584</v>
      </c>
    </row>
    <row r="143" spans="1:9" ht="72" customHeight="1" x14ac:dyDescent="0.45">
      <c r="A143" s="178" t="s">
        <v>1956</v>
      </c>
      <c r="B143" s="169" t="s">
        <v>1957</v>
      </c>
      <c r="C143" s="168" t="s">
        <v>1954</v>
      </c>
      <c r="D143" s="447" t="s">
        <v>253</v>
      </c>
      <c r="E143" s="446" t="s">
        <v>2581</v>
      </c>
      <c r="F143" s="174" t="s">
        <v>2582</v>
      </c>
      <c r="G143" s="168" t="s">
        <v>217</v>
      </c>
      <c r="H143" s="175" t="s">
        <v>2583</v>
      </c>
      <c r="I143" s="178" t="s">
        <v>2584</v>
      </c>
    </row>
    <row r="144" spans="1:9" ht="72" customHeight="1" x14ac:dyDescent="0.45">
      <c r="A144" s="426" t="s">
        <v>2022</v>
      </c>
      <c r="B144" s="45" t="s">
        <v>2023</v>
      </c>
      <c r="C144" s="44" t="s">
        <v>2020</v>
      </c>
      <c r="D144" s="447" t="s">
        <v>253</v>
      </c>
      <c r="E144" s="440" t="s">
        <v>2581</v>
      </c>
      <c r="F144" s="434" t="s">
        <v>2582</v>
      </c>
      <c r="G144" s="44" t="s">
        <v>217</v>
      </c>
      <c r="H144" s="441" t="s">
        <v>2583</v>
      </c>
      <c r="I144" s="426" t="s">
        <v>2584</v>
      </c>
    </row>
    <row r="145" spans="1:9" ht="72" customHeight="1" x14ac:dyDescent="0.45">
      <c r="A145" s="108" t="s">
        <v>1318</v>
      </c>
      <c r="B145" s="99" t="s">
        <v>1319</v>
      </c>
      <c r="C145" s="98" t="s">
        <v>1286</v>
      </c>
      <c r="D145" s="447" t="s">
        <v>253</v>
      </c>
      <c r="E145" s="451" t="s">
        <v>2581</v>
      </c>
      <c r="F145" s="104" t="s">
        <v>2582</v>
      </c>
      <c r="G145" s="98" t="s">
        <v>217</v>
      </c>
      <c r="H145" s="105" t="s">
        <v>2583</v>
      </c>
      <c r="I145" s="108" t="s">
        <v>2584</v>
      </c>
    </row>
    <row r="146" spans="1:9" ht="72" customHeight="1" x14ac:dyDescent="0.45">
      <c r="A146" s="426" t="s">
        <v>1327</v>
      </c>
      <c r="B146" s="45" t="s">
        <v>1328</v>
      </c>
      <c r="C146" s="44" t="s">
        <v>1286</v>
      </c>
      <c r="D146" s="447" t="s">
        <v>253</v>
      </c>
      <c r="E146" s="440" t="s">
        <v>2581</v>
      </c>
      <c r="F146" s="434" t="s">
        <v>2582</v>
      </c>
      <c r="G146" s="44" t="s">
        <v>217</v>
      </c>
      <c r="H146" s="441" t="s">
        <v>2583</v>
      </c>
      <c r="I146" s="426" t="s">
        <v>2584</v>
      </c>
    </row>
    <row r="147" spans="1:9" ht="72" customHeight="1" x14ac:dyDescent="0.45">
      <c r="A147" s="108" t="s">
        <v>1332</v>
      </c>
      <c r="B147" s="99" t="s">
        <v>1333</v>
      </c>
      <c r="C147" s="98" t="s">
        <v>1286</v>
      </c>
      <c r="D147" s="447" t="s">
        <v>253</v>
      </c>
      <c r="E147" s="451" t="s">
        <v>2581</v>
      </c>
      <c r="F147" s="104" t="s">
        <v>2582</v>
      </c>
      <c r="G147" s="98" t="s">
        <v>217</v>
      </c>
      <c r="H147" s="105" t="s">
        <v>2583</v>
      </c>
      <c r="I147" s="108" t="s">
        <v>2584</v>
      </c>
    </row>
    <row r="148" spans="1:9" ht="72" customHeight="1" x14ac:dyDescent="0.45">
      <c r="A148" s="426" t="s">
        <v>1547</v>
      </c>
      <c r="B148" s="45" t="s">
        <v>1548</v>
      </c>
      <c r="C148" s="44" t="s">
        <v>1510</v>
      </c>
      <c r="D148" s="447" t="s">
        <v>253</v>
      </c>
      <c r="E148" s="440" t="s">
        <v>2581</v>
      </c>
      <c r="F148" s="434" t="s">
        <v>2582</v>
      </c>
      <c r="G148" s="44" t="s">
        <v>217</v>
      </c>
      <c r="H148" s="441" t="s">
        <v>2583</v>
      </c>
      <c r="I148" s="426" t="s">
        <v>2584</v>
      </c>
    </row>
    <row r="149" spans="1:9" ht="72" customHeight="1" x14ac:dyDescent="0.45">
      <c r="A149" s="401" t="s">
        <v>2185</v>
      </c>
      <c r="B149" s="392" t="s">
        <v>2186</v>
      </c>
      <c r="C149" s="391" t="s">
        <v>2183</v>
      </c>
      <c r="D149" s="447" t="s">
        <v>253</v>
      </c>
      <c r="E149" s="454" t="s">
        <v>2581</v>
      </c>
      <c r="F149" s="397" t="s">
        <v>2582</v>
      </c>
      <c r="G149" s="391" t="s">
        <v>217</v>
      </c>
      <c r="H149" s="398" t="s">
        <v>2583</v>
      </c>
      <c r="I149" s="401" t="s">
        <v>2584</v>
      </c>
    </row>
    <row r="150" spans="1:9" ht="72" customHeight="1" x14ac:dyDescent="0.45">
      <c r="A150" s="426" t="s">
        <v>2153</v>
      </c>
      <c r="B150" s="45" t="s">
        <v>2154</v>
      </c>
      <c r="C150" s="44" t="s">
        <v>2151</v>
      </c>
      <c r="D150" s="447" t="s">
        <v>253</v>
      </c>
      <c r="E150" s="440" t="s">
        <v>2581</v>
      </c>
      <c r="F150" s="434" t="s">
        <v>2582</v>
      </c>
      <c r="G150" s="44" t="s">
        <v>217</v>
      </c>
      <c r="H150" s="441" t="s">
        <v>2583</v>
      </c>
      <c r="I150" s="426" t="s">
        <v>2584</v>
      </c>
    </row>
    <row r="151" spans="1:9" ht="72" customHeight="1" x14ac:dyDescent="0.45">
      <c r="A151" s="77" t="s">
        <v>1077</v>
      </c>
      <c r="B151" s="72" t="s">
        <v>1078</v>
      </c>
      <c r="C151" s="70" t="s">
        <v>1018</v>
      </c>
      <c r="D151" s="447" t="s">
        <v>253</v>
      </c>
      <c r="E151" s="443" t="s">
        <v>2581</v>
      </c>
      <c r="F151" s="74" t="s">
        <v>2582</v>
      </c>
      <c r="G151" s="70" t="s">
        <v>217</v>
      </c>
      <c r="H151" s="75" t="s">
        <v>2583</v>
      </c>
      <c r="I151" s="77" t="s">
        <v>2584</v>
      </c>
    </row>
    <row r="152" spans="1:9" ht="72" customHeight="1" x14ac:dyDescent="0.45">
      <c r="A152" s="426" t="s">
        <v>1066</v>
      </c>
      <c r="B152" s="45" t="s">
        <v>1067</v>
      </c>
      <c r="C152" s="44" t="s">
        <v>1018</v>
      </c>
      <c r="D152" s="447" t="s">
        <v>253</v>
      </c>
      <c r="E152" s="440" t="s">
        <v>2581</v>
      </c>
      <c r="F152" s="434" t="s">
        <v>2582</v>
      </c>
      <c r="G152" s="44" t="s">
        <v>217</v>
      </c>
      <c r="H152" s="441" t="s">
        <v>2583</v>
      </c>
      <c r="I152" s="426" t="s">
        <v>2584</v>
      </c>
    </row>
    <row r="153" spans="1:9" ht="72" customHeight="1" x14ac:dyDescent="0.45">
      <c r="A153" s="77" t="s">
        <v>1072</v>
      </c>
      <c r="B153" s="72" t="s">
        <v>1073</v>
      </c>
      <c r="C153" s="70" t="s">
        <v>1018</v>
      </c>
      <c r="D153" s="447" t="s">
        <v>253</v>
      </c>
      <c r="E153" s="443" t="s">
        <v>2581</v>
      </c>
      <c r="F153" s="74" t="s">
        <v>2582</v>
      </c>
      <c r="G153" s="70" t="s">
        <v>217</v>
      </c>
      <c r="H153" s="75" t="s">
        <v>2583</v>
      </c>
      <c r="I153" s="77" t="s">
        <v>2584</v>
      </c>
    </row>
    <row r="154" spans="1:9" ht="72" customHeight="1" x14ac:dyDescent="0.45">
      <c r="A154" s="426" t="s">
        <v>514</v>
      </c>
      <c r="B154" s="45" t="s">
        <v>515</v>
      </c>
      <c r="C154" s="44" t="s">
        <v>380</v>
      </c>
      <c r="D154" s="447" t="s">
        <v>253</v>
      </c>
      <c r="E154" s="440" t="s">
        <v>2581</v>
      </c>
      <c r="F154" s="434" t="s">
        <v>2582</v>
      </c>
      <c r="G154" s="44" t="s">
        <v>217</v>
      </c>
      <c r="H154" s="441" t="s">
        <v>2583</v>
      </c>
      <c r="I154" s="426" t="s">
        <v>2584</v>
      </c>
    </row>
    <row r="155" spans="1:9" ht="72" customHeight="1" x14ac:dyDescent="0.45">
      <c r="A155" s="33" t="s">
        <v>502</v>
      </c>
      <c r="B155" s="20" t="s">
        <v>503</v>
      </c>
      <c r="C155" s="19" t="s">
        <v>380</v>
      </c>
      <c r="D155" s="447" t="s">
        <v>253</v>
      </c>
      <c r="E155" s="444" t="s">
        <v>2581</v>
      </c>
      <c r="F155" s="29" t="s">
        <v>2582</v>
      </c>
      <c r="G155" s="19" t="s">
        <v>217</v>
      </c>
      <c r="H155" s="30" t="s">
        <v>2583</v>
      </c>
      <c r="I155" s="33" t="s">
        <v>2584</v>
      </c>
    </row>
    <row r="156" spans="1:9" ht="72" customHeight="1" x14ac:dyDescent="0.45">
      <c r="A156" s="426" t="s">
        <v>522</v>
      </c>
      <c r="B156" s="45" t="s">
        <v>523</v>
      </c>
      <c r="C156" s="44" t="s">
        <v>380</v>
      </c>
      <c r="D156" s="447" t="s">
        <v>253</v>
      </c>
      <c r="E156" s="440" t="s">
        <v>2581</v>
      </c>
      <c r="F156" s="434" t="s">
        <v>2582</v>
      </c>
      <c r="G156" s="44" t="s">
        <v>217</v>
      </c>
      <c r="H156" s="441" t="s">
        <v>2583</v>
      </c>
      <c r="I156" s="426" t="s">
        <v>2584</v>
      </c>
    </row>
    <row r="157" spans="1:9" ht="72" customHeight="1" x14ac:dyDescent="0.45">
      <c r="A157" s="77" t="s">
        <v>2148</v>
      </c>
      <c r="B157" s="72" t="s">
        <v>2149</v>
      </c>
      <c r="C157" s="70" t="s">
        <v>2146</v>
      </c>
      <c r="D157" s="447" t="s">
        <v>253</v>
      </c>
      <c r="E157" s="443" t="s">
        <v>2581</v>
      </c>
      <c r="F157" s="74" t="s">
        <v>2582</v>
      </c>
      <c r="G157" s="70" t="s">
        <v>217</v>
      </c>
      <c r="H157" s="75" t="s">
        <v>2583</v>
      </c>
      <c r="I157" s="77" t="s">
        <v>2584</v>
      </c>
    </row>
    <row r="158" spans="1:9" ht="72" customHeight="1" x14ac:dyDescent="0.45">
      <c r="A158" s="426" t="s">
        <v>1916</v>
      </c>
      <c r="B158" s="45" t="s">
        <v>1917</v>
      </c>
      <c r="C158" s="44" t="s">
        <v>1914</v>
      </c>
      <c r="D158" s="447" t="s">
        <v>253</v>
      </c>
      <c r="E158" s="440" t="s">
        <v>2581</v>
      </c>
      <c r="F158" s="434" t="s">
        <v>2582</v>
      </c>
      <c r="G158" s="44" t="s">
        <v>217</v>
      </c>
      <c r="H158" s="441" t="s">
        <v>2583</v>
      </c>
      <c r="I158" s="426" t="s">
        <v>2584</v>
      </c>
    </row>
    <row r="159" spans="1:9" ht="72" customHeight="1" x14ac:dyDescent="0.45">
      <c r="A159" s="77" t="s">
        <v>1229</v>
      </c>
      <c r="B159" s="72" t="s">
        <v>1230</v>
      </c>
      <c r="C159" s="70" t="s">
        <v>1196</v>
      </c>
      <c r="D159" s="447" t="s">
        <v>253</v>
      </c>
      <c r="E159" s="443" t="s">
        <v>2581</v>
      </c>
      <c r="F159" s="74" t="s">
        <v>2582</v>
      </c>
      <c r="G159" s="70" t="s">
        <v>217</v>
      </c>
      <c r="H159" s="75" t="s">
        <v>2583</v>
      </c>
      <c r="I159" s="77" t="s">
        <v>2584</v>
      </c>
    </row>
    <row r="160" spans="1:9" ht="72" customHeight="1" x14ac:dyDescent="0.45">
      <c r="A160" s="426" t="s">
        <v>2175</v>
      </c>
      <c r="B160" s="45" t="s">
        <v>2176</v>
      </c>
      <c r="C160" s="44" t="s">
        <v>2173</v>
      </c>
      <c r="D160" s="447" t="s">
        <v>253</v>
      </c>
      <c r="E160" s="440" t="s">
        <v>2581</v>
      </c>
      <c r="F160" s="434" t="s">
        <v>2582</v>
      </c>
      <c r="G160" s="44" t="s">
        <v>217</v>
      </c>
      <c r="H160" s="441" t="s">
        <v>2583</v>
      </c>
      <c r="I160" s="426" t="s">
        <v>2584</v>
      </c>
    </row>
    <row r="161" spans="1:9" ht="72" customHeight="1" x14ac:dyDescent="0.45">
      <c r="A161" s="108" t="s">
        <v>1911</v>
      </c>
      <c r="B161" s="99" t="s">
        <v>1912</v>
      </c>
      <c r="C161" s="98" t="s">
        <v>1909</v>
      </c>
      <c r="D161" s="447" t="s">
        <v>253</v>
      </c>
      <c r="E161" s="451" t="s">
        <v>2581</v>
      </c>
      <c r="F161" s="104" t="s">
        <v>2582</v>
      </c>
      <c r="G161" s="98" t="s">
        <v>217</v>
      </c>
      <c r="H161" s="105" t="s">
        <v>2583</v>
      </c>
      <c r="I161" s="108" t="s">
        <v>2584</v>
      </c>
    </row>
    <row r="162" spans="1:9" ht="72" customHeight="1" x14ac:dyDescent="0.45">
      <c r="A162" s="426" t="s">
        <v>1926</v>
      </c>
      <c r="B162" s="45" t="s">
        <v>1927</v>
      </c>
      <c r="C162" s="44" t="s">
        <v>1924</v>
      </c>
      <c r="D162" s="447" t="s">
        <v>253</v>
      </c>
      <c r="E162" s="440" t="s">
        <v>2581</v>
      </c>
      <c r="F162" s="434" t="s">
        <v>2582</v>
      </c>
      <c r="G162" s="44" t="s">
        <v>217</v>
      </c>
      <c r="H162" s="441" t="s">
        <v>2583</v>
      </c>
      <c r="I162" s="426" t="s">
        <v>2584</v>
      </c>
    </row>
    <row r="163" spans="1:9" ht="72" customHeight="1" x14ac:dyDescent="0.45">
      <c r="A163" s="131" t="s">
        <v>2091</v>
      </c>
      <c r="B163" s="122" t="s">
        <v>2092</v>
      </c>
      <c r="C163" s="121" t="s">
        <v>2089</v>
      </c>
      <c r="D163" s="447" t="s">
        <v>253</v>
      </c>
      <c r="E163" s="442" t="s">
        <v>2581</v>
      </c>
      <c r="F163" s="127" t="s">
        <v>2582</v>
      </c>
      <c r="G163" s="121" t="s">
        <v>217</v>
      </c>
      <c r="H163" s="128" t="s">
        <v>2583</v>
      </c>
      <c r="I163" s="131" t="s">
        <v>2584</v>
      </c>
    </row>
    <row r="164" spans="1:9" ht="72" customHeight="1" x14ac:dyDescent="0.45">
      <c r="A164" s="426" t="s">
        <v>2017</v>
      </c>
      <c r="B164" s="45" t="s">
        <v>2018</v>
      </c>
      <c r="C164" s="44" t="s">
        <v>2015</v>
      </c>
      <c r="D164" s="447" t="s">
        <v>253</v>
      </c>
      <c r="E164" s="440" t="s">
        <v>2581</v>
      </c>
      <c r="F164" s="434" t="s">
        <v>2582</v>
      </c>
      <c r="G164" s="44" t="s">
        <v>217</v>
      </c>
      <c r="H164" s="441" t="s">
        <v>2583</v>
      </c>
      <c r="I164" s="426" t="s">
        <v>2584</v>
      </c>
    </row>
    <row r="165" spans="1:9" ht="72" customHeight="1" x14ac:dyDescent="0.45">
      <c r="A165" s="224" t="s">
        <v>1973</v>
      </c>
      <c r="B165" s="215" t="s">
        <v>1974</v>
      </c>
      <c r="C165" s="214" t="s">
        <v>1971</v>
      </c>
      <c r="D165" s="447" t="s">
        <v>253</v>
      </c>
      <c r="E165" s="449" t="s">
        <v>2581</v>
      </c>
      <c r="F165" s="220" t="s">
        <v>2582</v>
      </c>
      <c r="G165" s="214" t="s">
        <v>217</v>
      </c>
      <c r="H165" s="221" t="s">
        <v>2583</v>
      </c>
      <c r="I165" s="224" t="s">
        <v>2584</v>
      </c>
    </row>
    <row r="166" spans="1:9" ht="72" customHeight="1" x14ac:dyDescent="0.45">
      <c r="A166" s="426" t="s">
        <v>247</v>
      </c>
      <c r="B166" s="45" t="s">
        <v>248</v>
      </c>
      <c r="C166" s="44" t="s">
        <v>54</v>
      </c>
      <c r="D166" s="447" t="s">
        <v>253</v>
      </c>
      <c r="E166" s="440" t="s">
        <v>2581</v>
      </c>
      <c r="F166" s="434" t="s">
        <v>2582</v>
      </c>
      <c r="G166" s="44" t="s">
        <v>217</v>
      </c>
      <c r="H166" s="441" t="s">
        <v>2583</v>
      </c>
      <c r="I166" s="426" t="s">
        <v>2584</v>
      </c>
    </row>
    <row r="167" spans="1:9" ht="72" customHeight="1" x14ac:dyDescent="0.45">
      <c r="A167" s="313" t="s">
        <v>2034</v>
      </c>
      <c r="B167" s="304" t="s">
        <v>2035</v>
      </c>
      <c r="C167" s="303" t="s">
        <v>2032</v>
      </c>
      <c r="D167" s="447" t="s">
        <v>253</v>
      </c>
      <c r="E167" s="452" t="s">
        <v>2581</v>
      </c>
      <c r="F167" s="309" t="s">
        <v>2582</v>
      </c>
      <c r="G167" s="303" t="s">
        <v>217</v>
      </c>
      <c r="H167" s="310" t="s">
        <v>2583</v>
      </c>
      <c r="I167" s="313" t="s">
        <v>2584</v>
      </c>
    </row>
    <row r="168" spans="1:9" ht="72" customHeight="1" x14ac:dyDescent="0.45">
      <c r="A168" s="426" t="s">
        <v>1936</v>
      </c>
      <c r="B168" s="45" t="s">
        <v>1937</v>
      </c>
      <c r="C168" s="44" t="s">
        <v>1934</v>
      </c>
      <c r="D168" s="447" t="s">
        <v>253</v>
      </c>
      <c r="E168" s="440" t="s">
        <v>2581</v>
      </c>
      <c r="F168" s="434" t="s">
        <v>2582</v>
      </c>
      <c r="G168" s="44" t="s">
        <v>217</v>
      </c>
      <c r="H168" s="441" t="s">
        <v>2583</v>
      </c>
      <c r="I168" s="426" t="s">
        <v>2584</v>
      </c>
    </row>
    <row r="169" spans="1:9" ht="72" customHeight="1" x14ac:dyDescent="0.45">
      <c r="A169" s="401" t="s">
        <v>2180</v>
      </c>
      <c r="B169" s="392" t="s">
        <v>2181</v>
      </c>
      <c r="C169" s="391" t="s">
        <v>2178</v>
      </c>
      <c r="D169" s="447" t="s">
        <v>253</v>
      </c>
      <c r="E169" s="454" t="s">
        <v>2581</v>
      </c>
      <c r="F169" s="397" t="s">
        <v>2582</v>
      </c>
      <c r="G169" s="391" t="s">
        <v>217</v>
      </c>
      <c r="H169" s="398" t="s">
        <v>2583</v>
      </c>
      <c r="I169" s="401" t="s">
        <v>2584</v>
      </c>
    </row>
    <row r="170" spans="1:9" ht="72" customHeight="1" x14ac:dyDescent="0.45">
      <c r="A170" s="426" t="s">
        <v>1503</v>
      </c>
      <c r="B170" s="45" t="s">
        <v>1504</v>
      </c>
      <c r="C170" s="44" t="s">
        <v>1465</v>
      </c>
      <c r="D170" s="447" t="s">
        <v>253</v>
      </c>
      <c r="E170" s="440" t="s">
        <v>2581</v>
      </c>
      <c r="F170" s="434" t="s">
        <v>2582</v>
      </c>
      <c r="G170" s="44" t="s">
        <v>217</v>
      </c>
      <c r="H170" s="441" t="s">
        <v>2583</v>
      </c>
      <c r="I170" s="426" t="s">
        <v>2584</v>
      </c>
    </row>
    <row r="171" spans="1:9" ht="72" customHeight="1" x14ac:dyDescent="0.45">
      <c r="A171" s="155" t="s">
        <v>1468</v>
      </c>
      <c r="B171" s="146" t="s">
        <v>1469</v>
      </c>
      <c r="C171" s="145" t="s">
        <v>1465</v>
      </c>
      <c r="D171" s="447" t="s">
        <v>253</v>
      </c>
      <c r="E171" s="455" t="s">
        <v>2581</v>
      </c>
      <c r="F171" s="151" t="s">
        <v>2582</v>
      </c>
      <c r="G171" s="145" t="s">
        <v>217</v>
      </c>
      <c r="H171" s="152" t="s">
        <v>2583</v>
      </c>
      <c r="I171" s="155" t="s">
        <v>2584</v>
      </c>
    </row>
    <row r="172" spans="1:9" ht="72" customHeight="1" x14ac:dyDescent="0.45">
      <c r="A172" s="426" t="s">
        <v>1481</v>
      </c>
      <c r="B172" s="45" t="s">
        <v>1482</v>
      </c>
      <c r="C172" s="44" t="s">
        <v>1465</v>
      </c>
      <c r="D172" s="447" t="s">
        <v>253</v>
      </c>
      <c r="E172" s="440" t="s">
        <v>2581</v>
      </c>
      <c r="F172" s="434" t="s">
        <v>2582</v>
      </c>
      <c r="G172" s="44" t="s">
        <v>217</v>
      </c>
      <c r="H172" s="441" t="s">
        <v>2583</v>
      </c>
      <c r="I172" s="426" t="s">
        <v>2584</v>
      </c>
    </row>
    <row r="173" spans="1:9" ht="72" customHeight="1" x14ac:dyDescent="0.45">
      <c r="A173" s="108" t="s">
        <v>1683</v>
      </c>
      <c r="B173" s="99" t="s">
        <v>1684</v>
      </c>
      <c r="C173" s="98" t="s">
        <v>1674</v>
      </c>
      <c r="D173" s="456" t="s">
        <v>275</v>
      </c>
      <c r="E173" s="451" t="s">
        <v>2581</v>
      </c>
      <c r="F173" s="104" t="s">
        <v>2582</v>
      </c>
      <c r="G173" s="98" t="s">
        <v>217</v>
      </c>
      <c r="H173" s="105" t="s">
        <v>2583</v>
      </c>
      <c r="I173" s="108" t="s">
        <v>2584</v>
      </c>
    </row>
    <row r="174" spans="1:9" ht="72" customHeight="1" x14ac:dyDescent="0.45">
      <c r="A174" s="426" t="s">
        <v>1676</v>
      </c>
      <c r="B174" s="45" t="s">
        <v>1677</v>
      </c>
      <c r="C174" s="44" t="s">
        <v>1674</v>
      </c>
      <c r="D174" s="456" t="s">
        <v>275</v>
      </c>
      <c r="E174" s="440" t="s">
        <v>2581</v>
      </c>
      <c r="F174" s="434" t="s">
        <v>2582</v>
      </c>
      <c r="G174" s="44" t="s">
        <v>217</v>
      </c>
      <c r="H174" s="441" t="s">
        <v>2583</v>
      </c>
      <c r="I174" s="426" t="s">
        <v>2584</v>
      </c>
    </row>
    <row r="175" spans="1:9" ht="72" customHeight="1" x14ac:dyDescent="0.45">
      <c r="A175" s="108" t="s">
        <v>1697</v>
      </c>
      <c r="B175" s="99" t="s">
        <v>1698</v>
      </c>
      <c r="C175" s="98" t="s">
        <v>1674</v>
      </c>
      <c r="D175" s="456" t="s">
        <v>275</v>
      </c>
      <c r="E175" s="451" t="s">
        <v>2581</v>
      </c>
      <c r="F175" s="104" t="s">
        <v>2582</v>
      </c>
      <c r="G175" s="98" t="s">
        <v>217</v>
      </c>
      <c r="H175" s="105" t="s">
        <v>2583</v>
      </c>
      <c r="I175" s="108" t="s">
        <v>2584</v>
      </c>
    </row>
    <row r="176" spans="1:9" ht="72" customHeight="1" x14ac:dyDescent="0.45">
      <c r="A176" s="426" t="s">
        <v>1692</v>
      </c>
      <c r="B176" s="45" t="s">
        <v>1693</v>
      </c>
      <c r="C176" s="44" t="s">
        <v>1674</v>
      </c>
      <c r="D176" s="456" t="s">
        <v>275</v>
      </c>
      <c r="E176" s="440" t="s">
        <v>2581</v>
      </c>
      <c r="F176" s="434" t="s">
        <v>2582</v>
      </c>
      <c r="G176" s="44" t="s">
        <v>217</v>
      </c>
      <c r="H176" s="441" t="s">
        <v>2583</v>
      </c>
      <c r="I176" s="426" t="s">
        <v>2584</v>
      </c>
    </row>
    <row r="177" spans="1:9" ht="72" customHeight="1" x14ac:dyDescent="0.45">
      <c r="A177" s="131" t="s">
        <v>1419</v>
      </c>
      <c r="B177" s="122" t="s">
        <v>1420</v>
      </c>
      <c r="C177" s="121" t="s">
        <v>1340</v>
      </c>
      <c r="D177" s="456" t="s">
        <v>275</v>
      </c>
      <c r="E177" s="442" t="s">
        <v>2581</v>
      </c>
      <c r="F177" s="127" t="s">
        <v>2582</v>
      </c>
      <c r="G177" s="121" t="s">
        <v>217</v>
      </c>
      <c r="H177" s="128" t="s">
        <v>2583</v>
      </c>
      <c r="I177" s="131" t="s">
        <v>2584</v>
      </c>
    </row>
    <row r="178" spans="1:9" ht="72" customHeight="1" x14ac:dyDescent="0.45">
      <c r="A178" s="426" t="s">
        <v>1644</v>
      </c>
      <c r="B178" s="45" t="s">
        <v>1645</v>
      </c>
      <c r="C178" s="44" t="s">
        <v>1624</v>
      </c>
      <c r="D178" s="456" t="s">
        <v>275</v>
      </c>
      <c r="E178" s="440" t="s">
        <v>2581</v>
      </c>
      <c r="F178" s="434" t="s">
        <v>2582</v>
      </c>
      <c r="G178" s="44" t="s">
        <v>217</v>
      </c>
      <c r="H178" s="441" t="s">
        <v>2583</v>
      </c>
      <c r="I178" s="426" t="s">
        <v>2584</v>
      </c>
    </row>
    <row r="179" spans="1:9" ht="72" customHeight="1" x14ac:dyDescent="0.45">
      <c r="A179" s="33" t="s">
        <v>370</v>
      </c>
      <c r="B179" s="20" t="s">
        <v>371</v>
      </c>
      <c r="C179" s="19" t="s">
        <v>54</v>
      </c>
      <c r="D179" s="456" t="s">
        <v>275</v>
      </c>
      <c r="E179" s="444" t="s">
        <v>2581</v>
      </c>
      <c r="F179" s="29" t="s">
        <v>2582</v>
      </c>
      <c r="G179" s="19" t="s">
        <v>217</v>
      </c>
      <c r="H179" s="30" t="s">
        <v>2583</v>
      </c>
      <c r="I179" s="33" t="s">
        <v>2584</v>
      </c>
    </row>
    <row r="180" spans="1:9" ht="72" customHeight="1" x14ac:dyDescent="0.45">
      <c r="A180" s="426" t="s">
        <v>270</v>
      </c>
      <c r="B180" s="45" t="s">
        <v>271</v>
      </c>
      <c r="C180" s="44" t="s">
        <v>54</v>
      </c>
      <c r="D180" s="456" t="s">
        <v>275</v>
      </c>
      <c r="E180" s="440" t="s">
        <v>2581</v>
      </c>
      <c r="F180" s="434" t="s">
        <v>2582</v>
      </c>
      <c r="G180" s="44" t="s">
        <v>217</v>
      </c>
      <c r="H180" s="441" t="s">
        <v>2583</v>
      </c>
      <c r="I180" s="426" t="s">
        <v>2584</v>
      </c>
    </row>
    <row r="181" spans="1:9" ht="72" customHeight="1" x14ac:dyDescent="0.45">
      <c r="A181" s="108" t="s">
        <v>1294</v>
      </c>
      <c r="B181" s="99" t="s">
        <v>1295</v>
      </c>
      <c r="C181" s="98" t="s">
        <v>1286</v>
      </c>
      <c r="D181" s="456" t="s">
        <v>275</v>
      </c>
      <c r="E181" s="451" t="s">
        <v>2581</v>
      </c>
      <c r="F181" s="104" t="s">
        <v>2582</v>
      </c>
      <c r="G181" s="98" t="s">
        <v>217</v>
      </c>
      <c r="H181" s="105" t="s">
        <v>2583</v>
      </c>
      <c r="I181" s="108" t="s">
        <v>2584</v>
      </c>
    </row>
    <row r="182" spans="1:9" ht="72" customHeight="1" x14ac:dyDescent="0.45">
      <c r="A182" s="426" t="s">
        <v>1313</v>
      </c>
      <c r="B182" s="45" t="s">
        <v>1314</v>
      </c>
      <c r="C182" s="44" t="s">
        <v>1286</v>
      </c>
      <c r="D182" s="456" t="s">
        <v>275</v>
      </c>
      <c r="E182" s="440" t="s">
        <v>2581</v>
      </c>
      <c r="F182" s="434" t="s">
        <v>2582</v>
      </c>
      <c r="G182" s="44" t="s">
        <v>217</v>
      </c>
      <c r="H182" s="441" t="s">
        <v>2583</v>
      </c>
      <c r="I182" s="426" t="s">
        <v>2584</v>
      </c>
    </row>
    <row r="183" spans="1:9" ht="72" customHeight="1" x14ac:dyDescent="0.45">
      <c r="A183" s="108" t="s">
        <v>1304</v>
      </c>
      <c r="B183" s="99" t="s">
        <v>1305</v>
      </c>
      <c r="C183" s="98" t="s">
        <v>1286</v>
      </c>
      <c r="D183" s="456" t="s">
        <v>275</v>
      </c>
      <c r="E183" s="451" t="s">
        <v>2581</v>
      </c>
      <c r="F183" s="104" t="s">
        <v>2582</v>
      </c>
      <c r="G183" s="98" t="s">
        <v>217</v>
      </c>
      <c r="H183" s="105" t="s">
        <v>2583</v>
      </c>
      <c r="I183" s="108" t="s">
        <v>2584</v>
      </c>
    </row>
    <row r="184" spans="1:9" ht="72" customHeight="1" x14ac:dyDescent="0.45">
      <c r="A184" s="426" t="s">
        <v>1308</v>
      </c>
      <c r="B184" s="45" t="s">
        <v>1309</v>
      </c>
      <c r="C184" s="44" t="s">
        <v>1286</v>
      </c>
      <c r="D184" s="456" t="s">
        <v>275</v>
      </c>
      <c r="E184" s="440" t="s">
        <v>2581</v>
      </c>
      <c r="F184" s="434" t="s">
        <v>2582</v>
      </c>
      <c r="G184" s="44" t="s">
        <v>217</v>
      </c>
      <c r="H184" s="441" t="s">
        <v>2583</v>
      </c>
      <c r="I184" s="426" t="s">
        <v>2584</v>
      </c>
    </row>
    <row r="185" spans="1:9" ht="72" customHeight="1" x14ac:dyDescent="0.45">
      <c r="A185" s="178" t="s">
        <v>1553</v>
      </c>
      <c r="B185" s="169" t="s">
        <v>1554</v>
      </c>
      <c r="C185" s="168" t="s">
        <v>1510</v>
      </c>
      <c r="D185" s="456" t="s">
        <v>275</v>
      </c>
      <c r="E185" s="446" t="s">
        <v>2581</v>
      </c>
      <c r="F185" s="174" t="s">
        <v>2582</v>
      </c>
      <c r="G185" s="168" t="s">
        <v>217</v>
      </c>
      <c r="H185" s="175" t="s">
        <v>2583</v>
      </c>
      <c r="I185" s="178" t="s">
        <v>2584</v>
      </c>
    </row>
    <row r="186" spans="1:9" ht="72" customHeight="1" x14ac:dyDescent="0.45">
      <c r="A186" s="426" t="s">
        <v>321</v>
      </c>
      <c r="B186" s="45" t="s">
        <v>322</v>
      </c>
      <c r="C186" s="44" t="s">
        <v>54</v>
      </c>
      <c r="D186" s="456" t="s">
        <v>275</v>
      </c>
      <c r="E186" s="440" t="s">
        <v>2581</v>
      </c>
      <c r="F186" s="434" t="s">
        <v>2582</v>
      </c>
      <c r="G186" s="44" t="s">
        <v>217</v>
      </c>
      <c r="H186" s="441" t="s">
        <v>2583</v>
      </c>
      <c r="I186" s="426" t="s">
        <v>2584</v>
      </c>
    </row>
    <row r="187" spans="1:9" ht="72" customHeight="1" x14ac:dyDescent="0.45">
      <c r="A187" s="77" t="s">
        <v>903</v>
      </c>
      <c r="B187" s="72" t="s">
        <v>904</v>
      </c>
      <c r="C187" s="70" t="s">
        <v>783</v>
      </c>
      <c r="D187" s="456" t="s">
        <v>275</v>
      </c>
      <c r="E187" s="443" t="s">
        <v>2581</v>
      </c>
      <c r="F187" s="74" t="s">
        <v>2582</v>
      </c>
      <c r="G187" s="70" t="s">
        <v>217</v>
      </c>
      <c r="H187" s="75" t="s">
        <v>2583</v>
      </c>
      <c r="I187" s="77" t="s">
        <v>2584</v>
      </c>
    </row>
    <row r="188" spans="1:9" ht="72" customHeight="1" x14ac:dyDescent="0.45">
      <c r="A188" s="426" t="s">
        <v>909</v>
      </c>
      <c r="B188" s="45" t="s">
        <v>910</v>
      </c>
      <c r="C188" s="44" t="s">
        <v>783</v>
      </c>
      <c r="D188" s="456" t="s">
        <v>275</v>
      </c>
      <c r="E188" s="440" t="s">
        <v>2581</v>
      </c>
      <c r="F188" s="434" t="s">
        <v>2582</v>
      </c>
      <c r="G188" s="44" t="s">
        <v>217</v>
      </c>
      <c r="H188" s="441" t="s">
        <v>2583</v>
      </c>
      <c r="I188" s="426" t="s">
        <v>2584</v>
      </c>
    </row>
    <row r="189" spans="1:9" ht="72" customHeight="1" x14ac:dyDescent="0.45">
      <c r="A189" s="77" t="s">
        <v>921</v>
      </c>
      <c r="B189" s="72" t="s">
        <v>922</v>
      </c>
      <c r="C189" s="70" t="s">
        <v>783</v>
      </c>
      <c r="D189" s="456" t="s">
        <v>275</v>
      </c>
      <c r="E189" s="443" t="s">
        <v>2581</v>
      </c>
      <c r="F189" s="74" t="s">
        <v>2582</v>
      </c>
      <c r="G189" s="70" t="s">
        <v>217</v>
      </c>
      <c r="H189" s="75" t="s">
        <v>2583</v>
      </c>
      <c r="I189" s="77" t="s">
        <v>2584</v>
      </c>
    </row>
    <row r="190" spans="1:9" ht="72" customHeight="1" x14ac:dyDescent="0.45">
      <c r="A190" s="426" t="s">
        <v>1491</v>
      </c>
      <c r="B190" s="45" t="s">
        <v>1492</v>
      </c>
      <c r="C190" s="44" t="s">
        <v>1465</v>
      </c>
      <c r="D190" s="456" t="s">
        <v>275</v>
      </c>
      <c r="E190" s="440" t="s">
        <v>2581</v>
      </c>
      <c r="F190" s="434" t="s">
        <v>2582</v>
      </c>
      <c r="G190" s="44" t="s">
        <v>217</v>
      </c>
      <c r="H190" s="441" t="s">
        <v>2583</v>
      </c>
      <c r="I190" s="426" t="s">
        <v>2584</v>
      </c>
    </row>
    <row r="191" spans="1:9" ht="72" customHeight="1" x14ac:dyDescent="0.45">
      <c r="A191" s="155" t="s">
        <v>1496</v>
      </c>
      <c r="B191" s="146" t="s">
        <v>1497</v>
      </c>
      <c r="C191" s="145" t="s">
        <v>1465</v>
      </c>
      <c r="D191" s="456" t="s">
        <v>275</v>
      </c>
      <c r="E191" s="455" t="s">
        <v>2581</v>
      </c>
      <c r="F191" s="151" t="s">
        <v>2582</v>
      </c>
      <c r="G191" s="145" t="s">
        <v>217</v>
      </c>
      <c r="H191" s="152" t="s">
        <v>2583</v>
      </c>
      <c r="I191" s="155" t="s">
        <v>2584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
  <sheetViews>
    <sheetView zoomScaleNormal="100" workbookViewId="0">
      <pane ySplit="2" topLeftCell="A3" activePane="bottomLeft" state="frozen"/>
      <selection pane="bottomLeft" sqref="A1:H1"/>
    </sheetView>
  </sheetViews>
  <sheetFormatPr defaultColWidth="8.6640625" defaultRowHeight="14.25" x14ac:dyDescent="0.45"/>
  <cols>
    <col min="1" max="1" width="26" customWidth="1"/>
    <col min="2" max="2" width="50" customWidth="1"/>
    <col min="3" max="3" width="38" customWidth="1"/>
    <col min="4" max="4" width="40" customWidth="1"/>
    <col min="5" max="5" width="42" customWidth="1"/>
    <col min="6" max="6" width="18" customWidth="1"/>
    <col min="7" max="7" width="44" customWidth="1"/>
  </cols>
  <sheetData>
    <row r="1" spans="1:8" ht="30" customHeight="1" x14ac:dyDescent="0.45">
      <c r="A1" s="4" t="s">
        <v>2634</v>
      </c>
      <c r="B1" s="4"/>
      <c r="C1" s="4"/>
      <c r="D1" s="4"/>
      <c r="E1" s="4"/>
      <c r="F1" s="4"/>
      <c r="G1" s="4"/>
      <c r="H1" s="4"/>
    </row>
    <row r="2" spans="1:8" ht="15" customHeight="1" x14ac:dyDescent="0.45">
      <c r="A2" s="5" t="s">
        <v>2635</v>
      </c>
      <c r="B2" s="5" t="s">
        <v>2636</v>
      </c>
      <c r="C2" s="5" t="s">
        <v>2637</v>
      </c>
      <c r="D2" s="5" t="s">
        <v>2638</v>
      </c>
      <c r="E2" s="5" t="s">
        <v>2639</v>
      </c>
      <c r="F2" s="5" t="s">
        <v>2481</v>
      </c>
      <c r="G2" s="5" t="s">
        <v>2640</v>
      </c>
    </row>
    <row r="3" spans="1:8" ht="60" customHeight="1" x14ac:dyDescent="0.45">
      <c r="A3" s="457" t="s">
        <v>2641</v>
      </c>
      <c r="B3" s="458" t="s">
        <v>2642</v>
      </c>
      <c r="C3" s="459" t="s">
        <v>2643</v>
      </c>
      <c r="D3" s="458" t="s">
        <v>2644</v>
      </c>
      <c r="E3" s="460" t="s">
        <v>2645</v>
      </c>
      <c r="F3" s="461" t="s">
        <v>1042</v>
      </c>
      <c r="G3" s="462" t="s">
        <v>2646</v>
      </c>
    </row>
    <row r="4" spans="1:8" ht="60" customHeight="1" x14ac:dyDescent="0.45">
      <c r="A4" s="426" t="s">
        <v>2647</v>
      </c>
      <c r="B4" s="44" t="s">
        <v>2648</v>
      </c>
      <c r="C4" s="463" t="s">
        <v>2649</v>
      </c>
      <c r="D4" s="44" t="s">
        <v>2650</v>
      </c>
      <c r="E4" s="464" t="s">
        <v>2651</v>
      </c>
      <c r="F4" s="461" t="s">
        <v>675</v>
      </c>
      <c r="G4" s="465" t="s">
        <v>2652</v>
      </c>
    </row>
    <row r="5" spans="1:8" ht="60" customHeight="1" x14ac:dyDescent="0.45">
      <c r="A5" s="457" t="s">
        <v>2653</v>
      </c>
      <c r="B5" s="458" t="s">
        <v>2654</v>
      </c>
      <c r="C5" s="459" t="s">
        <v>2655</v>
      </c>
      <c r="D5" s="458" t="s">
        <v>2656</v>
      </c>
      <c r="E5" s="460" t="s">
        <v>2657</v>
      </c>
      <c r="F5" s="461" t="s">
        <v>2658</v>
      </c>
      <c r="G5" s="462" t="s">
        <v>2659</v>
      </c>
    </row>
    <row r="6" spans="1:8" ht="60" customHeight="1" x14ac:dyDescent="0.45">
      <c r="A6" s="426" t="s">
        <v>2660</v>
      </c>
      <c r="B6" s="44" t="s">
        <v>2661</v>
      </c>
      <c r="C6" s="463" t="s">
        <v>2662</v>
      </c>
      <c r="D6" s="44" t="s">
        <v>2663</v>
      </c>
      <c r="E6" s="464" t="s">
        <v>2664</v>
      </c>
      <c r="F6" s="461" t="s">
        <v>2665</v>
      </c>
      <c r="G6" s="465" t="s">
        <v>2666</v>
      </c>
    </row>
    <row r="7" spans="1:8" ht="60" customHeight="1" x14ac:dyDescent="0.45">
      <c r="A7" s="457" t="s">
        <v>2667</v>
      </c>
      <c r="B7" s="458" t="s">
        <v>2668</v>
      </c>
      <c r="C7" s="459" t="s">
        <v>2669</v>
      </c>
      <c r="D7" s="458" t="s">
        <v>2670</v>
      </c>
      <c r="E7" s="460" t="s">
        <v>2671</v>
      </c>
      <c r="F7" s="461" t="s">
        <v>2672</v>
      </c>
      <c r="G7" s="462" t="s">
        <v>2673</v>
      </c>
    </row>
    <row r="8" spans="1:8" ht="60" customHeight="1" x14ac:dyDescent="0.45">
      <c r="A8" s="426" t="s">
        <v>2674</v>
      </c>
      <c r="B8" s="44" t="s">
        <v>2675</v>
      </c>
      <c r="C8" s="463" t="s">
        <v>2676</v>
      </c>
      <c r="D8" s="44" t="s">
        <v>2677</v>
      </c>
      <c r="E8" s="464" t="s">
        <v>2678</v>
      </c>
      <c r="F8" s="461" t="s">
        <v>2679</v>
      </c>
      <c r="G8" s="465" t="s">
        <v>2680</v>
      </c>
    </row>
    <row r="9" spans="1:8" ht="60" customHeight="1" x14ac:dyDescent="0.45">
      <c r="A9" s="457" t="s">
        <v>2681</v>
      </c>
      <c r="B9" s="458" t="s">
        <v>2682</v>
      </c>
      <c r="C9" s="459" t="s">
        <v>2683</v>
      </c>
      <c r="D9" s="458" t="s">
        <v>2684</v>
      </c>
      <c r="E9" s="460" t="s">
        <v>2685</v>
      </c>
      <c r="F9" s="461" t="s">
        <v>447</v>
      </c>
      <c r="G9" s="462" t="s">
        <v>2686</v>
      </c>
    </row>
    <row r="10" spans="1:8" ht="60" customHeight="1" x14ac:dyDescent="0.45">
      <c r="A10" s="426" t="s">
        <v>2687</v>
      </c>
      <c r="B10" s="44" t="s">
        <v>2688</v>
      </c>
      <c r="C10" s="463" t="s">
        <v>2689</v>
      </c>
      <c r="D10" s="44" t="s">
        <v>2690</v>
      </c>
      <c r="E10" s="464" t="s">
        <v>2691</v>
      </c>
      <c r="F10" s="461" t="s">
        <v>1042</v>
      </c>
      <c r="G10" s="465" t="s">
        <v>2692</v>
      </c>
    </row>
    <row r="11" spans="1:8" ht="60" customHeight="1" x14ac:dyDescent="0.45">
      <c r="A11" s="457" t="s">
        <v>2693</v>
      </c>
      <c r="B11" s="458" t="s">
        <v>2694</v>
      </c>
      <c r="C11" s="459" t="s">
        <v>2695</v>
      </c>
      <c r="D11" s="458" t="s">
        <v>2696</v>
      </c>
      <c r="E11" s="460" t="s">
        <v>2697</v>
      </c>
      <c r="F11" s="461" t="s">
        <v>2698</v>
      </c>
      <c r="G11" s="462" t="s">
        <v>2699</v>
      </c>
    </row>
    <row r="12" spans="1:8" ht="60" customHeight="1" x14ac:dyDescent="0.45">
      <c r="A12" s="426" t="s">
        <v>2700</v>
      </c>
      <c r="B12" s="44" t="s">
        <v>2701</v>
      </c>
      <c r="C12" s="463" t="s">
        <v>2702</v>
      </c>
      <c r="D12" s="44" t="s">
        <v>2703</v>
      </c>
      <c r="E12" s="464" t="s">
        <v>2704</v>
      </c>
      <c r="F12" s="461" t="s">
        <v>2672</v>
      </c>
      <c r="G12" s="465" t="s">
        <v>2705</v>
      </c>
    </row>
  </sheetData>
  <mergeCells count="1">
    <mergeCell ref="A1:H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
  <sheetViews>
    <sheetView zoomScaleNormal="100" workbookViewId="0">
      <pane ySplit="2" topLeftCell="A3" activePane="bottomLeft" state="frozen"/>
      <selection pane="bottomLeft" sqref="A1:J1"/>
    </sheetView>
  </sheetViews>
  <sheetFormatPr defaultColWidth="8.6640625" defaultRowHeight="14.25" x14ac:dyDescent="0.45"/>
  <cols>
    <col min="1" max="1" width="7" customWidth="1"/>
    <col min="2" max="2" width="18" customWidth="1"/>
    <col min="3" max="3" width="36" customWidth="1"/>
    <col min="4" max="4" width="12" customWidth="1"/>
    <col min="5" max="5" width="10" customWidth="1"/>
    <col min="6" max="6" width="14" customWidth="1"/>
    <col min="7" max="7" width="10" customWidth="1"/>
    <col min="8" max="8" width="32" customWidth="1"/>
    <col min="9" max="9" width="38" customWidth="1"/>
    <col min="10" max="10" width="34" customWidth="1"/>
  </cols>
  <sheetData>
    <row r="1" spans="1:10" ht="30" customHeight="1" x14ac:dyDescent="0.45">
      <c r="A1" s="3" t="s">
        <v>2706</v>
      </c>
      <c r="B1" s="3"/>
      <c r="C1" s="3"/>
      <c r="D1" s="3"/>
      <c r="E1" s="3"/>
      <c r="F1" s="3"/>
      <c r="G1" s="3"/>
      <c r="H1" s="3"/>
      <c r="I1" s="3"/>
      <c r="J1" s="3"/>
    </row>
    <row r="2" spans="1:10" ht="32.25" customHeight="1" x14ac:dyDescent="0.45">
      <c r="A2" s="466" t="s">
        <v>2707</v>
      </c>
      <c r="B2" s="466" t="s">
        <v>4</v>
      </c>
      <c r="C2" s="466" t="s">
        <v>2472</v>
      </c>
      <c r="D2" s="466" t="s">
        <v>2468</v>
      </c>
      <c r="E2" s="466" t="s">
        <v>13</v>
      </c>
      <c r="F2" s="466" t="s">
        <v>2708</v>
      </c>
      <c r="G2" s="466" t="s">
        <v>2709</v>
      </c>
      <c r="H2" s="466" t="s">
        <v>2710</v>
      </c>
      <c r="I2" s="466" t="s">
        <v>2711</v>
      </c>
      <c r="J2" s="466" t="s">
        <v>2712</v>
      </c>
    </row>
    <row r="3" spans="1:10" ht="51.75" customHeight="1" x14ac:dyDescent="0.45">
      <c r="A3" s="467">
        <v>1</v>
      </c>
      <c r="B3" s="468" t="s">
        <v>557</v>
      </c>
      <c r="C3" s="469" t="s">
        <v>58</v>
      </c>
      <c r="D3" s="470" t="s">
        <v>54</v>
      </c>
      <c r="E3" s="471" t="s">
        <v>66</v>
      </c>
      <c r="F3" s="51" t="s">
        <v>2713</v>
      </c>
      <c r="G3" s="472" t="s">
        <v>2714</v>
      </c>
      <c r="H3" s="470" t="s">
        <v>2715</v>
      </c>
      <c r="I3" s="473" t="s">
        <v>67</v>
      </c>
      <c r="J3" s="474" t="s">
        <v>2716</v>
      </c>
    </row>
    <row r="4" spans="1:10" ht="51.75" customHeight="1" x14ac:dyDescent="0.45">
      <c r="A4" s="42">
        <v>2</v>
      </c>
      <c r="B4" s="426" t="s">
        <v>382</v>
      </c>
      <c r="C4" s="45" t="s">
        <v>383</v>
      </c>
      <c r="D4" s="44" t="s">
        <v>380</v>
      </c>
      <c r="E4" s="471" t="s">
        <v>66</v>
      </c>
      <c r="F4" s="475" t="s">
        <v>2717</v>
      </c>
      <c r="G4" s="476" t="s">
        <v>2718</v>
      </c>
      <c r="H4" s="44" t="s">
        <v>2719</v>
      </c>
      <c r="I4" s="48" t="s">
        <v>388</v>
      </c>
      <c r="J4" s="477" t="s">
        <v>2720</v>
      </c>
    </row>
    <row r="5" spans="1:10" ht="51.75" customHeight="1" x14ac:dyDescent="0.45">
      <c r="A5" s="467">
        <v>3</v>
      </c>
      <c r="B5" s="468" t="s">
        <v>426</v>
      </c>
      <c r="C5" s="469" t="s">
        <v>427</v>
      </c>
      <c r="D5" s="470" t="s">
        <v>380</v>
      </c>
      <c r="E5" s="471" t="s">
        <v>66</v>
      </c>
      <c r="F5" s="475" t="s">
        <v>2717</v>
      </c>
      <c r="G5" s="472" t="s">
        <v>2721</v>
      </c>
      <c r="H5" s="470" t="s">
        <v>2722</v>
      </c>
      <c r="I5" s="473" t="s">
        <v>388</v>
      </c>
      <c r="J5" s="474" t="s">
        <v>2723</v>
      </c>
    </row>
    <row r="6" spans="1:10" ht="51.75" customHeight="1" x14ac:dyDescent="0.45">
      <c r="A6" s="42">
        <v>4</v>
      </c>
      <c r="B6" s="426" t="s">
        <v>586</v>
      </c>
      <c r="C6" s="45" t="s">
        <v>587</v>
      </c>
      <c r="D6" s="44" t="s">
        <v>569</v>
      </c>
      <c r="E6" s="471" t="s">
        <v>66</v>
      </c>
      <c r="F6" s="478" t="s">
        <v>2724</v>
      </c>
      <c r="G6" s="476" t="s">
        <v>2725</v>
      </c>
      <c r="H6" s="44" t="s">
        <v>2726</v>
      </c>
      <c r="I6" s="48" t="s">
        <v>593</v>
      </c>
      <c r="J6" s="477" t="s">
        <v>2727</v>
      </c>
    </row>
    <row r="7" spans="1:10" ht="51.75" customHeight="1" x14ac:dyDescent="0.45">
      <c r="A7" s="467">
        <v>5</v>
      </c>
      <c r="B7" s="468" t="s">
        <v>630</v>
      </c>
      <c r="C7" s="469" t="s">
        <v>631</v>
      </c>
      <c r="D7" s="470" t="s">
        <v>2196</v>
      </c>
      <c r="E7" s="471" t="s">
        <v>66</v>
      </c>
      <c r="F7" s="478" t="s">
        <v>2724</v>
      </c>
      <c r="G7" s="472" t="s">
        <v>2718</v>
      </c>
      <c r="H7" s="470" t="s">
        <v>2728</v>
      </c>
      <c r="I7" s="473" t="s">
        <v>1250</v>
      </c>
      <c r="J7" s="474" t="s">
        <v>2729</v>
      </c>
    </row>
    <row r="8" spans="1:10" ht="51.75" customHeight="1" x14ac:dyDescent="0.45">
      <c r="A8" s="42">
        <v>6</v>
      </c>
      <c r="B8" s="426" t="s">
        <v>785</v>
      </c>
      <c r="C8" s="45" t="s">
        <v>786</v>
      </c>
      <c r="D8" s="44" t="s">
        <v>783</v>
      </c>
      <c r="E8" s="471" t="s">
        <v>66</v>
      </c>
      <c r="F8" s="479" t="s">
        <v>2730</v>
      </c>
      <c r="G8" s="476" t="s">
        <v>2731</v>
      </c>
      <c r="H8" s="44" t="s">
        <v>2732</v>
      </c>
      <c r="I8" s="48" t="s">
        <v>792</v>
      </c>
      <c r="J8" s="477" t="s">
        <v>2733</v>
      </c>
    </row>
    <row r="9" spans="1:10" ht="51.75" customHeight="1" x14ac:dyDescent="0.45">
      <c r="A9" s="467">
        <v>7</v>
      </c>
      <c r="B9" s="468" t="s">
        <v>770</v>
      </c>
      <c r="C9" s="469" t="s">
        <v>107</v>
      </c>
      <c r="D9" s="470" t="s">
        <v>54</v>
      </c>
      <c r="E9" s="471" t="s">
        <v>66</v>
      </c>
      <c r="F9" s="480" t="s">
        <v>2734</v>
      </c>
      <c r="G9" s="472" t="s">
        <v>2735</v>
      </c>
      <c r="H9" s="470" t="s">
        <v>2736</v>
      </c>
      <c r="I9" s="473" t="s">
        <v>112</v>
      </c>
      <c r="J9" s="474" t="s">
        <v>2737</v>
      </c>
    </row>
    <row r="10" spans="1:10" ht="51.75" customHeight="1" x14ac:dyDescent="0.45">
      <c r="A10" s="42">
        <v>8</v>
      </c>
      <c r="B10" s="426" t="s">
        <v>930</v>
      </c>
      <c r="C10" s="45" t="s">
        <v>2738</v>
      </c>
      <c r="D10" s="44" t="s">
        <v>928</v>
      </c>
      <c r="E10" s="471" t="s">
        <v>66</v>
      </c>
      <c r="F10" s="480" t="s">
        <v>2739</v>
      </c>
      <c r="G10" s="476" t="s">
        <v>2725</v>
      </c>
      <c r="H10" s="44" t="s">
        <v>2740</v>
      </c>
      <c r="I10" s="48" t="s">
        <v>937</v>
      </c>
      <c r="J10" s="477" t="s">
        <v>2741</v>
      </c>
    </row>
    <row r="11" spans="1:10" ht="51.75" customHeight="1" x14ac:dyDescent="0.45">
      <c r="A11" s="467">
        <v>9</v>
      </c>
      <c r="B11" s="468" t="s">
        <v>1246</v>
      </c>
      <c r="C11" s="469" t="s">
        <v>2205</v>
      </c>
      <c r="D11" s="470" t="s">
        <v>1244</v>
      </c>
      <c r="E11" s="471" t="s">
        <v>66</v>
      </c>
      <c r="F11" s="480" t="s">
        <v>2742</v>
      </c>
      <c r="G11" s="472" t="s">
        <v>2721</v>
      </c>
      <c r="H11" s="470" t="s">
        <v>2743</v>
      </c>
      <c r="I11" s="473" t="s">
        <v>1250</v>
      </c>
      <c r="J11" s="474" t="s">
        <v>2744</v>
      </c>
    </row>
    <row r="12" spans="1:10" ht="51.75" customHeight="1" x14ac:dyDescent="0.45">
      <c r="A12" s="42">
        <v>10</v>
      </c>
      <c r="B12" s="426" t="s">
        <v>688</v>
      </c>
      <c r="C12" s="45" t="s">
        <v>689</v>
      </c>
      <c r="D12" s="44" t="s">
        <v>569</v>
      </c>
      <c r="E12" s="471" t="s">
        <v>66</v>
      </c>
      <c r="F12" s="480" t="s">
        <v>154</v>
      </c>
      <c r="G12" s="476" t="s">
        <v>2721</v>
      </c>
      <c r="H12" s="44" t="s">
        <v>2745</v>
      </c>
      <c r="I12" s="48" t="s">
        <v>593</v>
      </c>
      <c r="J12" s="477" t="s">
        <v>2746</v>
      </c>
    </row>
    <row r="13" spans="1:10" ht="51.75" customHeight="1" x14ac:dyDescent="0.45">
      <c r="A13" s="467">
        <v>11</v>
      </c>
      <c r="B13" s="468" t="s">
        <v>1085</v>
      </c>
      <c r="C13" s="469" t="s">
        <v>2747</v>
      </c>
      <c r="D13" s="470" t="s">
        <v>1083</v>
      </c>
      <c r="E13" s="481" t="s">
        <v>154</v>
      </c>
      <c r="F13" s="482" t="s">
        <v>2748</v>
      </c>
      <c r="G13" s="472" t="s">
        <v>2721</v>
      </c>
      <c r="H13" s="470" t="s">
        <v>2749</v>
      </c>
      <c r="I13" s="473" t="s">
        <v>1091</v>
      </c>
      <c r="J13" s="474" t="s">
        <v>2750</v>
      </c>
    </row>
    <row r="14" spans="1:10" ht="51.75" customHeight="1" x14ac:dyDescent="0.45">
      <c r="A14" s="42">
        <v>12</v>
      </c>
      <c r="B14" s="426" t="s">
        <v>1020</v>
      </c>
      <c r="C14" s="45" t="s">
        <v>1021</v>
      </c>
      <c r="D14" s="44" t="s">
        <v>1018</v>
      </c>
      <c r="E14" s="481" t="s">
        <v>154</v>
      </c>
      <c r="F14" s="482" t="s">
        <v>2751</v>
      </c>
      <c r="G14" s="476" t="s">
        <v>2721</v>
      </c>
      <c r="H14" s="44" t="s">
        <v>2752</v>
      </c>
      <c r="I14" s="48" t="s">
        <v>1026</v>
      </c>
      <c r="J14" s="477" t="s">
        <v>2753</v>
      </c>
    </row>
    <row r="15" spans="1:10" ht="51.75" customHeight="1" x14ac:dyDescent="0.45">
      <c r="A15" s="467">
        <v>13</v>
      </c>
      <c r="B15" s="468" t="s">
        <v>1152</v>
      </c>
      <c r="C15" s="469" t="s">
        <v>1153</v>
      </c>
      <c r="D15" s="470" t="s">
        <v>1286</v>
      </c>
      <c r="E15" s="483" t="s">
        <v>253</v>
      </c>
      <c r="F15" s="482" t="s">
        <v>2754</v>
      </c>
      <c r="G15" s="472" t="s">
        <v>2725</v>
      </c>
      <c r="H15" s="470" t="s">
        <v>2755</v>
      </c>
      <c r="I15" s="473" t="s">
        <v>1292</v>
      </c>
      <c r="J15" s="474" t="s">
        <v>2756</v>
      </c>
    </row>
    <row r="16" spans="1:10" ht="51.75" customHeight="1" x14ac:dyDescent="0.45">
      <c r="A16" s="42">
        <v>14</v>
      </c>
      <c r="B16" s="426" t="s">
        <v>1397</v>
      </c>
      <c r="C16" s="45" t="s">
        <v>1398</v>
      </c>
      <c r="D16" s="44" t="s">
        <v>1340</v>
      </c>
      <c r="E16" s="471" t="s">
        <v>66</v>
      </c>
      <c r="F16" s="480" t="s">
        <v>2757</v>
      </c>
      <c r="G16" s="476" t="s">
        <v>2718</v>
      </c>
      <c r="H16" s="44" t="s">
        <v>2758</v>
      </c>
      <c r="I16" s="48" t="s">
        <v>1348</v>
      </c>
      <c r="J16" s="477" t="s">
        <v>2759</v>
      </c>
    </row>
    <row r="17" spans="1:10" ht="51.75" customHeight="1" x14ac:dyDescent="0.45">
      <c r="A17" s="467">
        <v>15</v>
      </c>
      <c r="B17" s="468" t="s">
        <v>2760</v>
      </c>
      <c r="C17" s="469" t="s">
        <v>2761</v>
      </c>
      <c r="D17" s="470" t="s">
        <v>2762</v>
      </c>
      <c r="E17" s="481" t="s">
        <v>154</v>
      </c>
      <c r="F17" s="484" t="s">
        <v>2763</v>
      </c>
      <c r="G17" s="472" t="s">
        <v>2735</v>
      </c>
      <c r="H17" s="470" t="s">
        <v>2764</v>
      </c>
      <c r="I17" s="473" t="s">
        <v>2765</v>
      </c>
      <c r="J17" s="474" t="s">
        <v>2766</v>
      </c>
    </row>
    <row r="18" spans="1:10" ht="51.75" customHeight="1" x14ac:dyDescent="0.45">
      <c r="A18" s="42">
        <v>16</v>
      </c>
      <c r="B18" s="426" t="s">
        <v>2767</v>
      </c>
      <c r="C18" s="45" t="s">
        <v>2768</v>
      </c>
      <c r="D18" s="44" t="s">
        <v>2769</v>
      </c>
      <c r="E18" s="481" t="s">
        <v>154</v>
      </c>
      <c r="F18" s="485" t="s">
        <v>2770</v>
      </c>
      <c r="G18" s="476" t="s">
        <v>2714</v>
      </c>
      <c r="H18" s="44" t="s">
        <v>2771</v>
      </c>
      <c r="I18" s="48" t="s">
        <v>2772</v>
      </c>
      <c r="J18" s="477" t="s">
        <v>2773</v>
      </c>
    </row>
    <row r="19" spans="1:10" ht="51.75" customHeight="1" x14ac:dyDescent="0.45">
      <c r="A19" s="467">
        <v>17</v>
      </c>
      <c r="B19" s="468" t="s">
        <v>2774</v>
      </c>
      <c r="C19" s="469" t="s">
        <v>2775</v>
      </c>
      <c r="D19" s="470" t="s">
        <v>2769</v>
      </c>
      <c r="E19" s="471" t="s">
        <v>66</v>
      </c>
      <c r="F19" s="34" t="s">
        <v>2776</v>
      </c>
      <c r="G19" s="472" t="s">
        <v>2725</v>
      </c>
      <c r="H19" s="470" t="s">
        <v>2777</v>
      </c>
      <c r="I19" s="473" t="s">
        <v>2778</v>
      </c>
      <c r="J19" s="474" t="s">
        <v>2779</v>
      </c>
    </row>
    <row r="20" spans="1:10" ht="51.75" customHeight="1" x14ac:dyDescent="0.45">
      <c r="A20" s="42">
        <v>18</v>
      </c>
      <c r="B20" s="426" t="s">
        <v>2780</v>
      </c>
      <c r="C20" s="45" t="s">
        <v>2781</v>
      </c>
      <c r="D20" s="44" t="s">
        <v>2782</v>
      </c>
      <c r="E20" s="481" t="s">
        <v>154</v>
      </c>
      <c r="F20" s="486" t="s">
        <v>2783</v>
      </c>
      <c r="G20" s="476" t="s">
        <v>2784</v>
      </c>
      <c r="H20" s="44" t="s">
        <v>2785</v>
      </c>
      <c r="I20" s="48" t="s">
        <v>2786</v>
      </c>
      <c r="J20" s="477" t="s">
        <v>2787</v>
      </c>
    </row>
    <row r="21" spans="1:10" ht="51.75" customHeight="1" x14ac:dyDescent="0.45">
      <c r="A21" s="467">
        <v>19</v>
      </c>
      <c r="B21" s="468" t="s">
        <v>843</v>
      </c>
      <c r="C21" s="469" t="s">
        <v>2788</v>
      </c>
      <c r="D21" s="470" t="s">
        <v>783</v>
      </c>
      <c r="E21" s="471" t="s">
        <v>66</v>
      </c>
      <c r="F21" s="53" t="s">
        <v>2789</v>
      </c>
      <c r="G21" s="472" t="s">
        <v>2735</v>
      </c>
      <c r="H21" s="470" t="s">
        <v>2790</v>
      </c>
      <c r="I21" s="473" t="s">
        <v>792</v>
      </c>
      <c r="J21" s="474" t="s">
        <v>2791</v>
      </c>
    </row>
    <row r="22" spans="1:10" ht="51.75" customHeight="1" x14ac:dyDescent="0.45">
      <c r="A22" s="42">
        <v>20</v>
      </c>
      <c r="B22" s="426" t="s">
        <v>2792</v>
      </c>
      <c r="C22" s="45" t="s">
        <v>2793</v>
      </c>
      <c r="D22" s="44" t="s">
        <v>2794</v>
      </c>
      <c r="E22" s="481" t="s">
        <v>154</v>
      </c>
      <c r="F22" s="487" t="s">
        <v>2795</v>
      </c>
      <c r="G22" s="476" t="s">
        <v>2714</v>
      </c>
      <c r="H22" s="44" t="s">
        <v>2796</v>
      </c>
      <c r="I22" s="48" t="s">
        <v>2797</v>
      </c>
      <c r="J22" s="477" t="s">
        <v>2798</v>
      </c>
    </row>
    <row r="23" spans="1:10" ht="51.75" customHeight="1" x14ac:dyDescent="0.45">
      <c r="A23" s="467">
        <v>21</v>
      </c>
      <c r="B23" s="468" t="s">
        <v>333</v>
      </c>
      <c r="C23" s="469" t="s">
        <v>2799</v>
      </c>
      <c r="D23" s="470" t="s">
        <v>54</v>
      </c>
      <c r="E23" s="471" t="s">
        <v>66</v>
      </c>
      <c r="F23" s="53" t="s">
        <v>2800</v>
      </c>
      <c r="G23" s="472" t="s">
        <v>2801</v>
      </c>
      <c r="H23" s="470" t="s">
        <v>2802</v>
      </c>
      <c r="I23" s="473" t="s">
        <v>2803</v>
      </c>
      <c r="J23" s="474" t="s">
        <v>2804</v>
      </c>
    </row>
    <row r="24" spans="1:10" ht="51.75" customHeight="1" x14ac:dyDescent="0.45">
      <c r="A24" s="42">
        <v>22</v>
      </c>
      <c r="B24" s="426" t="s">
        <v>655</v>
      </c>
      <c r="C24" s="45" t="s">
        <v>656</v>
      </c>
      <c r="D24" s="44" t="s">
        <v>569</v>
      </c>
      <c r="E24" s="471" t="s">
        <v>66</v>
      </c>
      <c r="F24" s="51" t="s">
        <v>2805</v>
      </c>
      <c r="G24" s="476" t="s">
        <v>2718</v>
      </c>
      <c r="H24" s="44" t="s">
        <v>2806</v>
      </c>
      <c r="I24" s="48" t="s">
        <v>593</v>
      </c>
      <c r="J24" s="477" t="s">
        <v>2807</v>
      </c>
    </row>
    <row r="25" spans="1:10" ht="51.75" customHeight="1" x14ac:dyDescent="0.45">
      <c r="A25" s="467">
        <v>23</v>
      </c>
      <c r="B25" s="468" t="s">
        <v>1575</v>
      </c>
      <c r="C25" s="469" t="s">
        <v>2808</v>
      </c>
      <c r="D25" s="470" t="s">
        <v>1560</v>
      </c>
      <c r="E25" s="481" t="s">
        <v>154</v>
      </c>
      <c r="F25" s="488" t="s">
        <v>2809</v>
      </c>
      <c r="G25" s="472" t="s">
        <v>2801</v>
      </c>
      <c r="H25" s="470" t="s">
        <v>2810</v>
      </c>
      <c r="I25" s="473" t="s">
        <v>1568</v>
      </c>
      <c r="J25" s="474" t="s">
        <v>2811</v>
      </c>
    </row>
    <row r="26" spans="1:10" ht="51.75" customHeight="1" x14ac:dyDescent="0.45">
      <c r="A26" s="42">
        <v>24</v>
      </c>
      <c r="B26" s="426" t="s">
        <v>1513</v>
      </c>
      <c r="C26" s="45" t="s">
        <v>1514</v>
      </c>
      <c r="D26" s="44" t="s">
        <v>1510</v>
      </c>
      <c r="E26" s="481" t="s">
        <v>154</v>
      </c>
      <c r="F26" s="489" t="s">
        <v>2812</v>
      </c>
      <c r="G26" s="476" t="s">
        <v>2721</v>
      </c>
      <c r="H26" s="44" t="s">
        <v>2813</v>
      </c>
      <c r="I26" s="48" t="s">
        <v>1544</v>
      </c>
      <c r="J26" s="477" t="s">
        <v>2814</v>
      </c>
    </row>
  </sheetData>
  <mergeCells count="1">
    <mergeCell ref="A1:J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
  <sheetViews>
    <sheetView zoomScaleNormal="100" workbookViewId="0">
      <pane ySplit="2" topLeftCell="A3" activePane="bottomLeft" state="frozen"/>
      <selection pane="bottomLeft" sqref="A1:K1"/>
    </sheetView>
  </sheetViews>
  <sheetFormatPr defaultColWidth="8.6640625" defaultRowHeight="14.25" x14ac:dyDescent="0.45"/>
  <cols>
    <col min="1" max="1" width="18" customWidth="1"/>
    <col min="2" max="2" width="36" customWidth="1"/>
    <col min="3" max="3" width="42" customWidth="1"/>
    <col min="4" max="6" width="30" customWidth="1"/>
    <col min="7" max="7" width="40" customWidth="1"/>
    <col min="8" max="8" width="20" customWidth="1"/>
    <col min="9" max="9" width="12" customWidth="1"/>
    <col min="10" max="10" width="34" customWidth="1"/>
    <col min="11" max="11" width="30" customWidth="1"/>
  </cols>
  <sheetData>
    <row r="1" spans="1:11" ht="30" customHeight="1" x14ac:dyDescent="0.45">
      <c r="A1" s="2" t="s">
        <v>2815</v>
      </c>
      <c r="B1" s="2"/>
      <c r="C1" s="2"/>
      <c r="D1" s="2"/>
      <c r="E1" s="2"/>
      <c r="F1" s="2"/>
      <c r="G1" s="2"/>
      <c r="H1" s="2"/>
      <c r="I1" s="2"/>
      <c r="J1" s="2"/>
      <c r="K1" s="2"/>
    </row>
    <row r="2" spans="1:11" ht="32.25" customHeight="1" x14ac:dyDescent="0.45">
      <c r="A2" s="7" t="s">
        <v>2481</v>
      </c>
      <c r="B2" s="7" t="s">
        <v>2816</v>
      </c>
      <c r="C2" s="7" t="s">
        <v>2817</v>
      </c>
      <c r="D2" s="7" t="s">
        <v>2818</v>
      </c>
      <c r="E2" s="7" t="s">
        <v>2819</v>
      </c>
      <c r="F2" s="7" t="s">
        <v>2820</v>
      </c>
      <c r="G2" s="7" t="s">
        <v>2821</v>
      </c>
      <c r="H2" s="7" t="s">
        <v>2822</v>
      </c>
      <c r="I2" s="7" t="s">
        <v>2823</v>
      </c>
      <c r="J2" s="7" t="s">
        <v>2824</v>
      </c>
      <c r="K2" s="7" t="s">
        <v>2825</v>
      </c>
    </row>
    <row r="3" spans="1:11" ht="90" customHeight="1" x14ac:dyDescent="0.45">
      <c r="A3" s="490" t="s">
        <v>2826</v>
      </c>
      <c r="B3" s="44" t="s">
        <v>2827</v>
      </c>
      <c r="C3" s="491" t="s">
        <v>2828</v>
      </c>
      <c r="D3" s="492" t="s">
        <v>2829</v>
      </c>
      <c r="E3" s="493" t="s">
        <v>2830</v>
      </c>
      <c r="F3" s="463" t="s">
        <v>2831</v>
      </c>
      <c r="G3" s="434" t="s">
        <v>2832</v>
      </c>
      <c r="H3" s="494" t="s">
        <v>2833</v>
      </c>
      <c r="I3" s="494" t="s">
        <v>2834</v>
      </c>
      <c r="J3" s="495" t="s">
        <v>2835</v>
      </c>
      <c r="K3" s="496" t="s">
        <v>2836</v>
      </c>
    </row>
    <row r="4" spans="1:11" ht="90" customHeight="1" x14ac:dyDescent="0.45">
      <c r="A4" s="497" t="s">
        <v>2837</v>
      </c>
      <c r="B4" s="429" t="s">
        <v>2838</v>
      </c>
      <c r="C4" s="498" t="s">
        <v>2839</v>
      </c>
      <c r="D4" s="499" t="s">
        <v>2840</v>
      </c>
      <c r="E4" s="500" t="s">
        <v>2841</v>
      </c>
      <c r="F4" s="501" t="s">
        <v>2842</v>
      </c>
      <c r="G4" s="437" t="s">
        <v>2843</v>
      </c>
      <c r="H4" s="502" t="s">
        <v>2844</v>
      </c>
      <c r="I4" s="502" t="s">
        <v>2845</v>
      </c>
      <c r="J4" s="503" t="s">
        <v>2846</v>
      </c>
      <c r="K4" s="504" t="s">
        <v>2847</v>
      </c>
    </row>
    <row r="5" spans="1:11" ht="90" customHeight="1" x14ac:dyDescent="0.45">
      <c r="A5" s="505" t="s">
        <v>2848</v>
      </c>
      <c r="B5" s="44" t="s">
        <v>2849</v>
      </c>
      <c r="C5" s="491" t="s">
        <v>2850</v>
      </c>
      <c r="D5" s="492" t="s">
        <v>2851</v>
      </c>
      <c r="E5" s="493" t="s">
        <v>2852</v>
      </c>
      <c r="F5" s="463" t="s">
        <v>2853</v>
      </c>
      <c r="G5" s="434" t="s">
        <v>2854</v>
      </c>
      <c r="H5" s="506" t="s">
        <v>2855</v>
      </c>
      <c r="I5" s="506" t="s">
        <v>2856</v>
      </c>
      <c r="J5" s="495" t="s">
        <v>2857</v>
      </c>
      <c r="K5" s="496" t="s">
        <v>2858</v>
      </c>
    </row>
    <row r="6" spans="1:11" ht="90" customHeight="1" x14ac:dyDescent="0.45">
      <c r="A6" s="507" t="s">
        <v>2859</v>
      </c>
      <c r="B6" s="429" t="s">
        <v>2860</v>
      </c>
      <c r="C6" s="498" t="s">
        <v>2861</v>
      </c>
      <c r="D6" s="499" t="s">
        <v>2862</v>
      </c>
      <c r="E6" s="500" t="s">
        <v>2863</v>
      </c>
      <c r="F6" s="501" t="s">
        <v>2864</v>
      </c>
      <c r="G6" s="437" t="s">
        <v>2865</v>
      </c>
      <c r="H6" s="508" t="s">
        <v>2866</v>
      </c>
      <c r="I6" s="508" t="s">
        <v>2867</v>
      </c>
      <c r="J6" s="503" t="s">
        <v>2868</v>
      </c>
      <c r="K6" s="504" t="s">
        <v>2869</v>
      </c>
    </row>
    <row r="7" spans="1:11" ht="90" customHeight="1" x14ac:dyDescent="0.45">
      <c r="A7" s="509" t="s">
        <v>2870</v>
      </c>
      <c r="B7" s="44" t="s">
        <v>2871</v>
      </c>
      <c r="C7" s="491" t="s">
        <v>2872</v>
      </c>
      <c r="D7" s="492" t="s">
        <v>2873</v>
      </c>
      <c r="E7" s="493" t="s">
        <v>2874</v>
      </c>
      <c r="F7" s="463" t="s">
        <v>2875</v>
      </c>
      <c r="G7" s="434" t="s">
        <v>2876</v>
      </c>
      <c r="H7" s="510" t="s">
        <v>2866</v>
      </c>
      <c r="I7" s="510" t="s">
        <v>2877</v>
      </c>
      <c r="J7" s="495" t="s">
        <v>2878</v>
      </c>
      <c r="K7" s="496" t="s">
        <v>2879</v>
      </c>
    </row>
  </sheetData>
  <mergeCells count="1">
    <mergeCell ref="A1:K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2D87"/>
  </sheetPr>
  <dimension ref="A1:K36"/>
  <sheetViews>
    <sheetView zoomScaleNormal="100" workbookViewId="0">
      <pane ySplit="2" topLeftCell="A3" activePane="bottomLeft" state="frozen"/>
      <selection pane="bottomLeft" sqref="A1:K1"/>
    </sheetView>
  </sheetViews>
  <sheetFormatPr defaultColWidth="8.6640625" defaultRowHeight="14.25" x14ac:dyDescent="0.45"/>
  <cols>
    <col min="1" max="1" width="14" customWidth="1"/>
    <col min="2" max="2" width="18" customWidth="1"/>
    <col min="3" max="3" width="38" customWidth="1"/>
    <col min="4" max="5" width="14" customWidth="1"/>
    <col min="6" max="6" width="16" customWidth="1"/>
    <col min="7" max="7" width="40" customWidth="1"/>
    <col min="8" max="8" width="32" customWidth="1"/>
    <col min="9" max="9" width="38" customWidth="1"/>
    <col min="10" max="11" width="12" customWidth="1"/>
  </cols>
  <sheetData>
    <row r="1" spans="1:11" ht="31.5" customHeight="1" x14ac:dyDescent="0.45">
      <c r="A1" s="1" t="s">
        <v>2880</v>
      </c>
      <c r="B1" s="1"/>
      <c r="C1" s="1"/>
      <c r="D1" s="1"/>
      <c r="E1" s="1"/>
      <c r="F1" s="1"/>
      <c r="G1" s="1"/>
      <c r="H1" s="1"/>
      <c r="I1" s="1"/>
      <c r="J1" s="1"/>
      <c r="K1" s="1"/>
    </row>
    <row r="2" spans="1:11" ht="21.75" customHeight="1" x14ac:dyDescent="0.45">
      <c r="A2" s="7" t="s">
        <v>2881</v>
      </c>
      <c r="B2" s="7" t="s">
        <v>4</v>
      </c>
      <c r="C2" s="7" t="s">
        <v>2472</v>
      </c>
      <c r="D2" s="7" t="s">
        <v>2882</v>
      </c>
      <c r="E2" s="7" t="s">
        <v>2883</v>
      </c>
      <c r="F2" s="7" t="s">
        <v>2884</v>
      </c>
      <c r="G2" s="7" t="s">
        <v>2885</v>
      </c>
      <c r="H2" s="7" t="s">
        <v>2886</v>
      </c>
      <c r="I2" s="7" t="s">
        <v>2887</v>
      </c>
      <c r="J2" s="7" t="s">
        <v>2888</v>
      </c>
      <c r="K2" s="7" t="s">
        <v>2889</v>
      </c>
    </row>
    <row r="3" spans="1:11" ht="55.5" customHeight="1" x14ac:dyDescent="0.45">
      <c r="A3" s="484" t="s">
        <v>2890</v>
      </c>
      <c r="B3" s="426" t="s">
        <v>1626</v>
      </c>
      <c r="C3" s="45" t="s">
        <v>1627</v>
      </c>
      <c r="D3" s="44" t="s">
        <v>1624</v>
      </c>
      <c r="E3" s="511" t="s">
        <v>2891</v>
      </c>
      <c r="F3" s="22" t="s">
        <v>2892</v>
      </c>
      <c r="G3" s="496" t="s">
        <v>2893</v>
      </c>
      <c r="H3" s="512" t="s">
        <v>2894</v>
      </c>
      <c r="I3" s="431" t="s">
        <v>2895</v>
      </c>
      <c r="J3" s="447" t="s">
        <v>253</v>
      </c>
      <c r="K3" s="22" t="s">
        <v>2896</v>
      </c>
    </row>
    <row r="4" spans="1:11" ht="55.5" customHeight="1" x14ac:dyDescent="0.45">
      <c r="A4" s="484" t="s">
        <v>2890</v>
      </c>
      <c r="B4" s="427" t="s">
        <v>2897</v>
      </c>
      <c r="C4" s="428" t="s">
        <v>2898</v>
      </c>
      <c r="D4" s="429" t="s">
        <v>1753</v>
      </c>
      <c r="E4" s="51" t="s">
        <v>2899</v>
      </c>
      <c r="F4" s="22" t="s">
        <v>2892</v>
      </c>
      <c r="G4" s="504" t="s">
        <v>2900</v>
      </c>
      <c r="H4" s="513" t="s">
        <v>2901</v>
      </c>
      <c r="I4" s="436" t="s">
        <v>2902</v>
      </c>
      <c r="J4" s="447" t="s">
        <v>253</v>
      </c>
      <c r="K4" s="22" t="s">
        <v>2896</v>
      </c>
    </row>
    <row r="5" spans="1:11" ht="55.5" customHeight="1" x14ac:dyDescent="0.45">
      <c r="A5" s="484" t="s">
        <v>2890</v>
      </c>
      <c r="B5" s="426" t="s">
        <v>2903</v>
      </c>
      <c r="C5" s="45" t="s">
        <v>2904</v>
      </c>
      <c r="D5" s="44" t="s">
        <v>1807</v>
      </c>
      <c r="E5" s="511" t="s">
        <v>2891</v>
      </c>
      <c r="F5" s="22" t="s">
        <v>2892</v>
      </c>
      <c r="G5" s="496" t="s">
        <v>2905</v>
      </c>
      <c r="H5" s="512" t="s">
        <v>2906</v>
      </c>
      <c r="I5" s="431" t="s">
        <v>2907</v>
      </c>
      <c r="J5" s="447" t="s">
        <v>253</v>
      </c>
      <c r="K5" s="22" t="s">
        <v>2896</v>
      </c>
    </row>
    <row r="6" spans="1:11" ht="55.5" customHeight="1" x14ac:dyDescent="0.45">
      <c r="A6" s="34" t="s">
        <v>2908</v>
      </c>
      <c r="B6" s="514" t="s">
        <v>557</v>
      </c>
      <c r="C6" s="428" t="s">
        <v>58</v>
      </c>
      <c r="D6" s="429" t="s">
        <v>54</v>
      </c>
      <c r="E6" s="511" t="s">
        <v>2909</v>
      </c>
      <c r="F6" s="22" t="s">
        <v>2892</v>
      </c>
      <c r="G6" s="504" t="s">
        <v>2910</v>
      </c>
      <c r="H6" s="513" t="s">
        <v>2911</v>
      </c>
      <c r="I6" s="436" t="s">
        <v>2912</v>
      </c>
      <c r="J6" s="432" t="s">
        <v>66</v>
      </c>
      <c r="K6" s="22" t="s">
        <v>2913</v>
      </c>
    </row>
    <row r="7" spans="1:11" ht="55.5" customHeight="1" x14ac:dyDescent="0.45">
      <c r="A7" s="34" t="s">
        <v>2908</v>
      </c>
      <c r="B7" s="43" t="s">
        <v>2914</v>
      </c>
      <c r="C7" s="45" t="s">
        <v>107</v>
      </c>
      <c r="D7" s="44" t="s">
        <v>54</v>
      </c>
      <c r="E7" s="511" t="s">
        <v>2915</v>
      </c>
      <c r="F7" s="22" t="s">
        <v>2892</v>
      </c>
      <c r="G7" s="496" t="s">
        <v>2916</v>
      </c>
      <c r="H7" s="512" t="s">
        <v>2917</v>
      </c>
      <c r="I7" s="431" t="s">
        <v>2918</v>
      </c>
      <c r="J7" s="432" t="s">
        <v>66</v>
      </c>
      <c r="K7" s="22" t="s">
        <v>2913</v>
      </c>
    </row>
    <row r="8" spans="1:11" ht="55.5" customHeight="1" x14ac:dyDescent="0.45">
      <c r="A8" s="34" t="s">
        <v>2908</v>
      </c>
      <c r="B8" s="514" t="s">
        <v>333</v>
      </c>
      <c r="C8" s="428" t="s">
        <v>2919</v>
      </c>
      <c r="D8" s="429" t="s">
        <v>54</v>
      </c>
      <c r="E8" s="511" t="s">
        <v>2891</v>
      </c>
      <c r="F8" s="22" t="s">
        <v>2892</v>
      </c>
      <c r="G8" s="504" t="s">
        <v>2920</v>
      </c>
      <c r="H8" s="513" t="s">
        <v>2894</v>
      </c>
      <c r="I8" s="436" t="s">
        <v>2921</v>
      </c>
      <c r="J8" s="432" t="s">
        <v>66</v>
      </c>
      <c r="K8" s="22" t="s">
        <v>2896</v>
      </c>
    </row>
    <row r="9" spans="1:11" ht="55.5" customHeight="1" x14ac:dyDescent="0.45">
      <c r="A9" s="34" t="s">
        <v>2908</v>
      </c>
      <c r="B9" s="43" t="s">
        <v>2922</v>
      </c>
      <c r="C9" s="45" t="s">
        <v>149</v>
      </c>
      <c r="D9" s="44" t="s">
        <v>54</v>
      </c>
      <c r="E9" s="511" t="s">
        <v>2915</v>
      </c>
      <c r="F9" s="22" t="s">
        <v>2892</v>
      </c>
      <c r="G9" s="496" t="s">
        <v>2923</v>
      </c>
      <c r="H9" s="512" t="s">
        <v>2924</v>
      </c>
      <c r="I9" s="431" t="s">
        <v>2925</v>
      </c>
      <c r="J9" s="439" t="s">
        <v>154</v>
      </c>
      <c r="K9" s="22" t="s">
        <v>2913</v>
      </c>
    </row>
    <row r="10" spans="1:11" ht="55.5" customHeight="1" x14ac:dyDescent="0.45">
      <c r="A10" s="34" t="s">
        <v>2908</v>
      </c>
      <c r="B10" s="514" t="s">
        <v>2926</v>
      </c>
      <c r="C10" s="428" t="s">
        <v>192</v>
      </c>
      <c r="D10" s="429" t="s">
        <v>54</v>
      </c>
      <c r="E10" s="511" t="s">
        <v>2915</v>
      </c>
      <c r="F10" s="22" t="s">
        <v>2892</v>
      </c>
      <c r="G10" s="504" t="s">
        <v>2927</v>
      </c>
      <c r="H10" s="513" t="s">
        <v>2928</v>
      </c>
      <c r="I10" s="436" t="s">
        <v>2929</v>
      </c>
      <c r="J10" s="439" t="s">
        <v>154</v>
      </c>
      <c r="K10" s="22" t="s">
        <v>2913</v>
      </c>
    </row>
    <row r="11" spans="1:11" ht="55.5" customHeight="1" x14ac:dyDescent="0.45">
      <c r="A11" s="34" t="s">
        <v>2908</v>
      </c>
      <c r="B11" s="43" t="s">
        <v>1152</v>
      </c>
      <c r="C11" s="45" t="s">
        <v>1153</v>
      </c>
      <c r="D11" s="44" t="s">
        <v>1286</v>
      </c>
      <c r="E11" s="511" t="s">
        <v>2909</v>
      </c>
      <c r="F11" s="61" t="s">
        <v>2930</v>
      </c>
      <c r="G11" s="496" t="s">
        <v>2931</v>
      </c>
      <c r="H11" s="512" t="s">
        <v>2932</v>
      </c>
      <c r="I11" s="431" t="s">
        <v>2933</v>
      </c>
      <c r="J11" s="447" t="s">
        <v>253</v>
      </c>
      <c r="K11" s="61" t="s">
        <v>2934</v>
      </c>
    </row>
    <row r="12" spans="1:11" ht="55.5" customHeight="1" x14ac:dyDescent="0.45">
      <c r="A12" s="41" t="s">
        <v>2935</v>
      </c>
      <c r="B12" s="515" t="s">
        <v>382</v>
      </c>
      <c r="C12" s="428" t="s">
        <v>383</v>
      </c>
      <c r="D12" s="429" t="s">
        <v>380</v>
      </c>
      <c r="E12" s="511" t="s">
        <v>2936</v>
      </c>
      <c r="F12" s="22" t="s">
        <v>2892</v>
      </c>
      <c r="G12" s="504" t="s">
        <v>2937</v>
      </c>
      <c r="H12" s="513" t="s">
        <v>2938</v>
      </c>
      <c r="I12" s="436" t="s">
        <v>2939</v>
      </c>
      <c r="J12" s="432" t="s">
        <v>66</v>
      </c>
      <c r="K12" s="22" t="s">
        <v>2913</v>
      </c>
    </row>
    <row r="13" spans="1:11" ht="55.5" customHeight="1" x14ac:dyDescent="0.45">
      <c r="A13" s="41" t="s">
        <v>2935</v>
      </c>
      <c r="B13" s="412" t="s">
        <v>426</v>
      </c>
      <c r="C13" s="45" t="s">
        <v>427</v>
      </c>
      <c r="D13" s="44" t="s">
        <v>380</v>
      </c>
      <c r="E13" s="511" t="s">
        <v>2891</v>
      </c>
      <c r="F13" s="22" t="s">
        <v>2892</v>
      </c>
      <c r="G13" s="496" t="s">
        <v>2940</v>
      </c>
      <c r="H13" s="512" t="s">
        <v>2941</v>
      </c>
      <c r="I13" s="431" t="s">
        <v>2942</v>
      </c>
      <c r="J13" s="432" t="s">
        <v>66</v>
      </c>
      <c r="K13" s="22" t="s">
        <v>2913</v>
      </c>
    </row>
    <row r="14" spans="1:11" ht="55.5" customHeight="1" x14ac:dyDescent="0.45">
      <c r="A14" s="41" t="s">
        <v>2935</v>
      </c>
      <c r="B14" s="515" t="s">
        <v>473</v>
      </c>
      <c r="C14" s="428" t="s">
        <v>474</v>
      </c>
      <c r="D14" s="429" t="s">
        <v>2943</v>
      </c>
      <c r="E14" s="511" t="s">
        <v>2936</v>
      </c>
      <c r="F14" s="61" t="s">
        <v>2930</v>
      </c>
      <c r="G14" s="504" t="s">
        <v>2944</v>
      </c>
      <c r="H14" s="513" t="s">
        <v>2945</v>
      </c>
      <c r="I14" s="436" t="s">
        <v>2946</v>
      </c>
      <c r="J14" s="439" t="s">
        <v>154</v>
      </c>
      <c r="K14" s="61" t="s">
        <v>2934</v>
      </c>
    </row>
    <row r="15" spans="1:11" ht="55.5" customHeight="1" x14ac:dyDescent="0.45">
      <c r="A15" s="41" t="s">
        <v>2935</v>
      </c>
      <c r="B15" s="412" t="s">
        <v>502</v>
      </c>
      <c r="C15" s="45" t="s">
        <v>2947</v>
      </c>
      <c r="D15" s="44" t="s">
        <v>380</v>
      </c>
      <c r="E15" s="511" t="s">
        <v>2948</v>
      </c>
      <c r="F15" s="90" t="s">
        <v>2949</v>
      </c>
      <c r="G15" s="496" t="s">
        <v>2950</v>
      </c>
      <c r="H15" s="512" t="s">
        <v>2894</v>
      </c>
      <c r="I15" s="431" t="s">
        <v>2951</v>
      </c>
      <c r="J15" s="447" t="s">
        <v>253</v>
      </c>
      <c r="K15" s="90" t="s">
        <v>2952</v>
      </c>
    </row>
    <row r="16" spans="1:11" ht="55.5" customHeight="1" x14ac:dyDescent="0.45">
      <c r="A16" s="51" t="s">
        <v>2953</v>
      </c>
      <c r="B16" s="516" t="s">
        <v>572</v>
      </c>
      <c r="C16" s="428" t="s">
        <v>573</v>
      </c>
      <c r="D16" s="429" t="s">
        <v>569</v>
      </c>
      <c r="E16" s="511" t="s">
        <v>2936</v>
      </c>
      <c r="F16" s="22" t="s">
        <v>2892</v>
      </c>
      <c r="G16" s="504" t="s">
        <v>2954</v>
      </c>
      <c r="H16" s="513" t="s">
        <v>2894</v>
      </c>
      <c r="I16" s="436" t="s">
        <v>2955</v>
      </c>
      <c r="J16" s="432" t="s">
        <v>66</v>
      </c>
      <c r="K16" s="22" t="s">
        <v>2896</v>
      </c>
    </row>
    <row r="17" spans="1:11" ht="55.5" customHeight="1" x14ac:dyDescent="0.45">
      <c r="A17" s="51" t="s">
        <v>2953</v>
      </c>
      <c r="B17" s="69" t="s">
        <v>586</v>
      </c>
      <c r="C17" s="45" t="s">
        <v>587</v>
      </c>
      <c r="D17" s="44" t="s">
        <v>569</v>
      </c>
      <c r="E17" s="511" t="s">
        <v>2909</v>
      </c>
      <c r="F17" s="61" t="s">
        <v>2930</v>
      </c>
      <c r="G17" s="496" t="s">
        <v>2956</v>
      </c>
      <c r="H17" s="512" t="s">
        <v>2957</v>
      </c>
      <c r="I17" s="431" t="s">
        <v>2958</v>
      </c>
      <c r="J17" s="432" t="s">
        <v>66</v>
      </c>
      <c r="K17" s="22" t="s">
        <v>2913</v>
      </c>
    </row>
    <row r="18" spans="1:11" ht="55.5" customHeight="1" x14ac:dyDescent="0.45">
      <c r="A18" s="51" t="s">
        <v>2953</v>
      </c>
      <c r="B18" s="516" t="s">
        <v>630</v>
      </c>
      <c r="C18" s="428" t="s">
        <v>2193</v>
      </c>
      <c r="D18" s="429" t="s">
        <v>2196</v>
      </c>
      <c r="E18" s="511" t="s">
        <v>2909</v>
      </c>
      <c r="F18" s="61" t="s">
        <v>2930</v>
      </c>
      <c r="G18" s="504" t="s">
        <v>2959</v>
      </c>
      <c r="H18" s="513" t="s">
        <v>2960</v>
      </c>
      <c r="I18" s="436" t="s">
        <v>2961</v>
      </c>
      <c r="J18" s="432" t="s">
        <v>66</v>
      </c>
      <c r="K18" s="22" t="s">
        <v>2913</v>
      </c>
    </row>
    <row r="19" spans="1:11" ht="55.5" customHeight="1" x14ac:dyDescent="0.45">
      <c r="A19" s="51" t="s">
        <v>2953</v>
      </c>
      <c r="B19" s="69" t="s">
        <v>688</v>
      </c>
      <c r="C19" s="45" t="s">
        <v>689</v>
      </c>
      <c r="D19" s="44" t="s">
        <v>569</v>
      </c>
      <c r="E19" s="511" t="s">
        <v>2936</v>
      </c>
      <c r="F19" s="61" t="s">
        <v>2930</v>
      </c>
      <c r="G19" s="496" t="s">
        <v>2962</v>
      </c>
      <c r="H19" s="512" t="s">
        <v>2963</v>
      </c>
      <c r="I19" s="431" t="s">
        <v>2964</v>
      </c>
      <c r="J19" s="432" t="s">
        <v>66</v>
      </c>
      <c r="K19" s="22" t="s">
        <v>2913</v>
      </c>
    </row>
    <row r="20" spans="1:11" ht="55.5" customHeight="1" x14ac:dyDescent="0.45">
      <c r="A20" s="51" t="s">
        <v>2953</v>
      </c>
      <c r="B20" s="516" t="s">
        <v>655</v>
      </c>
      <c r="C20" s="428" t="s">
        <v>656</v>
      </c>
      <c r="D20" s="429" t="s">
        <v>569</v>
      </c>
      <c r="E20" s="511" t="s">
        <v>2936</v>
      </c>
      <c r="F20" s="61" t="s">
        <v>2930</v>
      </c>
      <c r="G20" s="504" t="s">
        <v>2965</v>
      </c>
      <c r="H20" s="513" t="s">
        <v>2894</v>
      </c>
      <c r="I20" s="436" t="s">
        <v>2966</v>
      </c>
      <c r="J20" s="432" t="s">
        <v>66</v>
      </c>
      <c r="K20" s="61" t="s">
        <v>2934</v>
      </c>
    </row>
    <row r="21" spans="1:11" ht="55.5" customHeight="1" x14ac:dyDescent="0.45">
      <c r="A21" s="51" t="s">
        <v>2953</v>
      </c>
      <c r="B21" s="69" t="s">
        <v>930</v>
      </c>
      <c r="C21" s="45" t="s">
        <v>2199</v>
      </c>
      <c r="D21" s="44" t="s">
        <v>928</v>
      </c>
      <c r="E21" s="511" t="s">
        <v>2936</v>
      </c>
      <c r="F21" s="92" t="s">
        <v>2524</v>
      </c>
      <c r="G21" s="496" t="s">
        <v>2967</v>
      </c>
      <c r="H21" s="512" t="s">
        <v>2894</v>
      </c>
      <c r="I21" s="431" t="s">
        <v>2968</v>
      </c>
      <c r="J21" s="432" t="s">
        <v>66</v>
      </c>
      <c r="K21" s="61" t="s">
        <v>2934</v>
      </c>
    </row>
    <row r="22" spans="1:11" ht="55.5" customHeight="1" x14ac:dyDescent="0.45">
      <c r="A22" s="51" t="s">
        <v>2953</v>
      </c>
      <c r="B22" s="516" t="s">
        <v>1198</v>
      </c>
      <c r="C22" s="428" t="s">
        <v>1199</v>
      </c>
      <c r="D22" s="429" t="s">
        <v>1196</v>
      </c>
      <c r="E22" s="511" t="s">
        <v>2948</v>
      </c>
      <c r="F22" s="517" t="s">
        <v>2969</v>
      </c>
      <c r="G22" s="504" t="s">
        <v>2970</v>
      </c>
      <c r="H22" s="513" t="s">
        <v>2894</v>
      </c>
      <c r="I22" s="436" t="s">
        <v>2971</v>
      </c>
      <c r="J22" s="432" t="s">
        <v>66</v>
      </c>
      <c r="K22" s="22" t="s">
        <v>2896</v>
      </c>
    </row>
    <row r="23" spans="1:11" ht="55.5" customHeight="1" x14ac:dyDescent="0.45">
      <c r="A23" s="53" t="s">
        <v>2972</v>
      </c>
      <c r="B23" s="518" t="s">
        <v>785</v>
      </c>
      <c r="C23" s="45" t="s">
        <v>786</v>
      </c>
      <c r="D23" s="44" t="s">
        <v>783</v>
      </c>
      <c r="E23" s="511" t="s">
        <v>2915</v>
      </c>
      <c r="F23" s="22" t="s">
        <v>2892</v>
      </c>
      <c r="G23" s="496" t="s">
        <v>2973</v>
      </c>
      <c r="H23" s="512" t="s">
        <v>2974</v>
      </c>
      <c r="I23" s="431" t="s">
        <v>2975</v>
      </c>
      <c r="J23" s="432" t="s">
        <v>66</v>
      </c>
      <c r="K23" s="22" t="s">
        <v>2913</v>
      </c>
    </row>
    <row r="24" spans="1:11" ht="55.5" customHeight="1" x14ac:dyDescent="0.45">
      <c r="A24" s="53" t="s">
        <v>2972</v>
      </c>
      <c r="B24" s="519" t="s">
        <v>843</v>
      </c>
      <c r="C24" s="428" t="s">
        <v>2976</v>
      </c>
      <c r="D24" s="429" t="s">
        <v>783</v>
      </c>
      <c r="E24" s="511" t="s">
        <v>2915</v>
      </c>
      <c r="F24" s="90" t="s">
        <v>2977</v>
      </c>
      <c r="G24" s="504" t="s">
        <v>2978</v>
      </c>
      <c r="H24" s="513" t="s">
        <v>2979</v>
      </c>
      <c r="I24" s="436" t="s">
        <v>2980</v>
      </c>
      <c r="J24" s="432" t="s">
        <v>66</v>
      </c>
      <c r="K24" s="61" t="s">
        <v>2934</v>
      </c>
    </row>
    <row r="25" spans="1:11" ht="55.5" customHeight="1" x14ac:dyDescent="0.45">
      <c r="A25" s="53" t="s">
        <v>2972</v>
      </c>
      <c r="B25" s="518" t="s">
        <v>1397</v>
      </c>
      <c r="C25" s="45" t="s">
        <v>1398</v>
      </c>
      <c r="D25" s="44" t="s">
        <v>1340</v>
      </c>
      <c r="E25" s="511" t="s">
        <v>2915</v>
      </c>
      <c r="F25" s="61" t="s">
        <v>2930</v>
      </c>
      <c r="G25" s="496" t="s">
        <v>2981</v>
      </c>
      <c r="H25" s="512" t="s">
        <v>2982</v>
      </c>
      <c r="I25" s="431" t="s">
        <v>2983</v>
      </c>
      <c r="J25" s="432" t="s">
        <v>66</v>
      </c>
      <c r="K25" s="61" t="s">
        <v>2934</v>
      </c>
    </row>
    <row r="26" spans="1:11" ht="55.5" customHeight="1" x14ac:dyDescent="0.45">
      <c r="A26" s="53" t="s">
        <v>2972</v>
      </c>
      <c r="B26" s="519" t="s">
        <v>1513</v>
      </c>
      <c r="C26" s="428" t="s">
        <v>2984</v>
      </c>
      <c r="D26" s="429" t="s">
        <v>1510</v>
      </c>
      <c r="E26" s="511" t="s">
        <v>2915</v>
      </c>
      <c r="F26" s="61" t="s">
        <v>2930</v>
      </c>
      <c r="G26" s="504" t="s">
        <v>2985</v>
      </c>
      <c r="H26" s="513" t="s">
        <v>2986</v>
      </c>
      <c r="I26" s="436" t="s">
        <v>2987</v>
      </c>
      <c r="J26" s="439" t="s">
        <v>154</v>
      </c>
      <c r="K26" s="61" t="s">
        <v>2934</v>
      </c>
    </row>
    <row r="27" spans="1:11" ht="55.5" customHeight="1" x14ac:dyDescent="0.45">
      <c r="A27" s="488" t="s">
        <v>2988</v>
      </c>
      <c r="B27" s="364" t="s">
        <v>1020</v>
      </c>
      <c r="C27" s="45" t="s">
        <v>1021</v>
      </c>
      <c r="D27" s="44" t="s">
        <v>1018</v>
      </c>
      <c r="E27" s="511" t="s">
        <v>2936</v>
      </c>
      <c r="F27" s="22" t="s">
        <v>2892</v>
      </c>
      <c r="G27" s="496" t="s">
        <v>2989</v>
      </c>
      <c r="H27" s="512" t="s">
        <v>2894</v>
      </c>
      <c r="I27" s="431" t="s">
        <v>2990</v>
      </c>
      <c r="J27" s="439" t="s">
        <v>154</v>
      </c>
      <c r="K27" s="61" t="s">
        <v>2934</v>
      </c>
    </row>
    <row r="28" spans="1:11" ht="55.5" customHeight="1" x14ac:dyDescent="0.45">
      <c r="A28" s="488" t="s">
        <v>2988</v>
      </c>
      <c r="B28" s="520" t="s">
        <v>1575</v>
      </c>
      <c r="C28" s="428" t="s">
        <v>2808</v>
      </c>
      <c r="D28" s="429" t="s">
        <v>1560</v>
      </c>
      <c r="E28" s="511" t="s">
        <v>2936</v>
      </c>
      <c r="F28" s="22" t="s">
        <v>2892</v>
      </c>
      <c r="G28" s="504" t="s">
        <v>2991</v>
      </c>
      <c r="H28" s="513" t="s">
        <v>2894</v>
      </c>
      <c r="I28" s="436" t="s">
        <v>2992</v>
      </c>
      <c r="J28" s="439" t="s">
        <v>154</v>
      </c>
      <c r="K28" s="61" t="s">
        <v>2934</v>
      </c>
    </row>
    <row r="29" spans="1:11" ht="55.5" customHeight="1" x14ac:dyDescent="0.45">
      <c r="A29" s="488" t="s">
        <v>2988</v>
      </c>
      <c r="B29" s="364" t="s">
        <v>1609</v>
      </c>
      <c r="C29" s="45" t="s">
        <v>2993</v>
      </c>
      <c r="D29" s="44" t="s">
        <v>1560</v>
      </c>
      <c r="E29" s="511" t="s">
        <v>2936</v>
      </c>
      <c r="F29" s="22" t="s">
        <v>2892</v>
      </c>
      <c r="G29" s="496" t="s">
        <v>2994</v>
      </c>
      <c r="H29" s="512" t="s">
        <v>2894</v>
      </c>
      <c r="I29" s="431" t="s">
        <v>2995</v>
      </c>
      <c r="J29" s="439" t="s">
        <v>154</v>
      </c>
      <c r="K29" s="61" t="s">
        <v>2934</v>
      </c>
    </row>
    <row r="30" spans="1:11" ht="55.5" customHeight="1" x14ac:dyDescent="0.45">
      <c r="A30" s="482" t="s">
        <v>2996</v>
      </c>
      <c r="B30" s="521" t="s">
        <v>1085</v>
      </c>
      <c r="C30" s="428" t="s">
        <v>2747</v>
      </c>
      <c r="D30" s="429" t="s">
        <v>1083</v>
      </c>
      <c r="E30" s="511" t="s">
        <v>2936</v>
      </c>
      <c r="F30" s="22" t="s">
        <v>2892</v>
      </c>
      <c r="G30" s="504" t="s">
        <v>2997</v>
      </c>
      <c r="H30" s="513" t="s">
        <v>2998</v>
      </c>
      <c r="I30" s="436" t="s">
        <v>2999</v>
      </c>
      <c r="J30" s="439" t="s">
        <v>154</v>
      </c>
      <c r="K30" s="61" t="s">
        <v>2934</v>
      </c>
    </row>
    <row r="31" spans="1:11" ht="55.5" customHeight="1" x14ac:dyDescent="0.45">
      <c r="A31" s="482" t="s">
        <v>2996</v>
      </c>
      <c r="B31" s="115" t="s">
        <v>1152</v>
      </c>
      <c r="C31" s="45" t="s">
        <v>1153</v>
      </c>
      <c r="D31" s="44" t="s">
        <v>1286</v>
      </c>
      <c r="E31" s="511" t="s">
        <v>2909</v>
      </c>
      <c r="F31" s="61" t="s">
        <v>2930</v>
      </c>
      <c r="G31" s="496" t="s">
        <v>3000</v>
      </c>
      <c r="H31" s="512" t="s">
        <v>3001</v>
      </c>
      <c r="I31" s="431" t="s">
        <v>3002</v>
      </c>
      <c r="J31" s="447" t="s">
        <v>253</v>
      </c>
      <c r="K31" s="61" t="s">
        <v>2934</v>
      </c>
    </row>
    <row r="32" spans="1:11" ht="55.5" customHeight="1" x14ac:dyDescent="0.45">
      <c r="A32" s="486" t="s">
        <v>3003</v>
      </c>
      <c r="B32" s="522" t="s">
        <v>2760</v>
      </c>
      <c r="C32" s="428" t="s">
        <v>3004</v>
      </c>
      <c r="D32" s="429" t="s">
        <v>2762</v>
      </c>
      <c r="E32" s="511" t="s">
        <v>2909</v>
      </c>
      <c r="F32" s="92" t="s">
        <v>2524</v>
      </c>
      <c r="G32" s="504" t="s">
        <v>3005</v>
      </c>
      <c r="H32" s="513" t="s">
        <v>2894</v>
      </c>
      <c r="I32" s="436" t="s">
        <v>3006</v>
      </c>
      <c r="J32" s="439" t="s">
        <v>154</v>
      </c>
      <c r="K32" s="92" t="s">
        <v>3007</v>
      </c>
    </row>
    <row r="33" spans="1:11" ht="55.5" customHeight="1" x14ac:dyDescent="0.45">
      <c r="A33" s="486" t="s">
        <v>3003</v>
      </c>
      <c r="B33" s="386" t="s">
        <v>2767</v>
      </c>
      <c r="C33" s="45" t="s">
        <v>2768</v>
      </c>
      <c r="D33" s="44" t="s">
        <v>2769</v>
      </c>
      <c r="E33" s="511" t="s">
        <v>2909</v>
      </c>
      <c r="F33" s="92" t="s">
        <v>3008</v>
      </c>
      <c r="G33" s="496" t="s">
        <v>3009</v>
      </c>
      <c r="H33" s="512" t="s">
        <v>2894</v>
      </c>
      <c r="I33" s="431" t="s">
        <v>3010</v>
      </c>
      <c r="J33" s="439" t="s">
        <v>154</v>
      </c>
      <c r="K33" s="92" t="s">
        <v>3007</v>
      </c>
    </row>
    <row r="34" spans="1:11" ht="55.5" customHeight="1" x14ac:dyDescent="0.45">
      <c r="A34" s="486" t="s">
        <v>3003</v>
      </c>
      <c r="B34" s="522" t="s">
        <v>2774</v>
      </c>
      <c r="C34" s="428" t="s">
        <v>2775</v>
      </c>
      <c r="D34" s="429" t="s">
        <v>2769</v>
      </c>
      <c r="E34" s="511" t="s">
        <v>2915</v>
      </c>
      <c r="F34" s="92" t="s">
        <v>2524</v>
      </c>
      <c r="G34" s="504" t="s">
        <v>3011</v>
      </c>
      <c r="H34" s="513" t="s">
        <v>2894</v>
      </c>
      <c r="I34" s="436" t="s">
        <v>3012</v>
      </c>
      <c r="J34" s="432" t="s">
        <v>66</v>
      </c>
      <c r="K34" s="92" t="s">
        <v>3007</v>
      </c>
    </row>
    <row r="35" spans="1:11" ht="55.5" customHeight="1" x14ac:dyDescent="0.45">
      <c r="A35" s="486" t="s">
        <v>3003</v>
      </c>
      <c r="B35" s="386" t="s">
        <v>2780</v>
      </c>
      <c r="C35" s="45" t="s">
        <v>3013</v>
      </c>
      <c r="D35" s="44" t="s">
        <v>2782</v>
      </c>
      <c r="E35" s="511" t="s">
        <v>2915</v>
      </c>
      <c r="F35" s="92" t="s">
        <v>3014</v>
      </c>
      <c r="G35" s="496" t="s">
        <v>3015</v>
      </c>
      <c r="H35" s="512" t="s">
        <v>3016</v>
      </c>
      <c r="I35" s="431" t="s">
        <v>3017</v>
      </c>
      <c r="J35" s="439" t="s">
        <v>154</v>
      </c>
      <c r="K35" s="92" t="s">
        <v>3007</v>
      </c>
    </row>
    <row r="36" spans="1:11" ht="55.5" customHeight="1" x14ac:dyDescent="0.45">
      <c r="A36" s="486" t="s">
        <v>3003</v>
      </c>
      <c r="B36" s="522" t="s">
        <v>2792</v>
      </c>
      <c r="C36" s="428" t="s">
        <v>2793</v>
      </c>
      <c r="D36" s="429" t="s">
        <v>2794</v>
      </c>
      <c r="E36" s="511" t="s">
        <v>2915</v>
      </c>
      <c r="F36" s="92" t="s">
        <v>2524</v>
      </c>
      <c r="G36" s="504" t="s">
        <v>3018</v>
      </c>
      <c r="H36" s="513" t="s">
        <v>2894</v>
      </c>
      <c r="I36" s="436" t="s">
        <v>3019</v>
      </c>
      <c r="J36" s="439" t="s">
        <v>154</v>
      </c>
      <c r="K36" s="92" t="s">
        <v>3007</v>
      </c>
    </row>
  </sheetData>
  <mergeCells count="1">
    <mergeCell ref="A1:K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B0000"/>
  </sheetPr>
  <dimension ref="A1:M25"/>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25" x14ac:dyDescent="0.45"/>
  <cols>
    <col min="1" max="1" width="18" customWidth="1"/>
    <col min="2" max="12" width="16" customWidth="1"/>
    <col min="13" max="13" width="14" customWidth="1"/>
  </cols>
  <sheetData>
    <row r="1" spans="1:13" ht="32.25" customHeight="1" x14ac:dyDescent="0.45">
      <c r="A1" s="8" t="s">
        <v>4</v>
      </c>
      <c r="B1" s="8" t="s">
        <v>3020</v>
      </c>
      <c r="C1" s="8" t="s">
        <v>3021</v>
      </c>
      <c r="D1" s="8" t="s">
        <v>3022</v>
      </c>
      <c r="E1" s="8" t="s">
        <v>3023</v>
      </c>
      <c r="F1" s="8" t="s">
        <v>3024</v>
      </c>
      <c r="G1" s="8" t="s">
        <v>3025</v>
      </c>
      <c r="H1" s="8" t="s">
        <v>3026</v>
      </c>
      <c r="I1" s="8" t="s">
        <v>3027</v>
      </c>
      <c r="J1" s="8" t="s">
        <v>3028</v>
      </c>
      <c r="K1" s="8" t="s">
        <v>3029</v>
      </c>
      <c r="L1" s="8" t="s">
        <v>3030</v>
      </c>
      <c r="M1" s="7" t="s">
        <v>3031</v>
      </c>
    </row>
    <row r="2" spans="1:13" ht="21.75" customHeight="1" x14ac:dyDescent="0.45">
      <c r="A2" s="518" t="s">
        <v>557</v>
      </c>
      <c r="B2" s="471" t="s">
        <v>3032</v>
      </c>
      <c r="C2" s="523" t="s">
        <v>3033</v>
      </c>
      <c r="D2" s="523" t="s">
        <v>3033</v>
      </c>
      <c r="E2" s="471" t="s">
        <v>3032</v>
      </c>
      <c r="F2" s="471" t="s">
        <v>3032</v>
      </c>
      <c r="G2" s="523" t="s">
        <v>3033</v>
      </c>
      <c r="H2" s="523" t="s">
        <v>3033</v>
      </c>
      <c r="I2" s="523" t="s">
        <v>3033</v>
      </c>
      <c r="J2" s="523" t="s">
        <v>3033</v>
      </c>
      <c r="K2" s="523" t="s">
        <v>3033</v>
      </c>
      <c r="L2" s="524" t="s">
        <v>2894</v>
      </c>
      <c r="M2" s="439" t="s">
        <v>3034</v>
      </c>
    </row>
    <row r="3" spans="1:13" ht="21.75" customHeight="1" x14ac:dyDescent="0.45">
      <c r="A3" s="525" t="s">
        <v>2914</v>
      </c>
      <c r="B3" s="471" t="s">
        <v>3032</v>
      </c>
      <c r="C3" s="524" t="s">
        <v>2894</v>
      </c>
      <c r="D3" s="471" t="s">
        <v>3032</v>
      </c>
      <c r="E3" s="471" t="s">
        <v>3032</v>
      </c>
      <c r="F3" s="471" t="s">
        <v>3032</v>
      </c>
      <c r="G3" s="524" t="s">
        <v>2894</v>
      </c>
      <c r="H3" s="524" t="s">
        <v>2894</v>
      </c>
      <c r="I3" s="523" t="s">
        <v>3033</v>
      </c>
      <c r="J3" s="524" t="s">
        <v>2894</v>
      </c>
      <c r="K3" s="471" t="s">
        <v>3032</v>
      </c>
      <c r="L3" s="524" t="s">
        <v>2894</v>
      </c>
      <c r="M3" s="439" t="s">
        <v>3035</v>
      </c>
    </row>
    <row r="4" spans="1:13" ht="21.75" customHeight="1" x14ac:dyDescent="0.45">
      <c r="A4" s="518" t="s">
        <v>382</v>
      </c>
      <c r="B4" s="524" t="s">
        <v>2894</v>
      </c>
      <c r="C4" s="471" t="s">
        <v>3032</v>
      </c>
      <c r="D4" s="524" t="s">
        <v>2894</v>
      </c>
      <c r="E4" s="524" t="s">
        <v>2894</v>
      </c>
      <c r="F4" s="471" t="s">
        <v>3032</v>
      </c>
      <c r="G4" s="523" t="s">
        <v>3033</v>
      </c>
      <c r="H4" s="524" t="s">
        <v>2894</v>
      </c>
      <c r="I4" s="524" t="s">
        <v>2894</v>
      </c>
      <c r="J4" s="524" t="s">
        <v>2894</v>
      </c>
      <c r="K4" s="524" t="s">
        <v>2894</v>
      </c>
      <c r="L4" s="523" t="s">
        <v>3033</v>
      </c>
      <c r="M4" s="526" t="s">
        <v>3036</v>
      </c>
    </row>
    <row r="5" spans="1:13" ht="21.75" customHeight="1" x14ac:dyDescent="0.45">
      <c r="A5" s="525" t="s">
        <v>426</v>
      </c>
      <c r="B5" s="524" t="s">
        <v>2894</v>
      </c>
      <c r="C5" s="471" t="s">
        <v>3032</v>
      </c>
      <c r="D5" s="524" t="s">
        <v>2894</v>
      </c>
      <c r="E5" s="524" t="s">
        <v>2894</v>
      </c>
      <c r="F5" s="471" t="s">
        <v>3032</v>
      </c>
      <c r="G5" s="524" t="s">
        <v>2894</v>
      </c>
      <c r="H5" s="524" t="s">
        <v>2894</v>
      </c>
      <c r="I5" s="524" t="s">
        <v>2894</v>
      </c>
      <c r="J5" s="524" t="s">
        <v>2894</v>
      </c>
      <c r="K5" s="524" t="s">
        <v>2894</v>
      </c>
      <c r="L5" s="523" t="s">
        <v>3033</v>
      </c>
      <c r="M5" s="526" t="s">
        <v>3037</v>
      </c>
    </row>
    <row r="6" spans="1:13" ht="21.75" customHeight="1" x14ac:dyDescent="0.45">
      <c r="A6" s="518" t="s">
        <v>2922</v>
      </c>
      <c r="B6" s="523" t="s">
        <v>3033</v>
      </c>
      <c r="C6" s="523" t="s">
        <v>3033</v>
      </c>
      <c r="D6" s="524" t="s">
        <v>2894</v>
      </c>
      <c r="E6" s="523" t="s">
        <v>3033</v>
      </c>
      <c r="F6" s="523" t="s">
        <v>3033</v>
      </c>
      <c r="G6" s="524" t="s">
        <v>2894</v>
      </c>
      <c r="H6" s="524" t="s">
        <v>2894</v>
      </c>
      <c r="I6" s="523" t="s">
        <v>3033</v>
      </c>
      <c r="J6" s="524" t="s">
        <v>2894</v>
      </c>
      <c r="K6" s="523" t="s">
        <v>3033</v>
      </c>
      <c r="L6" s="523" t="s">
        <v>3033</v>
      </c>
      <c r="M6" s="526" t="s">
        <v>3038</v>
      </c>
    </row>
    <row r="7" spans="1:13" ht="21.75" customHeight="1" x14ac:dyDescent="0.45">
      <c r="A7" s="525" t="s">
        <v>2926</v>
      </c>
      <c r="B7" s="523" t="s">
        <v>3033</v>
      </c>
      <c r="C7" s="471" t="s">
        <v>3032</v>
      </c>
      <c r="D7" s="524" t="s">
        <v>2894</v>
      </c>
      <c r="E7" s="524" t="s">
        <v>2894</v>
      </c>
      <c r="F7" s="523" t="s">
        <v>3033</v>
      </c>
      <c r="G7" s="524" t="s">
        <v>2894</v>
      </c>
      <c r="H7" s="524" t="s">
        <v>2894</v>
      </c>
      <c r="I7" s="524" t="s">
        <v>2894</v>
      </c>
      <c r="J7" s="524" t="s">
        <v>2894</v>
      </c>
      <c r="K7" s="524" t="s">
        <v>2894</v>
      </c>
      <c r="L7" s="524" t="s">
        <v>2894</v>
      </c>
      <c r="M7" s="526" t="s">
        <v>3039</v>
      </c>
    </row>
    <row r="8" spans="1:13" ht="21.75" customHeight="1" x14ac:dyDescent="0.45">
      <c r="A8" s="518" t="s">
        <v>1152</v>
      </c>
      <c r="B8" s="471" t="s">
        <v>3032</v>
      </c>
      <c r="C8" s="523" t="s">
        <v>3033</v>
      </c>
      <c r="D8" s="524" t="s">
        <v>2894</v>
      </c>
      <c r="E8" s="471" t="s">
        <v>3032</v>
      </c>
      <c r="F8" s="471" t="s">
        <v>3032</v>
      </c>
      <c r="G8" s="523" t="s">
        <v>3033</v>
      </c>
      <c r="H8" s="523" t="s">
        <v>3033</v>
      </c>
      <c r="I8" s="471" t="s">
        <v>3032</v>
      </c>
      <c r="J8" s="523" t="s">
        <v>3033</v>
      </c>
      <c r="K8" s="523" t="s">
        <v>3033</v>
      </c>
      <c r="L8" s="524" t="s">
        <v>2894</v>
      </c>
      <c r="M8" s="439" t="s">
        <v>3034</v>
      </c>
    </row>
    <row r="9" spans="1:13" ht="21.75" customHeight="1" x14ac:dyDescent="0.45">
      <c r="A9" s="525" t="s">
        <v>586</v>
      </c>
      <c r="B9" s="523" t="s">
        <v>3033</v>
      </c>
      <c r="C9" s="523" t="s">
        <v>3033</v>
      </c>
      <c r="D9" s="471" t="s">
        <v>3032</v>
      </c>
      <c r="E9" s="471" t="s">
        <v>3032</v>
      </c>
      <c r="F9" s="471" t="s">
        <v>3032</v>
      </c>
      <c r="G9" s="523" t="s">
        <v>3033</v>
      </c>
      <c r="H9" s="524" t="s">
        <v>2894</v>
      </c>
      <c r="I9" s="524" t="s">
        <v>2894</v>
      </c>
      <c r="J9" s="524" t="s">
        <v>2894</v>
      </c>
      <c r="K9" s="471" t="s">
        <v>3032</v>
      </c>
      <c r="L9" s="524" t="s">
        <v>2894</v>
      </c>
      <c r="M9" s="439" t="s">
        <v>3035</v>
      </c>
    </row>
    <row r="10" spans="1:13" ht="21.75" customHeight="1" x14ac:dyDescent="0.45">
      <c r="A10" s="518" t="s">
        <v>630</v>
      </c>
      <c r="B10" s="523" t="s">
        <v>3033</v>
      </c>
      <c r="C10" s="471" t="s">
        <v>3032</v>
      </c>
      <c r="D10" s="523" t="s">
        <v>3033</v>
      </c>
      <c r="E10" s="523" t="s">
        <v>3033</v>
      </c>
      <c r="F10" s="523" t="s">
        <v>3033</v>
      </c>
      <c r="G10" s="524" t="s">
        <v>2894</v>
      </c>
      <c r="H10" s="524" t="s">
        <v>2894</v>
      </c>
      <c r="I10" s="524" t="s">
        <v>2894</v>
      </c>
      <c r="J10" s="524" t="s">
        <v>2894</v>
      </c>
      <c r="K10" s="523" t="s">
        <v>3033</v>
      </c>
      <c r="L10" s="524" t="s">
        <v>2894</v>
      </c>
      <c r="M10" s="526" t="s">
        <v>3038</v>
      </c>
    </row>
    <row r="11" spans="1:13" ht="21.75" customHeight="1" x14ac:dyDescent="0.45">
      <c r="A11" s="525" t="s">
        <v>688</v>
      </c>
      <c r="B11" s="524" t="s">
        <v>2894</v>
      </c>
      <c r="C11" s="523" t="s">
        <v>3033</v>
      </c>
      <c r="D11" s="471" t="s">
        <v>3032</v>
      </c>
      <c r="E11" s="523" t="s">
        <v>3033</v>
      </c>
      <c r="F11" s="471" t="s">
        <v>3032</v>
      </c>
      <c r="G11" s="523" t="s">
        <v>3033</v>
      </c>
      <c r="H11" s="524" t="s">
        <v>2894</v>
      </c>
      <c r="I11" s="524" t="s">
        <v>2894</v>
      </c>
      <c r="J11" s="524" t="s">
        <v>2894</v>
      </c>
      <c r="K11" s="523" t="s">
        <v>3033</v>
      </c>
      <c r="L11" s="523" t="s">
        <v>3033</v>
      </c>
      <c r="M11" s="439" t="s">
        <v>3040</v>
      </c>
    </row>
    <row r="12" spans="1:13" ht="21.75" customHeight="1" x14ac:dyDescent="0.45">
      <c r="A12" s="518" t="s">
        <v>785</v>
      </c>
      <c r="B12" s="524" t="s">
        <v>2894</v>
      </c>
      <c r="C12" s="524" t="s">
        <v>2894</v>
      </c>
      <c r="D12" s="471" t="s">
        <v>3032</v>
      </c>
      <c r="E12" s="523" t="s">
        <v>3033</v>
      </c>
      <c r="F12" s="471" t="s">
        <v>3032</v>
      </c>
      <c r="G12" s="523" t="s">
        <v>3033</v>
      </c>
      <c r="H12" s="524" t="s">
        <v>2894</v>
      </c>
      <c r="I12" s="471" t="s">
        <v>3032</v>
      </c>
      <c r="J12" s="524" t="s">
        <v>2894</v>
      </c>
      <c r="K12" s="523" t="s">
        <v>3033</v>
      </c>
      <c r="L12" s="524" t="s">
        <v>2894</v>
      </c>
      <c r="M12" s="439" t="s">
        <v>3040</v>
      </c>
    </row>
    <row r="13" spans="1:13" ht="21.75" customHeight="1" x14ac:dyDescent="0.45">
      <c r="A13" s="525" t="s">
        <v>843</v>
      </c>
      <c r="B13" s="524" t="s">
        <v>2894</v>
      </c>
      <c r="C13" s="524" t="s">
        <v>2894</v>
      </c>
      <c r="D13" s="471" t="s">
        <v>3032</v>
      </c>
      <c r="E13" s="523" t="s">
        <v>3033</v>
      </c>
      <c r="F13" s="523" t="s">
        <v>3033</v>
      </c>
      <c r="G13" s="471" t="s">
        <v>3032</v>
      </c>
      <c r="H13" s="524" t="s">
        <v>2894</v>
      </c>
      <c r="I13" s="523" t="s">
        <v>3033</v>
      </c>
      <c r="J13" s="524" t="s">
        <v>2894</v>
      </c>
      <c r="K13" s="524" t="s">
        <v>2894</v>
      </c>
      <c r="L13" s="524" t="s">
        <v>2894</v>
      </c>
      <c r="M13" s="526" t="s">
        <v>3038</v>
      </c>
    </row>
    <row r="14" spans="1:13" ht="21.75" customHeight="1" x14ac:dyDescent="0.45">
      <c r="A14" s="518" t="s">
        <v>930</v>
      </c>
      <c r="B14" s="524" t="s">
        <v>2894</v>
      </c>
      <c r="C14" s="524" t="s">
        <v>2894</v>
      </c>
      <c r="D14" s="471" t="s">
        <v>3032</v>
      </c>
      <c r="E14" s="471" t="s">
        <v>3032</v>
      </c>
      <c r="F14" s="523" t="s">
        <v>3033</v>
      </c>
      <c r="G14" s="523" t="s">
        <v>3033</v>
      </c>
      <c r="H14" s="524" t="s">
        <v>2894</v>
      </c>
      <c r="I14" s="524" t="s">
        <v>2894</v>
      </c>
      <c r="J14" s="524" t="s">
        <v>2894</v>
      </c>
      <c r="K14" s="523" t="s">
        <v>3033</v>
      </c>
      <c r="L14" s="524" t="s">
        <v>2894</v>
      </c>
      <c r="M14" s="526" t="s">
        <v>3038</v>
      </c>
    </row>
    <row r="15" spans="1:13" ht="21.75" customHeight="1" x14ac:dyDescent="0.45">
      <c r="A15" s="525" t="s">
        <v>1020</v>
      </c>
      <c r="B15" s="524" t="s">
        <v>2894</v>
      </c>
      <c r="C15" s="524" t="s">
        <v>2894</v>
      </c>
      <c r="D15" s="523" t="s">
        <v>3033</v>
      </c>
      <c r="E15" s="523" t="s">
        <v>3033</v>
      </c>
      <c r="F15" s="471" t="s">
        <v>3032</v>
      </c>
      <c r="G15" s="523" t="s">
        <v>3033</v>
      </c>
      <c r="H15" s="524" t="s">
        <v>2894</v>
      </c>
      <c r="I15" s="524" t="s">
        <v>2894</v>
      </c>
      <c r="J15" s="524" t="s">
        <v>2894</v>
      </c>
      <c r="K15" s="524" t="s">
        <v>2894</v>
      </c>
      <c r="L15" s="524" t="s">
        <v>2894</v>
      </c>
      <c r="M15" s="526" t="s">
        <v>3037</v>
      </c>
    </row>
    <row r="16" spans="1:13" ht="21.75" customHeight="1" x14ac:dyDescent="0.45">
      <c r="A16" s="518" t="s">
        <v>1085</v>
      </c>
      <c r="B16" s="524" t="s">
        <v>2894</v>
      </c>
      <c r="C16" s="523" t="s">
        <v>3033</v>
      </c>
      <c r="D16" s="523" t="s">
        <v>3033</v>
      </c>
      <c r="E16" s="523" t="s">
        <v>3033</v>
      </c>
      <c r="F16" s="471" t="s">
        <v>3032</v>
      </c>
      <c r="G16" s="523" t="s">
        <v>3033</v>
      </c>
      <c r="H16" s="524" t="s">
        <v>2894</v>
      </c>
      <c r="I16" s="524" t="s">
        <v>2894</v>
      </c>
      <c r="J16" s="471" t="s">
        <v>3032</v>
      </c>
      <c r="K16" s="524" t="s">
        <v>2894</v>
      </c>
      <c r="L16" s="524" t="s">
        <v>2894</v>
      </c>
      <c r="M16" s="439" t="s">
        <v>3041</v>
      </c>
    </row>
    <row r="17" spans="1:13" ht="21.75" customHeight="1" x14ac:dyDescent="0.45">
      <c r="A17" s="525" t="s">
        <v>1575</v>
      </c>
      <c r="B17" s="524" t="s">
        <v>2894</v>
      </c>
      <c r="C17" s="524" t="s">
        <v>2894</v>
      </c>
      <c r="D17" s="524" t="s">
        <v>2894</v>
      </c>
      <c r="E17" s="523" t="s">
        <v>3033</v>
      </c>
      <c r="F17" s="471" t="s">
        <v>3032</v>
      </c>
      <c r="G17" s="523" t="s">
        <v>3033</v>
      </c>
      <c r="H17" s="523" t="s">
        <v>3033</v>
      </c>
      <c r="I17" s="524" t="s">
        <v>2894</v>
      </c>
      <c r="J17" s="524" t="s">
        <v>2894</v>
      </c>
      <c r="K17" s="524" t="s">
        <v>2894</v>
      </c>
      <c r="L17" s="524" t="s">
        <v>2894</v>
      </c>
      <c r="M17" s="526" t="s">
        <v>3037</v>
      </c>
    </row>
    <row r="18" spans="1:13" ht="21.75" customHeight="1" x14ac:dyDescent="0.45">
      <c r="A18" s="518" t="s">
        <v>333</v>
      </c>
      <c r="B18" s="523" t="s">
        <v>3033</v>
      </c>
      <c r="C18" s="523" t="s">
        <v>3033</v>
      </c>
      <c r="D18" s="524" t="s">
        <v>2894</v>
      </c>
      <c r="E18" s="524" t="s">
        <v>2894</v>
      </c>
      <c r="F18" s="471" t="s">
        <v>3032</v>
      </c>
      <c r="G18" s="523" t="s">
        <v>3033</v>
      </c>
      <c r="H18" s="524" t="s">
        <v>2894</v>
      </c>
      <c r="I18" s="524" t="s">
        <v>2894</v>
      </c>
      <c r="J18" s="524" t="s">
        <v>2894</v>
      </c>
      <c r="K18" s="524" t="s">
        <v>2894</v>
      </c>
      <c r="L18" s="524" t="s">
        <v>2894</v>
      </c>
      <c r="M18" s="526" t="s">
        <v>3037</v>
      </c>
    </row>
    <row r="19" spans="1:13" ht="21.75" customHeight="1" x14ac:dyDescent="0.45">
      <c r="A19" s="525" t="s">
        <v>2760</v>
      </c>
      <c r="B19" s="471" t="s">
        <v>3032</v>
      </c>
      <c r="C19" s="523" t="s">
        <v>3033</v>
      </c>
      <c r="D19" s="523" t="s">
        <v>3033</v>
      </c>
      <c r="E19" s="471" t="s">
        <v>3032</v>
      </c>
      <c r="F19" s="524" t="s">
        <v>2894</v>
      </c>
      <c r="G19" s="524" t="s">
        <v>2894</v>
      </c>
      <c r="H19" s="523" t="s">
        <v>3033</v>
      </c>
      <c r="I19" s="471" t="s">
        <v>3032</v>
      </c>
      <c r="J19" s="524" t="s">
        <v>2894</v>
      </c>
      <c r="K19" s="523" t="s">
        <v>3033</v>
      </c>
      <c r="L19" s="524" t="s">
        <v>2894</v>
      </c>
      <c r="M19" s="439" t="s">
        <v>3042</v>
      </c>
    </row>
    <row r="20" spans="1:13" ht="21.75" customHeight="1" x14ac:dyDescent="0.45">
      <c r="A20" s="518" t="s">
        <v>2767</v>
      </c>
      <c r="B20" s="471" t="s">
        <v>3032</v>
      </c>
      <c r="C20" s="523" t="s">
        <v>3033</v>
      </c>
      <c r="D20" s="524" t="s">
        <v>2894</v>
      </c>
      <c r="E20" s="523" t="s">
        <v>3033</v>
      </c>
      <c r="F20" s="523" t="s">
        <v>3033</v>
      </c>
      <c r="G20" s="524" t="s">
        <v>2894</v>
      </c>
      <c r="H20" s="524" t="s">
        <v>2894</v>
      </c>
      <c r="I20" s="523" t="s">
        <v>3033</v>
      </c>
      <c r="J20" s="524" t="s">
        <v>2894</v>
      </c>
      <c r="K20" s="523" t="s">
        <v>3033</v>
      </c>
      <c r="L20" s="524" t="s">
        <v>2894</v>
      </c>
      <c r="M20" s="526" t="s">
        <v>3038</v>
      </c>
    </row>
    <row r="21" spans="1:13" ht="21.75" customHeight="1" x14ac:dyDescent="0.45">
      <c r="A21" s="525" t="s">
        <v>2774</v>
      </c>
      <c r="B21" s="471" t="s">
        <v>3032</v>
      </c>
      <c r="C21" s="471" t="s">
        <v>3032</v>
      </c>
      <c r="D21" s="523" t="s">
        <v>3033</v>
      </c>
      <c r="E21" s="523" t="s">
        <v>3033</v>
      </c>
      <c r="F21" s="523" t="s">
        <v>3033</v>
      </c>
      <c r="G21" s="524" t="s">
        <v>2894</v>
      </c>
      <c r="H21" s="524" t="s">
        <v>2894</v>
      </c>
      <c r="I21" s="524" t="s">
        <v>2894</v>
      </c>
      <c r="J21" s="524" t="s">
        <v>2894</v>
      </c>
      <c r="K21" s="523" t="s">
        <v>3033</v>
      </c>
      <c r="L21" s="524" t="s">
        <v>2894</v>
      </c>
      <c r="M21" s="439" t="s">
        <v>3041</v>
      </c>
    </row>
    <row r="22" spans="1:13" ht="21.75" customHeight="1" x14ac:dyDescent="0.45">
      <c r="A22" s="518" t="s">
        <v>2780</v>
      </c>
      <c r="B22" s="471" t="s">
        <v>3032</v>
      </c>
      <c r="C22" s="524" t="s">
        <v>2894</v>
      </c>
      <c r="D22" s="471" t="s">
        <v>3032</v>
      </c>
      <c r="E22" s="471" t="s">
        <v>3032</v>
      </c>
      <c r="F22" s="523" t="s">
        <v>3033</v>
      </c>
      <c r="G22" s="524" t="s">
        <v>2894</v>
      </c>
      <c r="H22" s="524" t="s">
        <v>2894</v>
      </c>
      <c r="I22" s="523" t="s">
        <v>3033</v>
      </c>
      <c r="J22" s="524" t="s">
        <v>2894</v>
      </c>
      <c r="K22" s="471" t="s">
        <v>3032</v>
      </c>
      <c r="L22" s="524" t="s">
        <v>2894</v>
      </c>
      <c r="M22" s="439" t="s">
        <v>3042</v>
      </c>
    </row>
    <row r="23" spans="1:13" ht="21.75" customHeight="1" x14ac:dyDescent="0.45">
      <c r="A23" s="525" t="s">
        <v>2792</v>
      </c>
      <c r="B23" s="471" t="s">
        <v>3032</v>
      </c>
      <c r="C23" s="471" t="s">
        <v>3032</v>
      </c>
      <c r="D23" s="523" t="s">
        <v>3033</v>
      </c>
      <c r="E23" s="523" t="s">
        <v>3033</v>
      </c>
      <c r="F23" s="523" t="s">
        <v>3033</v>
      </c>
      <c r="G23" s="524" t="s">
        <v>2894</v>
      </c>
      <c r="H23" s="524" t="s">
        <v>2894</v>
      </c>
      <c r="I23" s="523" t="s">
        <v>3033</v>
      </c>
      <c r="J23" s="524" t="s">
        <v>2894</v>
      </c>
      <c r="K23" s="523" t="s">
        <v>3033</v>
      </c>
      <c r="L23" s="524" t="s">
        <v>2894</v>
      </c>
      <c r="M23" s="439" t="s">
        <v>3040</v>
      </c>
    </row>
    <row r="24" spans="1:13" ht="21.75" customHeight="1" x14ac:dyDescent="0.45">
      <c r="A24" s="518" t="s">
        <v>1198</v>
      </c>
      <c r="B24" s="524" t="s">
        <v>2894</v>
      </c>
      <c r="C24" s="524" t="s">
        <v>2894</v>
      </c>
      <c r="D24" s="523" t="s">
        <v>3033</v>
      </c>
      <c r="E24" s="523" t="s">
        <v>3033</v>
      </c>
      <c r="F24" s="524" t="s">
        <v>2894</v>
      </c>
      <c r="G24" s="523" t="s">
        <v>3033</v>
      </c>
      <c r="H24" s="471" t="s">
        <v>3032</v>
      </c>
      <c r="I24" s="524" t="s">
        <v>2894</v>
      </c>
      <c r="J24" s="524" t="s">
        <v>2894</v>
      </c>
      <c r="K24" s="524" t="s">
        <v>2894</v>
      </c>
      <c r="L24" s="524" t="s">
        <v>2894</v>
      </c>
      <c r="M24" s="526" t="s">
        <v>3037</v>
      </c>
    </row>
    <row r="25" spans="1:13" ht="21.75" customHeight="1" x14ac:dyDescent="0.45">
      <c r="A25" s="525" t="s">
        <v>1397</v>
      </c>
      <c r="B25" s="523" t="s">
        <v>3033</v>
      </c>
      <c r="C25" s="524" t="s">
        <v>2894</v>
      </c>
      <c r="D25" s="524" t="s">
        <v>2894</v>
      </c>
      <c r="E25" s="523" t="s">
        <v>3033</v>
      </c>
      <c r="F25" s="523" t="s">
        <v>3033</v>
      </c>
      <c r="G25" s="524" t="s">
        <v>2894</v>
      </c>
      <c r="H25" s="524" t="s">
        <v>2894</v>
      </c>
      <c r="I25" s="523" t="s">
        <v>3033</v>
      </c>
      <c r="J25" s="524" t="s">
        <v>2894</v>
      </c>
      <c r="K25" s="523" t="s">
        <v>3033</v>
      </c>
      <c r="L25" s="524" t="s">
        <v>2894</v>
      </c>
      <c r="M25" s="526" t="s">
        <v>3037</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B2D87"/>
  </sheetPr>
  <dimension ref="A1:T3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25" x14ac:dyDescent="0.45"/>
  <cols>
    <col min="1" max="1" width="18" customWidth="1"/>
    <col min="2" max="2" width="36" customWidth="1"/>
    <col min="3" max="19" width="14" customWidth="1"/>
    <col min="20" max="20" width="10" customWidth="1"/>
  </cols>
  <sheetData>
    <row r="1" spans="1:20" ht="23.25" x14ac:dyDescent="0.45">
      <c r="A1" s="7" t="s">
        <v>4</v>
      </c>
      <c r="B1" s="7" t="s">
        <v>2472</v>
      </c>
      <c r="C1" s="12" t="s">
        <v>1562</v>
      </c>
      <c r="D1" s="11" t="s">
        <v>3043</v>
      </c>
      <c r="E1" s="7" t="s">
        <v>3044</v>
      </c>
      <c r="F1" s="527" t="s">
        <v>3045</v>
      </c>
      <c r="G1" s="10" t="s">
        <v>3046</v>
      </c>
      <c r="H1" s="528" t="s">
        <v>3047</v>
      </c>
      <c r="I1" s="529" t="s">
        <v>3048</v>
      </c>
      <c r="J1" s="530" t="s">
        <v>1962</v>
      </c>
      <c r="K1" s="531" t="s">
        <v>1984</v>
      </c>
      <c r="L1" s="532" t="s">
        <v>3049</v>
      </c>
      <c r="M1" s="533" t="s">
        <v>2005</v>
      </c>
      <c r="N1" s="534" t="s">
        <v>3050</v>
      </c>
      <c r="O1" s="535" t="s">
        <v>3051</v>
      </c>
      <c r="P1" s="536" t="s">
        <v>3052</v>
      </c>
      <c r="Q1" s="9" t="s">
        <v>3053</v>
      </c>
      <c r="R1" s="537" t="s">
        <v>3054</v>
      </c>
      <c r="S1" s="13" t="s">
        <v>3055</v>
      </c>
      <c r="T1" s="5" t="s">
        <v>3056</v>
      </c>
    </row>
    <row r="2" spans="1:20" ht="27.75" customHeight="1" x14ac:dyDescent="0.45">
      <c r="A2" s="43" t="s">
        <v>557</v>
      </c>
      <c r="B2" s="45" t="s">
        <v>3057</v>
      </c>
      <c r="C2" s="433" t="s">
        <v>3058</v>
      </c>
      <c r="D2" s="433" t="s">
        <v>3058</v>
      </c>
      <c r="E2" s="433" t="s">
        <v>3058</v>
      </c>
      <c r="F2" s="433" t="s">
        <v>3058</v>
      </c>
      <c r="G2" s="433" t="s">
        <v>3058</v>
      </c>
      <c r="H2" s="433" t="s">
        <v>3058</v>
      </c>
      <c r="I2" s="433" t="s">
        <v>3058</v>
      </c>
      <c r="J2" s="433" t="s">
        <v>3058</v>
      </c>
      <c r="K2" s="433" t="s">
        <v>3058</v>
      </c>
      <c r="L2" s="433" t="s">
        <v>3058</v>
      </c>
      <c r="M2" s="433" t="s">
        <v>3058</v>
      </c>
      <c r="N2" s="433" t="s">
        <v>3058</v>
      </c>
      <c r="O2" s="433" t="s">
        <v>3058</v>
      </c>
      <c r="P2" s="433" t="s">
        <v>3058</v>
      </c>
      <c r="Q2" s="433" t="s">
        <v>3058</v>
      </c>
      <c r="R2" s="433" t="s">
        <v>3058</v>
      </c>
      <c r="S2" s="433" t="s">
        <v>3058</v>
      </c>
      <c r="T2" s="538" t="s">
        <v>3059</v>
      </c>
    </row>
    <row r="3" spans="1:20" ht="27.75" customHeight="1" x14ac:dyDescent="0.45">
      <c r="A3" s="514" t="s">
        <v>382</v>
      </c>
      <c r="B3" s="428" t="s">
        <v>383</v>
      </c>
      <c r="C3" s="433" t="s">
        <v>3058</v>
      </c>
      <c r="D3" s="433" t="s">
        <v>3058</v>
      </c>
      <c r="E3" s="433" t="s">
        <v>3058</v>
      </c>
      <c r="F3" s="433" t="s">
        <v>3058</v>
      </c>
      <c r="G3" s="433" t="s">
        <v>3058</v>
      </c>
      <c r="H3" s="433" t="s">
        <v>3058</v>
      </c>
      <c r="I3" s="433" t="s">
        <v>3058</v>
      </c>
      <c r="J3" s="433" t="s">
        <v>3058</v>
      </c>
      <c r="K3" s="433" t="s">
        <v>3058</v>
      </c>
      <c r="L3" s="433" t="s">
        <v>3058</v>
      </c>
      <c r="M3" s="433" t="s">
        <v>3058</v>
      </c>
      <c r="N3" s="433" t="s">
        <v>3058</v>
      </c>
      <c r="O3" s="433" t="s">
        <v>3058</v>
      </c>
      <c r="P3" s="433" t="s">
        <v>3058</v>
      </c>
      <c r="Q3" s="433" t="s">
        <v>3058</v>
      </c>
      <c r="R3" s="433" t="s">
        <v>3058</v>
      </c>
      <c r="S3" s="433" t="s">
        <v>3058</v>
      </c>
      <c r="T3" s="538" t="s">
        <v>3059</v>
      </c>
    </row>
    <row r="4" spans="1:20" ht="27.75" customHeight="1" x14ac:dyDescent="0.45">
      <c r="A4" s="43" t="s">
        <v>2914</v>
      </c>
      <c r="B4" s="45" t="s">
        <v>107</v>
      </c>
      <c r="C4" s="438" t="s">
        <v>3060</v>
      </c>
      <c r="D4" s="433" t="s">
        <v>3058</v>
      </c>
      <c r="E4" s="438" t="s">
        <v>3060</v>
      </c>
      <c r="F4" s="438" t="s">
        <v>3060</v>
      </c>
      <c r="G4" s="438" t="s">
        <v>3060</v>
      </c>
      <c r="H4" s="539" t="s">
        <v>3061</v>
      </c>
      <c r="I4" s="438" t="s">
        <v>3060</v>
      </c>
      <c r="J4" s="433" t="s">
        <v>3058</v>
      </c>
      <c r="K4" s="438" t="s">
        <v>3060</v>
      </c>
      <c r="L4" s="433" t="s">
        <v>3058</v>
      </c>
      <c r="M4" s="433" t="s">
        <v>3058</v>
      </c>
      <c r="N4" s="438" t="s">
        <v>3060</v>
      </c>
      <c r="O4" s="539" t="s">
        <v>3061</v>
      </c>
      <c r="P4" s="438" t="s">
        <v>3060</v>
      </c>
      <c r="Q4" s="433" t="s">
        <v>3058</v>
      </c>
      <c r="R4" s="539" t="s">
        <v>3061</v>
      </c>
      <c r="S4" s="433" t="s">
        <v>3058</v>
      </c>
      <c r="T4" s="432" t="s">
        <v>3062</v>
      </c>
    </row>
    <row r="5" spans="1:20" ht="27.75" customHeight="1" x14ac:dyDescent="0.45">
      <c r="A5" s="514" t="s">
        <v>2922</v>
      </c>
      <c r="B5" s="428" t="s">
        <v>3063</v>
      </c>
      <c r="C5" s="433" t="s">
        <v>3058</v>
      </c>
      <c r="D5" s="433" t="s">
        <v>3058</v>
      </c>
      <c r="E5" s="433" t="s">
        <v>3058</v>
      </c>
      <c r="F5" s="433" t="s">
        <v>3058</v>
      </c>
      <c r="G5" s="433" t="s">
        <v>3058</v>
      </c>
      <c r="H5" s="433" t="s">
        <v>3058</v>
      </c>
      <c r="I5" s="433" t="s">
        <v>3058</v>
      </c>
      <c r="J5" s="433" t="s">
        <v>3058</v>
      </c>
      <c r="K5" s="433" t="s">
        <v>3058</v>
      </c>
      <c r="L5" s="433" t="s">
        <v>3058</v>
      </c>
      <c r="M5" s="433" t="s">
        <v>3058</v>
      </c>
      <c r="N5" s="433" t="s">
        <v>3058</v>
      </c>
      <c r="O5" s="433" t="s">
        <v>3058</v>
      </c>
      <c r="P5" s="433" t="s">
        <v>3058</v>
      </c>
      <c r="Q5" s="433" t="s">
        <v>3058</v>
      </c>
      <c r="R5" s="433" t="s">
        <v>3058</v>
      </c>
      <c r="S5" s="433" t="s">
        <v>3058</v>
      </c>
      <c r="T5" s="538" t="s">
        <v>3059</v>
      </c>
    </row>
    <row r="6" spans="1:20" ht="27.75" customHeight="1" x14ac:dyDescent="0.45">
      <c r="A6" s="43" t="s">
        <v>2926</v>
      </c>
      <c r="B6" s="45" t="s">
        <v>3064</v>
      </c>
      <c r="C6" s="433" t="s">
        <v>3058</v>
      </c>
      <c r="D6" s="433" t="s">
        <v>3058</v>
      </c>
      <c r="E6" s="433" t="s">
        <v>3058</v>
      </c>
      <c r="F6" s="433" t="s">
        <v>3058</v>
      </c>
      <c r="G6" s="433" t="s">
        <v>3058</v>
      </c>
      <c r="H6" s="433" t="s">
        <v>3058</v>
      </c>
      <c r="I6" s="433" t="s">
        <v>3058</v>
      </c>
      <c r="J6" s="433" t="s">
        <v>3058</v>
      </c>
      <c r="K6" s="433" t="s">
        <v>3058</v>
      </c>
      <c r="L6" s="433" t="s">
        <v>3058</v>
      </c>
      <c r="M6" s="433" t="s">
        <v>3058</v>
      </c>
      <c r="N6" s="433" t="s">
        <v>3058</v>
      </c>
      <c r="O6" s="433" t="s">
        <v>3058</v>
      </c>
      <c r="P6" s="433" t="s">
        <v>3058</v>
      </c>
      <c r="Q6" s="433" t="s">
        <v>3058</v>
      </c>
      <c r="R6" s="433" t="s">
        <v>3058</v>
      </c>
      <c r="S6" s="433" t="s">
        <v>3058</v>
      </c>
      <c r="T6" s="538" t="s">
        <v>3059</v>
      </c>
    </row>
    <row r="7" spans="1:20" ht="27.75" customHeight="1" x14ac:dyDescent="0.45">
      <c r="A7" s="514" t="s">
        <v>426</v>
      </c>
      <c r="B7" s="428" t="s">
        <v>3065</v>
      </c>
      <c r="C7" s="433" t="s">
        <v>3058</v>
      </c>
      <c r="D7" s="433" t="s">
        <v>3058</v>
      </c>
      <c r="E7" s="433" t="s">
        <v>3058</v>
      </c>
      <c r="F7" s="433" t="s">
        <v>3058</v>
      </c>
      <c r="G7" s="433" t="s">
        <v>3058</v>
      </c>
      <c r="H7" s="433" t="s">
        <v>3058</v>
      </c>
      <c r="I7" s="433" t="s">
        <v>3058</v>
      </c>
      <c r="J7" s="433" t="s">
        <v>3058</v>
      </c>
      <c r="K7" s="433" t="s">
        <v>3058</v>
      </c>
      <c r="L7" s="433" t="s">
        <v>3058</v>
      </c>
      <c r="M7" s="433" t="s">
        <v>3058</v>
      </c>
      <c r="N7" s="433" t="s">
        <v>3058</v>
      </c>
      <c r="O7" s="433" t="s">
        <v>3058</v>
      </c>
      <c r="P7" s="433" t="s">
        <v>3058</v>
      </c>
      <c r="Q7" s="433" t="s">
        <v>3058</v>
      </c>
      <c r="R7" s="433" t="s">
        <v>3058</v>
      </c>
      <c r="S7" s="433" t="s">
        <v>3058</v>
      </c>
      <c r="T7" s="538" t="s">
        <v>3059</v>
      </c>
    </row>
    <row r="8" spans="1:20" ht="27.75" customHeight="1" x14ac:dyDescent="0.45">
      <c r="A8" s="43" t="s">
        <v>1563</v>
      </c>
      <c r="B8" s="45" t="s">
        <v>3066</v>
      </c>
      <c r="C8" s="433" t="s">
        <v>3058</v>
      </c>
      <c r="D8" s="433" t="s">
        <v>3058</v>
      </c>
      <c r="E8" s="433" t="s">
        <v>3058</v>
      </c>
      <c r="F8" s="433" t="s">
        <v>3058</v>
      </c>
      <c r="G8" s="433" t="s">
        <v>3058</v>
      </c>
      <c r="H8" s="433" t="s">
        <v>3058</v>
      </c>
      <c r="I8" s="433" t="s">
        <v>3058</v>
      </c>
      <c r="J8" s="433" t="s">
        <v>3058</v>
      </c>
      <c r="K8" s="433" t="s">
        <v>3058</v>
      </c>
      <c r="L8" s="433" t="s">
        <v>3058</v>
      </c>
      <c r="M8" s="433" t="s">
        <v>3058</v>
      </c>
      <c r="N8" s="433" t="s">
        <v>3058</v>
      </c>
      <c r="O8" s="433" t="s">
        <v>3058</v>
      </c>
      <c r="P8" s="433" t="s">
        <v>3058</v>
      </c>
      <c r="Q8" s="433" t="s">
        <v>3058</v>
      </c>
      <c r="R8" s="433" t="s">
        <v>3058</v>
      </c>
      <c r="S8" s="433" t="s">
        <v>3058</v>
      </c>
      <c r="T8" s="538" t="s">
        <v>3059</v>
      </c>
    </row>
    <row r="9" spans="1:20" ht="27.75" customHeight="1" x14ac:dyDescent="0.45">
      <c r="A9" s="514" t="s">
        <v>1575</v>
      </c>
      <c r="B9" s="428" t="s">
        <v>3067</v>
      </c>
      <c r="C9" s="438" t="s">
        <v>3060</v>
      </c>
      <c r="D9" s="433" t="s">
        <v>3058</v>
      </c>
      <c r="E9" s="433" t="s">
        <v>3058</v>
      </c>
      <c r="F9" s="433" t="s">
        <v>3058</v>
      </c>
      <c r="G9" s="433" t="s">
        <v>3058</v>
      </c>
      <c r="H9" s="433" t="s">
        <v>3058</v>
      </c>
      <c r="I9" s="433" t="s">
        <v>3058</v>
      </c>
      <c r="J9" s="433" t="s">
        <v>3058</v>
      </c>
      <c r="K9" s="433" t="s">
        <v>3058</v>
      </c>
      <c r="L9" s="433" t="s">
        <v>3058</v>
      </c>
      <c r="M9" s="433" t="s">
        <v>3058</v>
      </c>
      <c r="N9" s="433" t="s">
        <v>3058</v>
      </c>
      <c r="O9" s="438" t="s">
        <v>3060</v>
      </c>
      <c r="P9" s="433" t="s">
        <v>3058</v>
      </c>
      <c r="Q9" s="433" t="s">
        <v>3058</v>
      </c>
      <c r="R9" s="438" t="s">
        <v>3060</v>
      </c>
      <c r="S9" s="433" t="s">
        <v>3058</v>
      </c>
      <c r="T9" s="538" t="s">
        <v>3059</v>
      </c>
    </row>
    <row r="10" spans="1:20" ht="27.75" customHeight="1" x14ac:dyDescent="0.45">
      <c r="A10" s="43" t="s">
        <v>1481</v>
      </c>
      <c r="B10" s="45" t="s">
        <v>3068</v>
      </c>
      <c r="C10" s="433" t="s">
        <v>3058</v>
      </c>
      <c r="D10" s="433" t="s">
        <v>3058</v>
      </c>
      <c r="E10" s="433" t="s">
        <v>3058</v>
      </c>
      <c r="F10" s="433" t="s">
        <v>3058</v>
      </c>
      <c r="G10" s="433" t="s">
        <v>3058</v>
      </c>
      <c r="H10" s="433" t="s">
        <v>3058</v>
      </c>
      <c r="I10" s="433" t="s">
        <v>3058</v>
      </c>
      <c r="J10" s="433" t="s">
        <v>3058</v>
      </c>
      <c r="K10" s="433" t="s">
        <v>3058</v>
      </c>
      <c r="L10" s="433" t="s">
        <v>3058</v>
      </c>
      <c r="M10" s="433" t="s">
        <v>3058</v>
      </c>
      <c r="N10" s="433" t="s">
        <v>3058</v>
      </c>
      <c r="O10" s="433" t="s">
        <v>3058</v>
      </c>
      <c r="P10" s="433" t="s">
        <v>3058</v>
      </c>
      <c r="Q10" s="433" t="s">
        <v>3058</v>
      </c>
      <c r="R10" s="433" t="s">
        <v>3058</v>
      </c>
      <c r="S10" s="433" t="s">
        <v>3058</v>
      </c>
      <c r="T10" s="538" t="s">
        <v>3059</v>
      </c>
    </row>
    <row r="11" spans="1:20" ht="27.75" customHeight="1" x14ac:dyDescent="0.45">
      <c r="A11" s="514" t="s">
        <v>1491</v>
      </c>
      <c r="B11" s="428" t="s">
        <v>3069</v>
      </c>
      <c r="C11" s="433" t="s">
        <v>3058</v>
      </c>
      <c r="D11" s="433" t="s">
        <v>3058</v>
      </c>
      <c r="E11" s="433" t="s">
        <v>3058</v>
      </c>
      <c r="F11" s="433" t="s">
        <v>3058</v>
      </c>
      <c r="G11" s="433" t="s">
        <v>3058</v>
      </c>
      <c r="H11" s="433" t="s">
        <v>3058</v>
      </c>
      <c r="I11" s="433" t="s">
        <v>3058</v>
      </c>
      <c r="J11" s="433" t="s">
        <v>3058</v>
      </c>
      <c r="K11" s="433" t="s">
        <v>3058</v>
      </c>
      <c r="L11" s="433" t="s">
        <v>3058</v>
      </c>
      <c r="M11" s="433" t="s">
        <v>3058</v>
      </c>
      <c r="N11" s="433" t="s">
        <v>3058</v>
      </c>
      <c r="O11" s="433" t="s">
        <v>3058</v>
      </c>
      <c r="P11" s="433" t="s">
        <v>3058</v>
      </c>
      <c r="Q11" s="433" t="s">
        <v>3058</v>
      </c>
      <c r="R11" s="433" t="s">
        <v>3058</v>
      </c>
      <c r="S11" s="433" t="s">
        <v>3058</v>
      </c>
      <c r="T11" s="538" t="s">
        <v>3059</v>
      </c>
    </row>
    <row r="12" spans="1:20" ht="27.75" customHeight="1" x14ac:dyDescent="0.45">
      <c r="A12" s="43" t="s">
        <v>1724</v>
      </c>
      <c r="B12" s="45" t="s">
        <v>3070</v>
      </c>
      <c r="C12" s="433" t="s">
        <v>3058</v>
      </c>
      <c r="D12" s="433" t="s">
        <v>3058</v>
      </c>
      <c r="E12" s="433" t="s">
        <v>3058</v>
      </c>
      <c r="F12" s="433" t="s">
        <v>3058</v>
      </c>
      <c r="G12" s="433" t="s">
        <v>3058</v>
      </c>
      <c r="H12" s="433" t="s">
        <v>3058</v>
      </c>
      <c r="I12" s="433" t="s">
        <v>3058</v>
      </c>
      <c r="J12" s="433" t="s">
        <v>3058</v>
      </c>
      <c r="K12" s="433" t="s">
        <v>3058</v>
      </c>
      <c r="L12" s="433" t="s">
        <v>3058</v>
      </c>
      <c r="M12" s="433" t="s">
        <v>3058</v>
      </c>
      <c r="N12" s="433" t="s">
        <v>3058</v>
      </c>
      <c r="O12" s="433" t="s">
        <v>3058</v>
      </c>
      <c r="P12" s="433" t="s">
        <v>3058</v>
      </c>
      <c r="Q12" s="433" t="s">
        <v>3058</v>
      </c>
      <c r="R12" s="433" t="s">
        <v>3058</v>
      </c>
      <c r="S12" s="433" t="s">
        <v>3058</v>
      </c>
      <c r="T12" s="538" t="s">
        <v>3059</v>
      </c>
    </row>
    <row r="13" spans="1:20" ht="27.75" customHeight="1" x14ac:dyDescent="0.45">
      <c r="A13" s="514" t="s">
        <v>1431</v>
      </c>
      <c r="B13" s="428" t="s">
        <v>3071</v>
      </c>
      <c r="C13" s="433" t="s">
        <v>3058</v>
      </c>
      <c r="D13" s="433" t="s">
        <v>3058</v>
      </c>
      <c r="E13" s="433" t="s">
        <v>3058</v>
      </c>
      <c r="F13" s="433" t="s">
        <v>3058</v>
      </c>
      <c r="G13" s="438" t="s">
        <v>3060</v>
      </c>
      <c r="H13" s="539" t="s">
        <v>3061</v>
      </c>
      <c r="I13" s="433" t="s">
        <v>3058</v>
      </c>
      <c r="J13" s="433" t="s">
        <v>3058</v>
      </c>
      <c r="K13" s="433" t="s">
        <v>3058</v>
      </c>
      <c r="L13" s="433" t="s">
        <v>3058</v>
      </c>
      <c r="M13" s="438" t="s">
        <v>3060</v>
      </c>
      <c r="N13" s="433" t="s">
        <v>3058</v>
      </c>
      <c r="O13" s="433" t="s">
        <v>3058</v>
      </c>
      <c r="P13" s="433" t="s">
        <v>3058</v>
      </c>
      <c r="Q13" s="433" t="s">
        <v>3058</v>
      </c>
      <c r="R13" s="433" t="s">
        <v>3058</v>
      </c>
      <c r="S13" s="433" t="s">
        <v>3058</v>
      </c>
      <c r="T13" s="432" t="s">
        <v>3072</v>
      </c>
    </row>
    <row r="14" spans="1:20" ht="27.75" customHeight="1" x14ac:dyDescent="0.45">
      <c r="A14" s="43" t="s">
        <v>502</v>
      </c>
      <c r="B14" s="45" t="s">
        <v>2947</v>
      </c>
      <c r="C14" s="433" t="s">
        <v>3058</v>
      </c>
      <c r="D14" s="433" t="s">
        <v>3058</v>
      </c>
      <c r="E14" s="433" t="s">
        <v>3058</v>
      </c>
      <c r="F14" s="433" t="s">
        <v>3058</v>
      </c>
      <c r="G14" s="433" t="s">
        <v>3058</v>
      </c>
      <c r="H14" s="539" t="s">
        <v>3061</v>
      </c>
      <c r="I14" s="433" t="s">
        <v>3058</v>
      </c>
      <c r="J14" s="433" t="s">
        <v>3058</v>
      </c>
      <c r="K14" s="433" t="s">
        <v>3058</v>
      </c>
      <c r="L14" s="433" t="s">
        <v>3058</v>
      </c>
      <c r="M14" s="433" t="s">
        <v>3058</v>
      </c>
      <c r="N14" s="433" t="s">
        <v>3058</v>
      </c>
      <c r="O14" s="433" t="s">
        <v>3058</v>
      </c>
      <c r="P14" s="433" t="s">
        <v>3058</v>
      </c>
      <c r="Q14" s="433" t="s">
        <v>3058</v>
      </c>
      <c r="R14" s="433" t="s">
        <v>3058</v>
      </c>
      <c r="S14" s="433" t="s">
        <v>3058</v>
      </c>
      <c r="T14" s="432" t="s">
        <v>3072</v>
      </c>
    </row>
    <row r="15" spans="1:20" ht="27.75" customHeight="1" x14ac:dyDescent="0.45">
      <c r="A15" s="514" t="s">
        <v>1609</v>
      </c>
      <c r="B15" s="428" t="s">
        <v>2993</v>
      </c>
      <c r="C15" s="433" t="s">
        <v>3058</v>
      </c>
      <c r="D15" s="433" t="s">
        <v>3058</v>
      </c>
      <c r="E15" s="433" t="s">
        <v>3058</v>
      </c>
      <c r="F15" s="433" t="s">
        <v>3058</v>
      </c>
      <c r="G15" s="433" t="s">
        <v>3058</v>
      </c>
      <c r="H15" s="433" t="s">
        <v>3058</v>
      </c>
      <c r="I15" s="433" t="s">
        <v>3058</v>
      </c>
      <c r="J15" s="433" t="s">
        <v>3058</v>
      </c>
      <c r="K15" s="433" t="s">
        <v>3058</v>
      </c>
      <c r="L15" s="433" t="s">
        <v>3058</v>
      </c>
      <c r="M15" s="433" t="s">
        <v>3058</v>
      </c>
      <c r="N15" s="433" t="s">
        <v>3058</v>
      </c>
      <c r="O15" s="433" t="s">
        <v>3058</v>
      </c>
      <c r="P15" s="433" t="s">
        <v>3058</v>
      </c>
      <c r="Q15" s="433" t="s">
        <v>3058</v>
      </c>
      <c r="R15" s="433" t="s">
        <v>3058</v>
      </c>
      <c r="S15" s="433" t="s">
        <v>3058</v>
      </c>
      <c r="T15" s="538" t="s">
        <v>3059</v>
      </c>
    </row>
    <row r="16" spans="1:20" ht="27.75" customHeight="1" x14ac:dyDescent="0.45">
      <c r="A16" s="43" t="s">
        <v>1513</v>
      </c>
      <c r="B16" s="45" t="s">
        <v>3073</v>
      </c>
      <c r="C16" s="438" t="s">
        <v>3060</v>
      </c>
      <c r="D16" s="433" t="s">
        <v>3058</v>
      </c>
      <c r="E16" s="539" t="s">
        <v>3061</v>
      </c>
      <c r="F16" s="438" t="s">
        <v>3060</v>
      </c>
      <c r="G16" s="539" t="s">
        <v>3061</v>
      </c>
      <c r="H16" s="438" t="s">
        <v>3060</v>
      </c>
      <c r="I16" s="433" t="s">
        <v>3058</v>
      </c>
      <c r="J16" s="433" t="s">
        <v>3058</v>
      </c>
      <c r="K16" s="438" t="s">
        <v>3060</v>
      </c>
      <c r="L16" s="438" t="s">
        <v>3060</v>
      </c>
      <c r="M16" s="433" t="s">
        <v>3058</v>
      </c>
      <c r="N16" s="438" t="s">
        <v>3060</v>
      </c>
      <c r="O16" s="539" t="s">
        <v>3061</v>
      </c>
      <c r="P16" s="438" t="s">
        <v>3060</v>
      </c>
      <c r="Q16" s="433" t="s">
        <v>3058</v>
      </c>
      <c r="R16" s="539" t="s">
        <v>3061</v>
      </c>
      <c r="S16" s="433" t="s">
        <v>3058</v>
      </c>
      <c r="T16" s="432" t="s">
        <v>3074</v>
      </c>
    </row>
    <row r="17" spans="1:20" ht="27.75" customHeight="1" x14ac:dyDescent="0.45">
      <c r="A17" s="514" t="s">
        <v>3075</v>
      </c>
      <c r="B17" s="428" t="s">
        <v>3076</v>
      </c>
      <c r="C17" s="433" t="s">
        <v>3058</v>
      </c>
      <c r="D17" s="433" t="s">
        <v>3058</v>
      </c>
      <c r="E17" s="433" t="s">
        <v>3058</v>
      </c>
      <c r="F17" s="433" t="s">
        <v>3058</v>
      </c>
      <c r="G17" s="433" t="s">
        <v>3058</v>
      </c>
      <c r="H17" s="433" t="s">
        <v>3058</v>
      </c>
      <c r="I17" s="433" t="s">
        <v>3058</v>
      </c>
      <c r="J17" s="433" t="s">
        <v>3058</v>
      </c>
      <c r="K17" s="433" t="s">
        <v>3058</v>
      </c>
      <c r="L17" s="433" t="s">
        <v>3058</v>
      </c>
      <c r="M17" s="433" t="s">
        <v>3058</v>
      </c>
      <c r="N17" s="433" t="s">
        <v>3058</v>
      </c>
      <c r="O17" s="433" t="s">
        <v>3058</v>
      </c>
      <c r="P17" s="433" t="s">
        <v>3058</v>
      </c>
      <c r="Q17" s="433" t="s">
        <v>3058</v>
      </c>
      <c r="R17" s="433" t="s">
        <v>3058</v>
      </c>
      <c r="S17" s="433" t="s">
        <v>3058</v>
      </c>
      <c r="T17" s="538" t="s">
        <v>3059</v>
      </c>
    </row>
    <row r="18" spans="1:20" ht="27.75" customHeight="1" x14ac:dyDescent="0.45">
      <c r="A18" s="43" t="s">
        <v>3077</v>
      </c>
      <c r="B18" s="45" t="s">
        <v>3078</v>
      </c>
      <c r="C18" s="433" t="s">
        <v>3058</v>
      </c>
      <c r="D18" s="433" t="s">
        <v>3058</v>
      </c>
      <c r="E18" s="433" t="s">
        <v>3058</v>
      </c>
      <c r="F18" s="433" t="s">
        <v>3058</v>
      </c>
      <c r="G18" s="433" t="s">
        <v>3058</v>
      </c>
      <c r="H18" s="433" t="s">
        <v>3058</v>
      </c>
      <c r="I18" s="433" t="s">
        <v>3058</v>
      </c>
      <c r="J18" s="433" t="s">
        <v>3058</v>
      </c>
      <c r="K18" s="433" t="s">
        <v>3058</v>
      </c>
      <c r="L18" s="433" t="s">
        <v>3058</v>
      </c>
      <c r="M18" s="433" t="s">
        <v>3058</v>
      </c>
      <c r="N18" s="433" t="s">
        <v>3058</v>
      </c>
      <c r="O18" s="433" t="s">
        <v>3058</v>
      </c>
      <c r="P18" s="433" t="s">
        <v>3058</v>
      </c>
      <c r="Q18" s="433" t="s">
        <v>3058</v>
      </c>
      <c r="R18" s="433" t="s">
        <v>3058</v>
      </c>
      <c r="S18" s="433" t="s">
        <v>3058</v>
      </c>
      <c r="T18" s="538" t="s">
        <v>3059</v>
      </c>
    </row>
    <row r="19" spans="1:20" ht="27.75" customHeight="1" x14ac:dyDescent="0.45">
      <c r="A19" s="514" t="s">
        <v>2767</v>
      </c>
      <c r="B19" s="428" t="s">
        <v>3079</v>
      </c>
      <c r="C19" s="438" t="s">
        <v>3060</v>
      </c>
      <c r="D19" s="438" t="s">
        <v>3060</v>
      </c>
      <c r="E19" s="433" t="s">
        <v>3058</v>
      </c>
      <c r="F19" s="433" t="s">
        <v>3058</v>
      </c>
      <c r="G19" s="433" t="s">
        <v>3058</v>
      </c>
      <c r="H19" s="438" t="s">
        <v>3060</v>
      </c>
      <c r="I19" s="438" t="s">
        <v>3060</v>
      </c>
      <c r="J19" s="438" t="s">
        <v>3060</v>
      </c>
      <c r="K19" s="438" t="s">
        <v>3060</v>
      </c>
      <c r="L19" s="438" t="s">
        <v>3060</v>
      </c>
      <c r="M19" s="438" t="s">
        <v>3060</v>
      </c>
      <c r="N19" s="438" t="s">
        <v>3060</v>
      </c>
      <c r="O19" s="438" t="s">
        <v>3060</v>
      </c>
      <c r="P19" s="438" t="s">
        <v>3060</v>
      </c>
      <c r="Q19" s="438" t="s">
        <v>3060</v>
      </c>
      <c r="R19" s="438" t="s">
        <v>3060</v>
      </c>
      <c r="S19" s="438" t="s">
        <v>3060</v>
      </c>
      <c r="T19" s="538" t="s">
        <v>3059</v>
      </c>
    </row>
    <row r="20" spans="1:20" ht="27.75" customHeight="1" x14ac:dyDescent="0.45">
      <c r="A20" s="43" t="s">
        <v>2760</v>
      </c>
      <c r="B20" s="45" t="s">
        <v>3080</v>
      </c>
      <c r="C20" s="438" t="s">
        <v>3060</v>
      </c>
      <c r="D20" s="438" t="s">
        <v>3060</v>
      </c>
      <c r="E20" s="433" t="s">
        <v>3058</v>
      </c>
      <c r="F20" s="438" t="s">
        <v>3060</v>
      </c>
      <c r="G20" s="438" t="s">
        <v>3060</v>
      </c>
      <c r="H20" s="438" t="s">
        <v>3060</v>
      </c>
      <c r="I20" s="438" t="s">
        <v>3060</v>
      </c>
      <c r="J20" s="438" t="s">
        <v>3060</v>
      </c>
      <c r="K20" s="438" t="s">
        <v>3060</v>
      </c>
      <c r="L20" s="438" t="s">
        <v>3060</v>
      </c>
      <c r="M20" s="438" t="s">
        <v>3060</v>
      </c>
      <c r="N20" s="438" t="s">
        <v>3060</v>
      </c>
      <c r="O20" s="438" t="s">
        <v>3060</v>
      </c>
      <c r="P20" s="438" t="s">
        <v>3060</v>
      </c>
      <c r="Q20" s="438" t="s">
        <v>3060</v>
      </c>
      <c r="R20" s="438" t="s">
        <v>3060</v>
      </c>
      <c r="S20" s="438" t="s">
        <v>3060</v>
      </c>
      <c r="T20" s="538" t="s">
        <v>3059</v>
      </c>
    </row>
    <row r="21" spans="1:20" ht="27.75" customHeight="1" x14ac:dyDescent="0.45">
      <c r="A21" s="514" t="s">
        <v>2780</v>
      </c>
      <c r="B21" s="428" t="s">
        <v>3081</v>
      </c>
      <c r="C21" s="438" t="s">
        <v>3060</v>
      </c>
      <c r="D21" s="433" t="s">
        <v>3058</v>
      </c>
      <c r="E21" s="438" t="s">
        <v>3060</v>
      </c>
      <c r="F21" s="438" t="s">
        <v>3060</v>
      </c>
      <c r="G21" s="438" t="s">
        <v>3060</v>
      </c>
      <c r="H21" s="539" t="s">
        <v>3061</v>
      </c>
      <c r="I21" s="438" t="s">
        <v>3060</v>
      </c>
      <c r="J21" s="433" t="s">
        <v>3058</v>
      </c>
      <c r="K21" s="438" t="s">
        <v>3060</v>
      </c>
      <c r="L21" s="433" t="s">
        <v>3058</v>
      </c>
      <c r="M21" s="433" t="s">
        <v>3058</v>
      </c>
      <c r="N21" s="438" t="s">
        <v>3060</v>
      </c>
      <c r="O21" s="539" t="s">
        <v>3061</v>
      </c>
      <c r="P21" s="438" t="s">
        <v>3060</v>
      </c>
      <c r="Q21" s="433" t="s">
        <v>3058</v>
      </c>
      <c r="R21" s="539" t="s">
        <v>3061</v>
      </c>
      <c r="S21" s="433" t="s">
        <v>3058</v>
      </c>
      <c r="T21" s="432" t="s">
        <v>3062</v>
      </c>
    </row>
    <row r="22" spans="1:20" ht="27.75" customHeight="1" x14ac:dyDescent="0.45">
      <c r="A22" s="43" t="s">
        <v>586</v>
      </c>
      <c r="B22" s="45" t="s">
        <v>3082</v>
      </c>
      <c r="C22" s="539" t="s">
        <v>3061</v>
      </c>
      <c r="D22" s="433" t="s">
        <v>3058</v>
      </c>
      <c r="E22" s="539" t="s">
        <v>3061</v>
      </c>
      <c r="F22" s="539" t="s">
        <v>3061</v>
      </c>
      <c r="G22" s="539" t="s">
        <v>3061</v>
      </c>
      <c r="H22" s="539" t="s">
        <v>3061</v>
      </c>
      <c r="I22" s="539" t="s">
        <v>3061</v>
      </c>
      <c r="J22" s="539" t="s">
        <v>3061</v>
      </c>
      <c r="K22" s="539" t="s">
        <v>3061</v>
      </c>
      <c r="L22" s="539" t="s">
        <v>3061</v>
      </c>
      <c r="M22" s="539" t="s">
        <v>3061</v>
      </c>
      <c r="N22" s="539" t="s">
        <v>3061</v>
      </c>
      <c r="O22" s="539" t="s">
        <v>3061</v>
      </c>
      <c r="P22" s="539" t="s">
        <v>3061</v>
      </c>
      <c r="Q22" s="539" t="s">
        <v>3061</v>
      </c>
      <c r="R22" s="539" t="s">
        <v>3061</v>
      </c>
      <c r="S22" s="433" t="s">
        <v>3058</v>
      </c>
      <c r="T22" s="540" t="s">
        <v>3083</v>
      </c>
    </row>
    <row r="23" spans="1:20" ht="27.75" customHeight="1" x14ac:dyDescent="0.45">
      <c r="A23" s="514" t="s">
        <v>930</v>
      </c>
      <c r="B23" s="428" t="s">
        <v>3084</v>
      </c>
      <c r="C23" s="539" t="s">
        <v>3061</v>
      </c>
      <c r="D23" s="433" t="s">
        <v>3058</v>
      </c>
      <c r="E23" s="539" t="s">
        <v>3061</v>
      </c>
      <c r="F23" s="539" t="s">
        <v>3061</v>
      </c>
      <c r="G23" s="539" t="s">
        <v>3061</v>
      </c>
      <c r="H23" s="539" t="s">
        <v>3061</v>
      </c>
      <c r="I23" s="539" t="s">
        <v>3061</v>
      </c>
      <c r="J23" s="539" t="s">
        <v>3061</v>
      </c>
      <c r="K23" s="539" t="s">
        <v>3061</v>
      </c>
      <c r="L23" s="539" t="s">
        <v>3061</v>
      </c>
      <c r="M23" s="539" t="s">
        <v>3061</v>
      </c>
      <c r="N23" s="539" t="s">
        <v>3061</v>
      </c>
      <c r="O23" s="539" t="s">
        <v>3061</v>
      </c>
      <c r="P23" s="539" t="s">
        <v>3061</v>
      </c>
      <c r="Q23" s="539" t="s">
        <v>3061</v>
      </c>
      <c r="R23" s="539" t="s">
        <v>3061</v>
      </c>
      <c r="S23" s="433" t="s">
        <v>3058</v>
      </c>
      <c r="T23" s="540" t="s">
        <v>3083</v>
      </c>
    </row>
    <row r="24" spans="1:20" ht="27.75" customHeight="1" x14ac:dyDescent="0.45">
      <c r="A24" s="43" t="s">
        <v>785</v>
      </c>
      <c r="B24" s="45" t="s">
        <v>3085</v>
      </c>
      <c r="C24" s="539" t="s">
        <v>3061</v>
      </c>
      <c r="D24" s="433" t="s">
        <v>3058</v>
      </c>
      <c r="E24" s="539" t="s">
        <v>3061</v>
      </c>
      <c r="F24" s="539" t="s">
        <v>3061</v>
      </c>
      <c r="G24" s="539" t="s">
        <v>3061</v>
      </c>
      <c r="H24" s="539" t="s">
        <v>3061</v>
      </c>
      <c r="I24" s="539" t="s">
        <v>3061</v>
      </c>
      <c r="J24" s="539" t="s">
        <v>3061</v>
      </c>
      <c r="K24" s="539" t="s">
        <v>3061</v>
      </c>
      <c r="L24" s="539" t="s">
        <v>3061</v>
      </c>
      <c r="M24" s="433" t="s">
        <v>3058</v>
      </c>
      <c r="N24" s="539" t="s">
        <v>3061</v>
      </c>
      <c r="O24" s="539" t="s">
        <v>3061</v>
      </c>
      <c r="P24" s="539" t="s">
        <v>3061</v>
      </c>
      <c r="Q24" s="539" t="s">
        <v>3061</v>
      </c>
      <c r="R24" s="539" t="s">
        <v>3061</v>
      </c>
      <c r="S24" s="433" t="s">
        <v>3058</v>
      </c>
      <c r="T24" s="540" t="s">
        <v>3086</v>
      </c>
    </row>
    <row r="25" spans="1:20" ht="27.75" customHeight="1" x14ac:dyDescent="0.45">
      <c r="A25" s="514" t="s">
        <v>1152</v>
      </c>
      <c r="B25" s="428" t="s">
        <v>1153</v>
      </c>
      <c r="C25" s="539" t="s">
        <v>3061</v>
      </c>
      <c r="D25" s="438" t="s">
        <v>3060</v>
      </c>
      <c r="E25" s="539" t="s">
        <v>3061</v>
      </c>
      <c r="F25" s="539" t="s">
        <v>3061</v>
      </c>
      <c r="G25" s="433" t="s">
        <v>3058</v>
      </c>
      <c r="H25" s="539" t="s">
        <v>3061</v>
      </c>
      <c r="I25" s="539" t="s">
        <v>3061</v>
      </c>
      <c r="J25" s="539" t="s">
        <v>3061</v>
      </c>
      <c r="K25" s="539" t="s">
        <v>3061</v>
      </c>
      <c r="L25" s="539" t="s">
        <v>3061</v>
      </c>
      <c r="M25" s="539" t="s">
        <v>3061</v>
      </c>
      <c r="N25" s="539" t="s">
        <v>3061</v>
      </c>
      <c r="O25" s="539" t="s">
        <v>3061</v>
      </c>
      <c r="P25" s="539" t="s">
        <v>3061</v>
      </c>
      <c r="Q25" s="539" t="s">
        <v>3061</v>
      </c>
      <c r="R25" s="539" t="s">
        <v>3061</v>
      </c>
      <c r="S25" s="539" t="s">
        <v>3061</v>
      </c>
      <c r="T25" s="540" t="s">
        <v>3083</v>
      </c>
    </row>
    <row r="26" spans="1:20" ht="27.75" customHeight="1" x14ac:dyDescent="0.45">
      <c r="A26" s="43" t="s">
        <v>1343</v>
      </c>
      <c r="B26" s="45" t="s">
        <v>3087</v>
      </c>
      <c r="C26" s="539" t="s">
        <v>3061</v>
      </c>
      <c r="D26" s="539" t="s">
        <v>3061</v>
      </c>
      <c r="E26" s="539" t="s">
        <v>3061</v>
      </c>
      <c r="F26" s="433" t="s">
        <v>3058</v>
      </c>
      <c r="G26" s="539" t="s">
        <v>3061</v>
      </c>
      <c r="H26" s="539" t="s">
        <v>3061</v>
      </c>
      <c r="I26" s="539" t="s">
        <v>3061</v>
      </c>
      <c r="J26" s="539" t="s">
        <v>3061</v>
      </c>
      <c r="K26" s="539" t="s">
        <v>3061</v>
      </c>
      <c r="L26" s="539" t="s">
        <v>3061</v>
      </c>
      <c r="M26" s="539" t="s">
        <v>3061</v>
      </c>
      <c r="N26" s="539" t="s">
        <v>3061</v>
      </c>
      <c r="O26" s="539" t="s">
        <v>3061</v>
      </c>
      <c r="P26" s="539" t="s">
        <v>3061</v>
      </c>
      <c r="Q26" s="539" t="s">
        <v>3061</v>
      </c>
      <c r="R26" s="539" t="s">
        <v>3061</v>
      </c>
      <c r="S26" s="539" t="s">
        <v>3061</v>
      </c>
      <c r="T26" s="540" t="s">
        <v>3088</v>
      </c>
    </row>
    <row r="27" spans="1:20" ht="27.75" customHeight="1" x14ac:dyDescent="0.45">
      <c r="A27" s="514" t="s">
        <v>3089</v>
      </c>
      <c r="B27" s="428" t="s">
        <v>1964</v>
      </c>
      <c r="C27" s="539" t="s">
        <v>3061</v>
      </c>
      <c r="D27" s="539" t="s">
        <v>3061</v>
      </c>
      <c r="E27" s="539" t="s">
        <v>3061</v>
      </c>
      <c r="F27" s="539" t="s">
        <v>3061</v>
      </c>
      <c r="G27" s="539" t="s">
        <v>3061</v>
      </c>
      <c r="H27" s="539" t="s">
        <v>3061</v>
      </c>
      <c r="I27" s="539" t="s">
        <v>3061</v>
      </c>
      <c r="J27" s="433" t="s">
        <v>3058</v>
      </c>
      <c r="K27" s="539" t="s">
        <v>3061</v>
      </c>
      <c r="L27" s="539" t="s">
        <v>3061</v>
      </c>
      <c r="M27" s="539" t="s">
        <v>3061</v>
      </c>
      <c r="N27" s="539" t="s">
        <v>3061</v>
      </c>
      <c r="O27" s="539" t="s">
        <v>3061</v>
      </c>
      <c r="P27" s="539" t="s">
        <v>3061</v>
      </c>
      <c r="Q27" s="539" t="s">
        <v>3061</v>
      </c>
      <c r="R27" s="539" t="s">
        <v>3061</v>
      </c>
      <c r="S27" s="539" t="s">
        <v>3061</v>
      </c>
      <c r="T27" s="540" t="s">
        <v>3088</v>
      </c>
    </row>
    <row r="28" spans="1:20" ht="27.75" customHeight="1" x14ac:dyDescent="0.45">
      <c r="A28" s="43" t="s">
        <v>3090</v>
      </c>
      <c r="B28" s="45" t="s">
        <v>3091</v>
      </c>
      <c r="C28" s="539" t="s">
        <v>3061</v>
      </c>
      <c r="D28" s="433" t="s">
        <v>3058</v>
      </c>
      <c r="E28" s="539" t="s">
        <v>3061</v>
      </c>
      <c r="F28" s="539" t="s">
        <v>3061</v>
      </c>
      <c r="G28" s="539" t="s">
        <v>3061</v>
      </c>
      <c r="H28" s="539" t="s">
        <v>3061</v>
      </c>
      <c r="I28" s="539" t="s">
        <v>3061</v>
      </c>
      <c r="J28" s="433" t="s">
        <v>3058</v>
      </c>
      <c r="K28" s="539" t="s">
        <v>3061</v>
      </c>
      <c r="L28" s="539" t="s">
        <v>3061</v>
      </c>
      <c r="M28" s="539" t="s">
        <v>3061</v>
      </c>
      <c r="N28" s="539" t="s">
        <v>3061</v>
      </c>
      <c r="O28" s="539" t="s">
        <v>3061</v>
      </c>
      <c r="P28" s="539" t="s">
        <v>3061</v>
      </c>
      <c r="Q28" s="539" t="s">
        <v>3061</v>
      </c>
      <c r="R28" s="539" t="s">
        <v>3061</v>
      </c>
      <c r="S28" s="433" t="s">
        <v>3058</v>
      </c>
      <c r="T28" s="540" t="s">
        <v>3086</v>
      </c>
    </row>
    <row r="29" spans="1:20" ht="27.75" customHeight="1" x14ac:dyDescent="0.45">
      <c r="A29" s="514" t="s">
        <v>3092</v>
      </c>
      <c r="B29" s="428" t="s">
        <v>1993</v>
      </c>
      <c r="C29" s="539" t="s">
        <v>3061</v>
      </c>
      <c r="D29" s="539" t="s">
        <v>3061</v>
      </c>
      <c r="E29" s="539" t="s">
        <v>3061</v>
      </c>
      <c r="F29" s="539" t="s">
        <v>3061</v>
      </c>
      <c r="G29" s="539" t="s">
        <v>3061</v>
      </c>
      <c r="H29" s="539" t="s">
        <v>3061</v>
      </c>
      <c r="I29" s="539" t="s">
        <v>3061</v>
      </c>
      <c r="J29" s="539" t="s">
        <v>3061</v>
      </c>
      <c r="K29" s="539" t="s">
        <v>3061</v>
      </c>
      <c r="L29" s="433" t="s">
        <v>3058</v>
      </c>
      <c r="M29" s="539" t="s">
        <v>3061</v>
      </c>
      <c r="N29" s="539" t="s">
        <v>3061</v>
      </c>
      <c r="O29" s="539" t="s">
        <v>3061</v>
      </c>
      <c r="P29" s="539" t="s">
        <v>3061</v>
      </c>
      <c r="Q29" s="539" t="s">
        <v>3061</v>
      </c>
      <c r="R29" s="539" t="s">
        <v>3061</v>
      </c>
      <c r="S29" s="539" t="s">
        <v>3061</v>
      </c>
      <c r="T29" s="540" t="s">
        <v>3088</v>
      </c>
    </row>
    <row r="30" spans="1:20" ht="27.75" customHeight="1" x14ac:dyDescent="0.45">
      <c r="A30" s="43" t="s">
        <v>3093</v>
      </c>
      <c r="B30" s="45" t="s">
        <v>1869</v>
      </c>
      <c r="C30" s="433" t="s">
        <v>3058</v>
      </c>
      <c r="D30" s="433" t="s">
        <v>3058</v>
      </c>
      <c r="E30" s="433" t="s">
        <v>3058</v>
      </c>
      <c r="F30" s="433" t="s">
        <v>3058</v>
      </c>
      <c r="G30" s="433" t="s">
        <v>3058</v>
      </c>
      <c r="H30" s="433" t="s">
        <v>3058</v>
      </c>
      <c r="I30" s="433" t="s">
        <v>3058</v>
      </c>
      <c r="J30" s="433" t="s">
        <v>3058</v>
      </c>
      <c r="K30" s="433" t="s">
        <v>3058</v>
      </c>
      <c r="L30" s="433" t="s">
        <v>3058</v>
      </c>
      <c r="M30" s="433" t="s">
        <v>3058</v>
      </c>
      <c r="N30" s="433" t="s">
        <v>3058</v>
      </c>
      <c r="O30" s="433" t="s">
        <v>3058</v>
      </c>
      <c r="P30" s="433" t="s">
        <v>3058</v>
      </c>
      <c r="Q30" s="433" t="s">
        <v>3058</v>
      </c>
      <c r="R30" s="433" t="s">
        <v>3058</v>
      </c>
      <c r="S30" s="433" t="s">
        <v>3058</v>
      </c>
      <c r="T30" s="538" t="s">
        <v>3059</v>
      </c>
    </row>
    <row r="31" spans="1:20" ht="27.75" customHeight="1" x14ac:dyDescent="0.45">
      <c r="A31" s="514" t="s">
        <v>3094</v>
      </c>
      <c r="B31" s="428" t="s">
        <v>3095</v>
      </c>
      <c r="C31" s="539" t="s">
        <v>3061</v>
      </c>
      <c r="D31" s="539" t="s">
        <v>3061</v>
      </c>
      <c r="E31" s="539" t="s">
        <v>3061</v>
      </c>
      <c r="F31" s="539" t="s">
        <v>3061</v>
      </c>
      <c r="G31" s="539" t="s">
        <v>3061</v>
      </c>
      <c r="H31" s="539" t="s">
        <v>3061</v>
      </c>
      <c r="I31" s="539" t="s">
        <v>3061</v>
      </c>
      <c r="J31" s="539" t="s">
        <v>3061</v>
      </c>
      <c r="K31" s="539" t="s">
        <v>3061</v>
      </c>
      <c r="L31" s="539" t="s">
        <v>3061</v>
      </c>
      <c r="M31" s="539" t="s">
        <v>3061</v>
      </c>
      <c r="N31" s="539" t="s">
        <v>3061</v>
      </c>
      <c r="O31" s="539" t="s">
        <v>3061</v>
      </c>
      <c r="P31" s="539" t="s">
        <v>3061</v>
      </c>
      <c r="Q31" s="433" t="s">
        <v>3058</v>
      </c>
      <c r="R31" s="539" t="s">
        <v>3061</v>
      </c>
      <c r="S31" s="539" t="s">
        <v>3061</v>
      </c>
      <c r="T31" s="540" t="s">
        <v>3088</v>
      </c>
    </row>
    <row r="32" spans="1:20" ht="27.75" customHeight="1" x14ac:dyDescent="0.45">
      <c r="A32" s="43" t="s">
        <v>1676</v>
      </c>
      <c r="B32" s="45" t="s">
        <v>1677</v>
      </c>
      <c r="C32" s="438" t="s">
        <v>3060</v>
      </c>
      <c r="D32" s="438" t="s">
        <v>3060</v>
      </c>
      <c r="E32" s="438" t="s">
        <v>3060</v>
      </c>
      <c r="F32" s="438" t="s">
        <v>3060</v>
      </c>
      <c r="G32" s="433" t="s">
        <v>3058</v>
      </c>
      <c r="H32" s="438" t="s">
        <v>3060</v>
      </c>
      <c r="I32" s="438" t="s">
        <v>3060</v>
      </c>
      <c r="J32" s="438" t="s">
        <v>3060</v>
      </c>
      <c r="K32" s="438" t="s">
        <v>3060</v>
      </c>
      <c r="L32" s="438" t="s">
        <v>3060</v>
      </c>
      <c r="M32" s="438" t="s">
        <v>3060</v>
      </c>
      <c r="N32" s="438" t="s">
        <v>3060</v>
      </c>
      <c r="O32" s="438" t="s">
        <v>3060</v>
      </c>
      <c r="P32" s="438" t="s">
        <v>3060</v>
      </c>
      <c r="Q32" s="438" t="s">
        <v>3060</v>
      </c>
      <c r="R32" s="438" t="s">
        <v>3060</v>
      </c>
      <c r="S32" s="438" t="s">
        <v>3060</v>
      </c>
      <c r="T32" s="538" t="s">
        <v>3059</v>
      </c>
    </row>
    <row r="33" spans="1:20" ht="27.75" customHeight="1" x14ac:dyDescent="0.45">
      <c r="A33" s="514" t="s">
        <v>3096</v>
      </c>
      <c r="B33" s="428" t="s">
        <v>3097</v>
      </c>
      <c r="C33" s="433" t="s">
        <v>3058</v>
      </c>
      <c r="D33" s="433" t="s">
        <v>3058</v>
      </c>
      <c r="E33" s="433" t="s">
        <v>3058</v>
      </c>
      <c r="F33" s="433" t="s">
        <v>3058</v>
      </c>
      <c r="G33" s="433" t="s">
        <v>3058</v>
      </c>
      <c r="H33" s="433" t="s">
        <v>3058</v>
      </c>
      <c r="I33" s="433" t="s">
        <v>3058</v>
      </c>
      <c r="J33" s="433" t="s">
        <v>3058</v>
      </c>
      <c r="K33" s="433" t="s">
        <v>3058</v>
      </c>
      <c r="L33" s="433" t="s">
        <v>3058</v>
      </c>
      <c r="M33" s="433" t="s">
        <v>3058</v>
      </c>
      <c r="N33" s="433" t="s">
        <v>3058</v>
      </c>
      <c r="O33" s="433" t="s">
        <v>3058</v>
      </c>
      <c r="P33" s="433" t="s">
        <v>3058</v>
      </c>
      <c r="Q33" s="433" t="s">
        <v>3058</v>
      </c>
      <c r="R33" s="433" t="s">
        <v>3058</v>
      </c>
      <c r="S33" s="433" t="s">
        <v>3058</v>
      </c>
      <c r="T33" s="538" t="s">
        <v>3059</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85041"/>
  </sheetPr>
  <dimension ref="A1:O50"/>
  <sheetViews>
    <sheetView zoomScaleNormal="100" workbookViewId="0">
      <pane ySplit="1" topLeftCell="A2" activePane="bottomLeft" state="frozen"/>
      <selection pane="bottomLeft"/>
    </sheetView>
  </sheetViews>
  <sheetFormatPr defaultColWidth="8.6640625" defaultRowHeight="14.25" x14ac:dyDescent="0.45"/>
  <cols>
    <col min="1" max="1" width="8" customWidth="1"/>
    <col min="2" max="2" width="20" customWidth="1"/>
    <col min="3" max="3" width="30" customWidth="1"/>
    <col min="4" max="4" width="28" customWidth="1"/>
    <col min="5" max="5" width="18" customWidth="1"/>
    <col min="6" max="6" width="22" customWidth="1"/>
    <col min="7" max="7" width="14" customWidth="1"/>
    <col min="8" max="8" width="30" customWidth="1"/>
    <col min="9" max="9" width="44" customWidth="1"/>
    <col min="10" max="10" width="12" customWidth="1"/>
    <col min="11" max="11" width="8" customWidth="1"/>
    <col min="12" max="12" width="18" customWidth="1"/>
  </cols>
  <sheetData>
    <row r="1" spans="1:15" ht="34.9" x14ac:dyDescent="0.45">
      <c r="A1" s="13" t="s">
        <v>3098</v>
      </c>
      <c r="B1" s="13" t="s">
        <v>3099</v>
      </c>
      <c r="C1" s="13" t="s">
        <v>3100</v>
      </c>
      <c r="D1" s="13" t="s">
        <v>3101</v>
      </c>
      <c r="E1" s="13" t="s">
        <v>25</v>
      </c>
      <c r="F1" s="13" t="s">
        <v>3102</v>
      </c>
      <c r="G1" s="13" t="s">
        <v>3103</v>
      </c>
      <c r="H1" s="13" t="s">
        <v>3104</v>
      </c>
      <c r="I1" s="13" t="s">
        <v>3105</v>
      </c>
      <c r="J1" s="13" t="s">
        <v>3106</v>
      </c>
      <c r="K1" s="13" t="s">
        <v>3107</v>
      </c>
      <c r="L1" s="13" t="s">
        <v>3108</v>
      </c>
      <c r="M1" s="674" t="s">
        <v>4775</v>
      </c>
      <c r="N1" s="674" t="s">
        <v>4778</v>
      </c>
      <c r="O1" s="674" t="s">
        <v>4779</v>
      </c>
    </row>
    <row r="2" spans="1:15" ht="54" customHeight="1" x14ac:dyDescent="0.45">
      <c r="A2" s="476" t="s">
        <v>3109</v>
      </c>
      <c r="B2" s="34" t="s">
        <v>3110</v>
      </c>
      <c r="C2" s="45" t="s">
        <v>3111</v>
      </c>
      <c r="D2" s="541" t="s">
        <v>557</v>
      </c>
      <c r="E2" s="44" t="s">
        <v>3112</v>
      </c>
      <c r="F2" s="441" t="s">
        <v>3113</v>
      </c>
      <c r="G2" s="46" t="s">
        <v>3114</v>
      </c>
      <c r="H2" s="495" t="s">
        <v>3115</v>
      </c>
      <c r="I2" s="495" t="s">
        <v>3116</v>
      </c>
      <c r="J2" s="542" t="s">
        <v>3117</v>
      </c>
      <c r="K2" s="42" t="s">
        <v>3118</v>
      </c>
      <c r="L2" s="434" t="s">
        <v>3119</v>
      </c>
      <c r="M2" s="591" t="str">
        <f>IF(COUNTIF('All 108 Regulators - Frameworks'!E$4:E$500,"*"&amp;LEFT(D2,FIND(";",D2&amp;";")-1)&amp;"*")&gt;0,"✅ VERIFIED","❌ NOT FOUND")</f>
        <v>✅ VERIFIED</v>
      </c>
      <c r="N2" s="591" t="str">
        <f>IFERROR(INDEX('KRI Dashboard (All Sectors)'!A$2:A$43,MATCH("*"&amp;LEFT(D2,FIND(";",D2&amp;";")-1)&amp;"*",'KRI Dashboard (All Sectors)'!D$2:D$43,0)),"No linked KRI")</f>
        <v>KRI-X001</v>
      </c>
      <c r="O2" s="591" t="str">
        <f>IF(J2="CRITICAL","🔴 P1",IF(J2="HIGH","🟠 P2","🟡 P3"))</f>
        <v>🔴 P1</v>
      </c>
    </row>
    <row r="3" spans="1:15" ht="54" customHeight="1" x14ac:dyDescent="0.45">
      <c r="A3" s="472" t="s">
        <v>3120</v>
      </c>
      <c r="B3" s="34" t="s">
        <v>3110</v>
      </c>
      <c r="C3" s="469" t="s">
        <v>3121</v>
      </c>
      <c r="D3" s="543" t="s">
        <v>3122</v>
      </c>
      <c r="E3" s="470" t="s">
        <v>3123</v>
      </c>
      <c r="F3" s="544" t="s">
        <v>3124</v>
      </c>
      <c r="G3" s="545" t="s">
        <v>3125</v>
      </c>
      <c r="H3" s="546" t="s">
        <v>3126</v>
      </c>
      <c r="I3" s="546" t="s">
        <v>3127</v>
      </c>
      <c r="J3" s="542" t="s">
        <v>3117</v>
      </c>
      <c r="K3" s="467" t="s">
        <v>3128</v>
      </c>
      <c r="L3" s="547" t="s">
        <v>3129</v>
      </c>
      <c r="M3" s="674" t="s">
        <v>4775</v>
      </c>
      <c r="N3" s="674" t="s">
        <v>4778</v>
      </c>
      <c r="O3" s="674" t="s">
        <v>4779</v>
      </c>
    </row>
    <row r="4" spans="1:15" ht="54" customHeight="1" x14ac:dyDescent="0.45">
      <c r="A4" s="476" t="s">
        <v>3130</v>
      </c>
      <c r="B4" s="34" t="s">
        <v>3110</v>
      </c>
      <c r="C4" s="45" t="s">
        <v>3131</v>
      </c>
      <c r="D4" s="541" t="s">
        <v>1481</v>
      </c>
      <c r="E4" s="44" t="s">
        <v>3132</v>
      </c>
      <c r="F4" s="441" t="s">
        <v>3133</v>
      </c>
      <c r="G4" s="46" t="s">
        <v>3134</v>
      </c>
      <c r="H4" s="495" t="s">
        <v>3135</v>
      </c>
      <c r="I4" s="495" t="s">
        <v>3136</v>
      </c>
      <c r="J4" s="548" t="s">
        <v>154</v>
      </c>
      <c r="K4" s="42" t="s">
        <v>3137</v>
      </c>
      <c r="L4" s="434" t="s">
        <v>3138</v>
      </c>
      <c r="M4" s="591" t="str">
        <f>IF(COUNTIF('All 108 Regulators - Frameworks'!E$4:E$500,"*"&amp;LEFT(D4,FIND(";",D4&amp;";")-1)&amp;"*")&gt;0,"✅ VERIFIED","❌ NOT FOUND")</f>
        <v>✅ VERIFIED</v>
      </c>
      <c r="N4" s="591" t="str">
        <f>IFERROR(INDEX('KRI Dashboard (All Sectors)'!A$2:A$43,MATCH("*"&amp;LEFT(D4,FIND(";",D4&amp;";")-1)&amp;"*",'KRI Dashboard (All Sectors)'!D$2:D$43,0)),"No linked KRI")</f>
        <v>KRI-X006</v>
      </c>
      <c r="O4" s="591" t="str">
        <f t="shared" ref="O4:O50" si="0">IF(J4="CRITICAL","🔴 P1",IF(J4="HIGH","🟠 P2","🟡 P3"))</f>
        <v>🟠 P2</v>
      </c>
    </row>
    <row r="5" spans="1:15" ht="54" customHeight="1" x14ac:dyDescent="0.45">
      <c r="A5" s="472" t="s">
        <v>3139</v>
      </c>
      <c r="B5" s="34" t="s">
        <v>3110</v>
      </c>
      <c r="C5" s="469" t="s">
        <v>3140</v>
      </c>
      <c r="D5" s="543" t="s">
        <v>3141</v>
      </c>
      <c r="E5" s="470" t="s">
        <v>3142</v>
      </c>
      <c r="F5" s="544" t="s">
        <v>3143</v>
      </c>
      <c r="G5" s="545" t="s">
        <v>3144</v>
      </c>
      <c r="H5" s="546" t="s">
        <v>3145</v>
      </c>
      <c r="I5" s="546" t="s">
        <v>3146</v>
      </c>
      <c r="J5" s="548" t="s">
        <v>154</v>
      </c>
      <c r="K5" s="467" t="s">
        <v>3147</v>
      </c>
      <c r="L5" s="547" t="s">
        <v>3148</v>
      </c>
      <c r="M5" s="674" t="s">
        <v>4775</v>
      </c>
      <c r="N5" s="674" t="s">
        <v>4778</v>
      </c>
      <c r="O5" s="674" t="s">
        <v>4779</v>
      </c>
    </row>
    <row r="6" spans="1:15" ht="54" customHeight="1" x14ac:dyDescent="0.45">
      <c r="A6" s="476" t="s">
        <v>3149</v>
      </c>
      <c r="B6" s="34" t="s">
        <v>3110</v>
      </c>
      <c r="C6" s="45" t="s">
        <v>3150</v>
      </c>
      <c r="D6" s="541" t="s">
        <v>3151</v>
      </c>
      <c r="E6" s="44" t="s">
        <v>3152</v>
      </c>
      <c r="F6" s="441" t="s">
        <v>3153</v>
      </c>
      <c r="G6" s="46" t="s">
        <v>3154</v>
      </c>
      <c r="H6" s="495" t="s">
        <v>3155</v>
      </c>
      <c r="I6" s="495" t="s">
        <v>3156</v>
      </c>
      <c r="J6" s="548" t="s">
        <v>154</v>
      </c>
      <c r="K6" s="42" t="s">
        <v>3157</v>
      </c>
      <c r="L6" s="434" t="s">
        <v>3158</v>
      </c>
      <c r="M6" s="591" t="str">
        <f>IF(COUNTIF('All 108 Regulators - Frameworks'!E$4:E$500,"*"&amp;LEFT(D6,FIND(";",D6&amp;";")-1)&amp;"*")&gt;0,"✅ VERIFIED","❌ NOT FOUND")</f>
        <v>❌ NOT FOUND</v>
      </c>
      <c r="N6" s="591" t="str">
        <f>IFERROR(INDEX('KRI Dashboard (All Sectors)'!A$2:A$43,MATCH("*"&amp;LEFT(D6,FIND(";",D6&amp;";")-1)&amp;"*",'KRI Dashboard (All Sectors)'!D$2:D$43,0)),"No linked KRI")</f>
        <v>KRI-X007</v>
      </c>
      <c r="O6" s="591" t="str">
        <f t="shared" ref="O6:O50" si="1">IF(J6="CRITICAL","🔴 P1",IF(J6="HIGH","🟠 P2","🟡 P3"))</f>
        <v>🟠 P2</v>
      </c>
    </row>
    <row r="7" spans="1:15" ht="54" customHeight="1" x14ac:dyDescent="0.45">
      <c r="A7" s="472" t="s">
        <v>3159</v>
      </c>
      <c r="B7" s="34" t="s">
        <v>3110</v>
      </c>
      <c r="C7" s="469" t="s">
        <v>3160</v>
      </c>
      <c r="D7" s="543" t="s">
        <v>3161</v>
      </c>
      <c r="E7" s="470" t="s">
        <v>3162</v>
      </c>
      <c r="F7" s="544" t="s">
        <v>3163</v>
      </c>
      <c r="G7" s="545" t="s">
        <v>3164</v>
      </c>
      <c r="H7" s="546" t="s">
        <v>3165</v>
      </c>
      <c r="I7" s="546" t="s">
        <v>3166</v>
      </c>
      <c r="J7" s="542" t="s">
        <v>3117</v>
      </c>
      <c r="K7" s="467" t="s">
        <v>3157</v>
      </c>
      <c r="L7" s="547" t="s">
        <v>3167</v>
      </c>
      <c r="M7" s="674" t="s">
        <v>4775</v>
      </c>
      <c r="N7" s="674" t="s">
        <v>4778</v>
      </c>
      <c r="O7" s="674" t="s">
        <v>4779</v>
      </c>
    </row>
    <row r="8" spans="1:15" ht="54" customHeight="1" x14ac:dyDescent="0.45">
      <c r="A8" s="476" t="s">
        <v>3168</v>
      </c>
      <c r="B8" s="34" t="s">
        <v>3110</v>
      </c>
      <c r="C8" s="45" t="s">
        <v>3169</v>
      </c>
      <c r="D8" s="541" t="s">
        <v>3170</v>
      </c>
      <c r="E8" s="44" t="s">
        <v>3171</v>
      </c>
      <c r="F8" s="441" t="s">
        <v>3172</v>
      </c>
      <c r="G8" s="46" t="s">
        <v>3173</v>
      </c>
      <c r="H8" s="495" t="s">
        <v>3174</v>
      </c>
      <c r="I8" s="495" t="s">
        <v>3175</v>
      </c>
      <c r="J8" s="548" t="s">
        <v>154</v>
      </c>
      <c r="K8" s="42" t="s">
        <v>3176</v>
      </c>
      <c r="L8" s="434" t="s">
        <v>3177</v>
      </c>
      <c r="M8" s="591" t="str">
        <f>IF(COUNTIF('All 108 Regulators - Frameworks'!E$4:E$500,"*"&amp;LEFT(D8,FIND(";",D8&amp;";")-1)&amp;"*")&gt;0,"✅ VERIFIED","❌ NOT FOUND")</f>
        <v>❌ NOT FOUND</v>
      </c>
      <c r="N8" s="591" t="str">
        <f>IFERROR(INDEX('KRI Dashboard (All Sectors)'!A$2:A$43,MATCH("*"&amp;LEFT(D8,FIND(";",D8&amp;";")-1)&amp;"*",'KRI Dashboard (All Sectors)'!D$2:D$43,0)),"No linked KRI")</f>
        <v>No linked KRI</v>
      </c>
      <c r="O8" s="591" t="str">
        <f t="shared" ref="O8:O50" si="2">IF(J8="CRITICAL","🔴 P1",IF(J8="HIGH","🟠 P2","🟡 P3"))</f>
        <v>🟠 P2</v>
      </c>
    </row>
    <row r="9" spans="1:15" ht="54" customHeight="1" x14ac:dyDescent="0.45">
      <c r="A9" s="472" t="s">
        <v>3178</v>
      </c>
      <c r="B9" s="34" t="s">
        <v>3110</v>
      </c>
      <c r="C9" s="469" t="s">
        <v>3179</v>
      </c>
      <c r="D9" s="543" t="s">
        <v>3180</v>
      </c>
      <c r="E9" s="470" t="s">
        <v>3181</v>
      </c>
      <c r="F9" s="544" t="s">
        <v>3182</v>
      </c>
      <c r="G9" s="545" t="s">
        <v>3183</v>
      </c>
      <c r="H9" s="546" t="s">
        <v>3184</v>
      </c>
      <c r="I9" s="546" t="s">
        <v>3185</v>
      </c>
      <c r="J9" s="549" t="s">
        <v>253</v>
      </c>
      <c r="K9" s="467" t="s">
        <v>3186</v>
      </c>
      <c r="L9" s="547" t="s">
        <v>3187</v>
      </c>
      <c r="M9" s="674" t="s">
        <v>4775</v>
      </c>
      <c r="N9" s="674" t="s">
        <v>4778</v>
      </c>
      <c r="O9" s="674" t="s">
        <v>4779</v>
      </c>
    </row>
    <row r="10" spans="1:15" ht="54" customHeight="1" x14ac:dyDescent="0.45">
      <c r="A10" s="476" t="s">
        <v>3188</v>
      </c>
      <c r="B10" s="34" t="s">
        <v>3110</v>
      </c>
      <c r="C10" s="45" t="s">
        <v>3189</v>
      </c>
      <c r="D10" s="541" t="s">
        <v>3190</v>
      </c>
      <c r="E10" s="44" t="s">
        <v>3191</v>
      </c>
      <c r="F10" s="441" t="s">
        <v>3192</v>
      </c>
      <c r="G10" s="46" t="s">
        <v>3193</v>
      </c>
      <c r="H10" s="495" t="s">
        <v>3194</v>
      </c>
      <c r="I10" s="495" t="s">
        <v>3195</v>
      </c>
      <c r="J10" s="549" t="s">
        <v>253</v>
      </c>
      <c r="K10" s="42" t="s">
        <v>3186</v>
      </c>
      <c r="L10" s="434" t="s">
        <v>263</v>
      </c>
      <c r="M10" s="591" t="str">
        <f>IF(COUNTIF('All 108 Regulators - Frameworks'!E$4:E$500,"*"&amp;LEFT(D10,FIND(";",D10&amp;";")-1)&amp;"*")&gt;0,"✅ VERIFIED","❌ NOT FOUND")</f>
        <v>✅ VERIFIED</v>
      </c>
      <c r="N10" s="591" t="str">
        <f>IFERROR(INDEX('KRI Dashboard (All Sectors)'!A$2:A$43,MATCH("*"&amp;LEFT(D10,FIND(";",D10&amp;";")-1)&amp;"*",'KRI Dashboard (All Sectors)'!D$2:D$43,0)),"No linked KRI")</f>
        <v>KRI-X001</v>
      </c>
      <c r="O10" s="591" t="str">
        <f t="shared" ref="O10:O50" si="3">IF(J10="CRITICAL","🔴 P1",IF(J10="HIGH","🟠 P2","🟡 P3"))</f>
        <v>🟡 P3</v>
      </c>
    </row>
    <row r="11" spans="1:15" ht="54" customHeight="1" x14ac:dyDescent="0.45">
      <c r="A11" s="472" t="s">
        <v>3196</v>
      </c>
      <c r="B11" s="34" t="s">
        <v>3110</v>
      </c>
      <c r="C11" s="469" t="s">
        <v>3197</v>
      </c>
      <c r="D11" s="543" t="s">
        <v>3198</v>
      </c>
      <c r="E11" s="470" t="s">
        <v>3199</v>
      </c>
      <c r="F11" s="544" t="s">
        <v>3200</v>
      </c>
      <c r="G11" s="545" t="s">
        <v>263</v>
      </c>
      <c r="H11" s="546" t="s">
        <v>3201</v>
      </c>
      <c r="I11" s="546" t="s">
        <v>3202</v>
      </c>
      <c r="J11" s="549" t="s">
        <v>253</v>
      </c>
      <c r="K11" s="467" t="s">
        <v>3203</v>
      </c>
      <c r="L11" s="547" t="s">
        <v>263</v>
      </c>
      <c r="M11" s="674" t="s">
        <v>4775</v>
      </c>
      <c r="N11" s="674" t="s">
        <v>4778</v>
      </c>
      <c r="O11" s="674" t="s">
        <v>4779</v>
      </c>
    </row>
    <row r="12" spans="1:15" ht="54" customHeight="1" x14ac:dyDescent="0.45">
      <c r="A12" s="476" t="s">
        <v>3204</v>
      </c>
      <c r="B12" s="34" t="s">
        <v>3110</v>
      </c>
      <c r="C12" s="45" t="s">
        <v>3205</v>
      </c>
      <c r="D12" s="541" t="s">
        <v>3206</v>
      </c>
      <c r="E12" s="44" t="s">
        <v>3207</v>
      </c>
      <c r="F12" s="441" t="s">
        <v>3208</v>
      </c>
      <c r="G12" s="46" t="s">
        <v>263</v>
      </c>
      <c r="H12" s="495" t="s">
        <v>3209</v>
      </c>
      <c r="I12" s="495" t="s">
        <v>3210</v>
      </c>
      <c r="J12" s="549" t="s">
        <v>253</v>
      </c>
      <c r="K12" s="42" t="s">
        <v>3211</v>
      </c>
      <c r="L12" s="434" t="s">
        <v>3212</v>
      </c>
      <c r="M12" s="591" t="str">
        <f>IF(COUNTIF('All 108 Regulators - Frameworks'!E$4:E$500,"*"&amp;LEFT(D12,FIND(";",D12&amp;";")-1)&amp;"*")&gt;0,"✅ VERIFIED","❌ NOT FOUND")</f>
        <v>✅ VERIFIED</v>
      </c>
      <c r="N12" s="591" t="str">
        <f>IFERROR(INDEX('KRI Dashboard (All Sectors)'!A$2:A$43,MATCH("*"&amp;LEFT(D12,FIND(";",D12&amp;";")-1)&amp;"*",'KRI Dashboard (All Sectors)'!D$2:D$43,0)),"No linked KRI")</f>
        <v>KRI-X003</v>
      </c>
      <c r="O12" s="591" t="str">
        <f t="shared" ref="O12:O50" si="4">IF(J12="CRITICAL","🔴 P1",IF(J12="HIGH","🟠 P2","🟡 P3"))</f>
        <v>🟡 P3</v>
      </c>
    </row>
    <row r="13" spans="1:15" ht="54" customHeight="1" x14ac:dyDescent="0.45">
      <c r="A13" s="472" t="s">
        <v>3213</v>
      </c>
      <c r="B13" s="34" t="s">
        <v>3110</v>
      </c>
      <c r="C13" s="469" t="s">
        <v>3214</v>
      </c>
      <c r="D13" s="543" t="s">
        <v>3215</v>
      </c>
      <c r="E13" s="470" t="s">
        <v>3216</v>
      </c>
      <c r="F13" s="544" t="s">
        <v>3217</v>
      </c>
      <c r="G13" s="545" t="s">
        <v>263</v>
      </c>
      <c r="H13" s="546" t="s">
        <v>3218</v>
      </c>
      <c r="I13" s="546" t="s">
        <v>3219</v>
      </c>
      <c r="J13" s="549" t="s">
        <v>253</v>
      </c>
      <c r="K13" s="467" t="s">
        <v>3137</v>
      </c>
      <c r="L13" s="547" t="s">
        <v>3220</v>
      </c>
      <c r="M13" s="674" t="s">
        <v>4775</v>
      </c>
      <c r="N13" s="674" t="s">
        <v>4778</v>
      </c>
      <c r="O13" s="674" t="s">
        <v>4779</v>
      </c>
    </row>
    <row r="14" spans="1:15" ht="54" customHeight="1" x14ac:dyDescent="0.45">
      <c r="A14" s="476" t="s">
        <v>3221</v>
      </c>
      <c r="B14" s="34" t="s">
        <v>3110</v>
      </c>
      <c r="C14" s="45" t="s">
        <v>3222</v>
      </c>
      <c r="D14" s="541" t="s">
        <v>2767</v>
      </c>
      <c r="E14" s="44" t="s">
        <v>3223</v>
      </c>
      <c r="F14" s="441" t="s">
        <v>3224</v>
      </c>
      <c r="G14" s="46" t="s">
        <v>3225</v>
      </c>
      <c r="H14" s="495" t="s">
        <v>3226</v>
      </c>
      <c r="I14" s="495" t="s">
        <v>3227</v>
      </c>
      <c r="J14" s="548" t="s">
        <v>154</v>
      </c>
      <c r="K14" s="42" t="s">
        <v>3137</v>
      </c>
      <c r="L14" s="434" t="s">
        <v>3225</v>
      </c>
      <c r="M14" s="591" t="str">
        <f>IF(COUNTIF('All 108 Regulators - Frameworks'!E$4:E$500,"*"&amp;LEFT(D14,FIND(";",D14&amp;";")-1)&amp;"*")&gt;0,"✅ VERIFIED","❌ NOT FOUND")</f>
        <v>❌ NOT FOUND</v>
      </c>
      <c r="N14" s="591" t="str">
        <f>IFERROR(INDEX('KRI Dashboard (All Sectors)'!A$2:A$43,MATCH("*"&amp;LEFT(D14,FIND(";",D14&amp;";")-1)&amp;"*",'KRI Dashboard (All Sectors)'!D$2:D$43,0)),"No linked KRI")</f>
        <v>KRI-X012</v>
      </c>
      <c r="O14" s="591" t="str">
        <f t="shared" ref="O14:O50" si="5">IF(J14="CRITICAL","🔴 P1",IF(J14="HIGH","🟠 P2","🟡 P3"))</f>
        <v>🟠 P2</v>
      </c>
    </row>
    <row r="15" spans="1:15" ht="54" customHeight="1" x14ac:dyDescent="0.45">
      <c r="A15" s="472" t="s">
        <v>3228</v>
      </c>
      <c r="B15" s="34" t="s">
        <v>3110</v>
      </c>
      <c r="C15" s="469" t="s">
        <v>3229</v>
      </c>
      <c r="D15" s="543" t="s">
        <v>3230</v>
      </c>
      <c r="E15" s="470" t="s">
        <v>3231</v>
      </c>
      <c r="F15" s="544" t="s">
        <v>3232</v>
      </c>
      <c r="G15" s="545" t="s">
        <v>263</v>
      </c>
      <c r="H15" s="546" t="s">
        <v>3233</v>
      </c>
      <c r="I15" s="546" t="s">
        <v>3234</v>
      </c>
      <c r="J15" s="548" t="s">
        <v>154</v>
      </c>
      <c r="K15" s="467" t="s">
        <v>3235</v>
      </c>
      <c r="L15" s="547" t="s">
        <v>3236</v>
      </c>
      <c r="M15" s="674" t="s">
        <v>4775</v>
      </c>
      <c r="N15" s="674" t="s">
        <v>4778</v>
      </c>
      <c r="O15" s="674" t="s">
        <v>4779</v>
      </c>
    </row>
    <row r="16" spans="1:15" ht="54" customHeight="1" x14ac:dyDescent="0.45">
      <c r="A16" s="476" t="s">
        <v>3237</v>
      </c>
      <c r="B16" s="482" t="s">
        <v>1303</v>
      </c>
      <c r="C16" s="45" t="s">
        <v>3238</v>
      </c>
      <c r="D16" s="541" t="s">
        <v>1152</v>
      </c>
      <c r="E16" s="44" t="s">
        <v>3239</v>
      </c>
      <c r="F16" s="441" t="s">
        <v>3240</v>
      </c>
      <c r="G16" s="46" t="s">
        <v>3241</v>
      </c>
      <c r="H16" s="495" t="s">
        <v>3242</v>
      </c>
      <c r="I16" s="495" t="s">
        <v>3243</v>
      </c>
      <c r="J16" s="542" t="s">
        <v>3117</v>
      </c>
      <c r="K16" s="42" t="s">
        <v>3244</v>
      </c>
      <c r="L16" s="434" t="s">
        <v>3245</v>
      </c>
      <c r="M16" s="591" t="str">
        <f>IF(COUNTIF('All 108 Regulators - Frameworks'!E$4:E$500,"*"&amp;LEFT(D16,FIND(";",D16&amp;";")-1)&amp;"*")&gt;0,"✅ VERIFIED","❌ NOT FOUND")</f>
        <v>✅ VERIFIED</v>
      </c>
      <c r="N16" s="591" t="str">
        <f>IFERROR(INDEX('KRI Dashboard (All Sectors)'!A$2:A$43,MATCH("*"&amp;LEFT(D16,FIND(";",D16&amp;";")-1)&amp;"*",'KRI Dashboard (All Sectors)'!D$2:D$43,0)),"No linked KRI")</f>
        <v>KRI-X007</v>
      </c>
      <c r="O16" s="591" t="str">
        <f t="shared" ref="O16:O50" si="6">IF(J16="CRITICAL","🔴 P1",IF(J16="HIGH","🟠 P2","🟡 P3"))</f>
        <v>🔴 P1</v>
      </c>
    </row>
    <row r="17" spans="1:15" ht="54" customHeight="1" x14ac:dyDescent="0.45">
      <c r="A17" s="472" t="s">
        <v>3246</v>
      </c>
      <c r="B17" s="482" t="s">
        <v>1303</v>
      </c>
      <c r="C17" s="469" t="s">
        <v>3247</v>
      </c>
      <c r="D17" s="543" t="s">
        <v>3248</v>
      </c>
      <c r="E17" s="470" t="s">
        <v>3249</v>
      </c>
      <c r="F17" s="544" t="s">
        <v>3250</v>
      </c>
      <c r="G17" s="545" t="s">
        <v>263</v>
      </c>
      <c r="H17" s="546" t="s">
        <v>3251</v>
      </c>
      <c r="I17" s="546" t="s">
        <v>3252</v>
      </c>
      <c r="J17" s="542" t="s">
        <v>3117</v>
      </c>
      <c r="K17" s="467" t="s">
        <v>3157</v>
      </c>
      <c r="L17" s="547" t="s">
        <v>3253</v>
      </c>
      <c r="M17" s="674" t="s">
        <v>4775</v>
      </c>
      <c r="N17" s="674" t="s">
        <v>4778</v>
      </c>
      <c r="O17" s="674" t="s">
        <v>4779</v>
      </c>
    </row>
    <row r="18" spans="1:15" ht="54" customHeight="1" x14ac:dyDescent="0.45">
      <c r="A18" s="476" t="s">
        <v>3254</v>
      </c>
      <c r="B18" s="482" t="s">
        <v>1303</v>
      </c>
      <c r="C18" s="45" t="s">
        <v>3255</v>
      </c>
      <c r="D18" s="541" t="s">
        <v>3256</v>
      </c>
      <c r="E18" s="44" t="s">
        <v>3257</v>
      </c>
      <c r="F18" s="441" t="s">
        <v>3258</v>
      </c>
      <c r="G18" s="46" t="s">
        <v>3259</v>
      </c>
      <c r="H18" s="495" t="s">
        <v>3260</v>
      </c>
      <c r="I18" s="495" t="s">
        <v>3261</v>
      </c>
      <c r="J18" s="548" t="s">
        <v>154</v>
      </c>
      <c r="K18" s="42" t="s">
        <v>3128</v>
      </c>
      <c r="L18" s="434" t="s">
        <v>3262</v>
      </c>
      <c r="M18" s="591" t="str">
        <f>IF(COUNTIF('All 108 Regulators - Frameworks'!E$4:E$500,"*"&amp;LEFT(D18,FIND(";",D18&amp;";")-1)&amp;"*")&gt;0,"✅ VERIFIED","❌ NOT FOUND")</f>
        <v>✅ VERIFIED</v>
      </c>
      <c r="N18" s="591" t="str">
        <f>IFERROR(INDEX('KRI Dashboard (All Sectors)'!A$2:A$43,MATCH("*"&amp;LEFT(D18,FIND(";",D18&amp;";")-1)&amp;"*",'KRI Dashboard (All Sectors)'!D$2:D$43,0)),"No linked KRI")</f>
        <v>No linked KRI</v>
      </c>
      <c r="O18" s="591" t="str">
        <f t="shared" ref="O18:O50" si="7">IF(J18="CRITICAL","🔴 P1",IF(J18="HIGH","🟠 P2","🟡 P3"))</f>
        <v>🟠 P2</v>
      </c>
    </row>
    <row r="19" spans="1:15" ht="54" customHeight="1" x14ac:dyDescent="0.45">
      <c r="A19" s="472" t="s">
        <v>3263</v>
      </c>
      <c r="B19" s="482" t="s">
        <v>1303</v>
      </c>
      <c r="C19" s="469" t="s">
        <v>3264</v>
      </c>
      <c r="D19" s="543" t="s">
        <v>3265</v>
      </c>
      <c r="E19" s="470" t="s">
        <v>3266</v>
      </c>
      <c r="F19" s="544" t="s">
        <v>3267</v>
      </c>
      <c r="G19" s="545" t="s">
        <v>263</v>
      </c>
      <c r="H19" s="546" t="s">
        <v>3268</v>
      </c>
      <c r="I19" s="546" t="s">
        <v>3269</v>
      </c>
      <c r="J19" s="542" t="s">
        <v>3117</v>
      </c>
      <c r="K19" s="467" t="s">
        <v>3270</v>
      </c>
      <c r="L19" s="547" t="s">
        <v>3271</v>
      </c>
      <c r="M19" s="674" t="s">
        <v>4775</v>
      </c>
      <c r="N19" s="674" t="s">
        <v>4778</v>
      </c>
      <c r="O19" s="674" t="s">
        <v>4779</v>
      </c>
    </row>
    <row r="20" spans="1:15" ht="54" customHeight="1" x14ac:dyDescent="0.45">
      <c r="A20" s="476" t="s">
        <v>3272</v>
      </c>
      <c r="B20" s="482" t="s">
        <v>1303</v>
      </c>
      <c r="C20" s="45" t="s">
        <v>3273</v>
      </c>
      <c r="D20" s="541" t="s">
        <v>3274</v>
      </c>
      <c r="E20" s="44" t="s">
        <v>3275</v>
      </c>
      <c r="F20" s="441" t="s">
        <v>3276</v>
      </c>
      <c r="G20" s="46" t="s">
        <v>263</v>
      </c>
      <c r="H20" s="495" t="s">
        <v>3277</v>
      </c>
      <c r="I20" s="495" t="s">
        <v>3278</v>
      </c>
      <c r="J20" s="548" t="s">
        <v>154</v>
      </c>
      <c r="K20" s="42" t="s">
        <v>3128</v>
      </c>
      <c r="L20" s="434" t="s">
        <v>263</v>
      </c>
      <c r="M20" s="591" t="str">
        <f>IF(COUNTIF('All 108 Regulators - Frameworks'!E$4:E$500,"*"&amp;LEFT(D20,FIND(";",D20&amp;";")-1)&amp;"*")&gt;0,"✅ VERIFIED","❌ NOT FOUND")</f>
        <v>✅ VERIFIED</v>
      </c>
      <c r="N20" s="591" t="str">
        <f>IFERROR(INDEX('KRI Dashboard (All Sectors)'!A$2:A$43,MATCH("*"&amp;LEFT(D20,FIND(";",D20&amp;";")-1)&amp;"*",'KRI Dashboard (All Sectors)'!D$2:D$43,0)),"No linked KRI")</f>
        <v>KRI-F003</v>
      </c>
      <c r="O20" s="591" t="str">
        <f t="shared" ref="O20:O50" si="8">IF(J20="CRITICAL","🔴 P1",IF(J20="HIGH","🟠 P2","🟡 P3"))</f>
        <v>🟠 P2</v>
      </c>
    </row>
    <row r="21" spans="1:15" ht="54" customHeight="1" x14ac:dyDescent="0.45">
      <c r="A21" s="472" t="s">
        <v>3279</v>
      </c>
      <c r="B21" s="51" t="s">
        <v>585</v>
      </c>
      <c r="C21" s="469" t="s">
        <v>3280</v>
      </c>
      <c r="D21" s="543" t="s">
        <v>3281</v>
      </c>
      <c r="E21" s="470" t="s">
        <v>3282</v>
      </c>
      <c r="F21" s="544" t="s">
        <v>3283</v>
      </c>
      <c r="G21" s="545" t="s">
        <v>3284</v>
      </c>
      <c r="H21" s="546" t="s">
        <v>3285</v>
      </c>
      <c r="I21" s="546" t="s">
        <v>3286</v>
      </c>
      <c r="J21" s="542" t="s">
        <v>3117</v>
      </c>
      <c r="K21" s="467" t="s">
        <v>3137</v>
      </c>
      <c r="L21" s="547" t="s">
        <v>3287</v>
      </c>
      <c r="M21" s="674" t="s">
        <v>4775</v>
      </c>
      <c r="N21" s="674" t="s">
        <v>4778</v>
      </c>
      <c r="O21" s="674" t="s">
        <v>4779</v>
      </c>
    </row>
    <row r="22" spans="1:15" ht="54" customHeight="1" x14ac:dyDescent="0.45">
      <c r="A22" s="476" t="s">
        <v>3288</v>
      </c>
      <c r="B22" s="51" t="s">
        <v>585</v>
      </c>
      <c r="C22" s="45" t="s">
        <v>3289</v>
      </c>
      <c r="D22" s="541" t="s">
        <v>3290</v>
      </c>
      <c r="E22" s="44" t="s">
        <v>3291</v>
      </c>
      <c r="F22" s="441" t="s">
        <v>3292</v>
      </c>
      <c r="G22" s="46" t="s">
        <v>3293</v>
      </c>
      <c r="H22" s="495" t="s">
        <v>3294</v>
      </c>
      <c r="I22" s="495" t="s">
        <v>3295</v>
      </c>
      <c r="J22" s="542" t="s">
        <v>3117</v>
      </c>
      <c r="K22" s="42" t="s">
        <v>3176</v>
      </c>
      <c r="L22" s="434" t="s">
        <v>3296</v>
      </c>
      <c r="M22" s="591" t="str">
        <f>IF(COUNTIF('All 108 Regulators - Frameworks'!E$4:E$500,"*"&amp;LEFT(D22,FIND(";",D22&amp;";")-1)&amp;"*")&gt;0,"✅ VERIFIED","❌ NOT FOUND")</f>
        <v>✅ VERIFIED</v>
      </c>
      <c r="N22" s="591" t="str">
        <f>IFERROR(INDEX('KRI Dashboard (All Sectors)'!A$2:A$43,MATCH("*"&amp;LEFT(D22,FIND(";",D22&amp;";")-1)&amp;"*",'KRI Dashboard (All Sectors)'!D$2:D$43,0)),"No linked KRI")</f>
        <v>KRI-H002</v>
      </c>
      <c r="O22" s="591" t="str">
        <f t="shared" ref="O22:O50" si="9">IF(J22="CRITICAL","🔴 P1",IF(J22="HIGH","🟠 P2","🟡 P3"))</f>
        <v>🔴 P1</v>
      </c>
    </row>
    <row r="23" spans="1:15" ht="54" customHeight="1" x14ac:dyDescent="0.45">
      <c r="A23" s="472" t="s">
        <v>3297</v>
      </c>
      <c r="B23" s="51" t="s">
        <v>585</v>
      </c>
      <c r="C23" s="469" t="s">
        <v>3298</v>
      </c>
      <c r="D23" s="543" t="s">
        <v>3299</v>
      </c>
      <c r="E23" s="470" t="s">
        <v>3300</v>
      </c>
      <c r="F23" s="544" t="s">
        <v>3301</v>
      </c>
      <c r="G23" s="545" t="s">
        <v>3302</v>
      </c>
      <c r="H23" s="546" t="s">
        <v>3303</v>
      </c>
      <c r="I23" s="546" t="s">
        <v>3304</v>
      </c>
      <c r="J23" s="548" t="s">
        <v>154</v>
      </c>
      <c r="K23" s="467" t="s">
        <v>3305</v>
      </c>
      <c r="L23" s="547" t="s">
        <v>3306</v>
      </c>
      <c r="M23" s="674" t="s">
        <v>4775</v>
      </c>
      <c r="N23" s="674" t="s">
        <v>4778</v>
      </c>
      <c r="O23" s="674" t="s">
        <v>4779</v>
      </c>
    </row>
    <row r="24" spans="1:15" ht="54" customHeight="1" x14ac:dyDescent="0.45">
      <c r="A24" s="476" t="s">
        <v>3307</v>
      </c>
      <c r="B24" s="51" t="s">
        <v>585</v>
      </c>
      <c r="C24" s="45" t="s">
        <v>3308</v>
      </c>
      <c r="D24" s="541" t="s">
        <v>3309</v>
      </c>
      <c r="E24" s="44" t="s">
        <v>3310</v>
      </c>
      <c r="F24" s="441" t="s">
        <v>3311</v>
      </c>
      <c r="G24" s="46" t="s">
        <v>263</v>
      </c>
      <c r="H24" s="495" t="s">
        <v>3312</v>
      </c>
      <c r="I24" s="495" t="s">
        <v>3313</v>
      </c>
      <c r="J24" s="548" t="s">
        <v>154</v>
      </c>
      <c r="K24" s="42" t="s">
        <v>3128</v>
      </c>
      <c r="L24" s="434" t="s">
        <v>3314</v>
      </c>
      <c r="M24" s="591" t="str">
        <f>IF(COUNTIF('All 108 Regulators - Frameworks'!E$4:E$500,"*"&amp;LEFT(D24,FIND(";",D24&amp;";")-1)&amp;"*")&gt;0,"✅ VERIFIED","❌ NOT FOUND")</f>
        <v>✅ VERIFIED</v>
      </c>
      <c r="N24" s="591" t="str">
        <f>IFERROR(INDEX('KRI Dashboard (All Sectors)'!A$2:A$43,MATCH("*"&amp;LEFT(D24,FIND(";",D24&amp;";")-1)&amp;"*",'KRI Dashboard (All Sectors)'!D$2:D$43,0)),"No linked KRI")</f>
        <v>No linked KRI</v>
      </c>
      <c r="O24" s="591" t="str">
        <f t="shared" ref="O24:O50" si="10">IF(J24="CRITICAL","🔴 P1",IF(J24="HIGH","🟠 P2","🟡 P3"))</f>
        <v>🟠 P2</v>
      </c>
    </row>
    <row r="25" spans="1:15" ht="54" customHeight="1" x14ac:dyDescent="0.45">
      <c r="A25" s="472" t="s">
        <v>3315</v>
      </c>
      <c r="B25" s="51" t="s">
        <v>585</v>
      </c>
      <c r="C25" s="469" t="s">
        <v>3316</v>
      </c>
      <c r="D25" s="543" t="s">
        <v>3317</v>
      </c>
      <c r="E25" s="470" t="s">
        <v>3318</v>
      </c>
      <c r="F25" s="544" t="s">
        <v>3319</v>
      </c>
      <c r="G25" s="545" t="s">
        <v>263</v>
      </c>
      <c r="H25" s="546" t="s">
        <v>693</v>
      </c>
      <c r="I25" s="546" t="s">
        <v>3320</v>
      </c>
      <c r="J25" s="548" t="s">
        <v>154</v>
      </c>
      <c r="K25" s="467" t="s">
        <v>3137</v>
      </c>
      <c r="L25" s="547" t="s">
        <v>3287</v>
      </c>
      <c r="M25" s="674" t="s">
        <v>4775</v>
      </c>
      <c r="N25" s="674" t="s">
        <v>4778</v>
      </c>
      <c r="O25" s="674" t="s">
        <v>4779</v>
      </c>
    </row>
    <row r="26" spans="1:15" ht="54" customHeight="1" x14ac:dyDescent="0.45">
      <c r="A26" s="476" t="s">
        <v>3321</v>
      </c>
      <c r="B26" s="51" t="s">
        <v>585</v>
      </c>
      <c r="C26" s="45" t="s">
        <v>3322</v>
      </c>
      <c r="D26" s="541" t="s">
        <v>3323</v>
      </c>
      <c r="E26" s="44" t="s">
        <v>3324</v>
      </c>
      <c r="F26" s="441" t="s">
        <v>3325</v>
      </c>
      <c r="G26" s="46" t="s">
        <v>3326</v>
      </c>
      <c r="H26" s="495" t="s">
        <v>3327</v>
      </c>
      <c r="I26" s="495" t="s">
        <v>3328</v>
      </c>
      <c r="J26" s="542" t="s">
        <v>3117</v>
      </c>
      <c r="K26" s="42" t="s">
        <v>3329</v>
      </c>
      <c r="L26" s="434" t="s">
        <v>3330</v>
      </c>
      <c r="M26" s="591" t="str">
        <f>IF(COUNTIF('All 108 Regulators - Frameworks'!E$4:E$500,"*"&amp;LEFT(D26,FIND(";",D26&amp;";")-1)&amp;"*")&gt;0,"✅ VERIFIED","❌ NOT FOUND")</f>
        <v>✅ VERIFIED</v>
      </c>
      <c r="N26" s="591" t="str">
        <f>IFERROR(INDEX('KRI Dashboard (All Sectors)'!A$2:A$43,MATCH("*"&amp;LEFT(D26,FIND(";",D26&amp;";")-1)&amp;"*",'KRI Dashboard (All Sectors)'!D$2:D$43,0)),"No linked KRI")</f>
        <v>KRI-H004</v>
      </c>
      <c r="O26" s="591" t="str">
        <f t="shared" ref="O26:O50" si="11">IF(J26="CRITICAL","🔴 P1",IF(J26="HIGH","🟠 P2","🟡 P3"))</f>
        <v>🔴 P1</v>
      </c>
    </row>
    <row r="27" spans="1:15" ht="54" customHeight="1" x14ac:dyDescent="0.45">
      <c r="A27" s="472" t="s">
        <v>3331</v>
      </c>
      <c r="B27" s="51" t="s">
        <v>585</v>
      </c>
      <c r="C27" s="469" t="s">
        <v>3332</v>
      </c>
      <c r="D27" s="543" t="s">
        <v>3333</v>
      </c>
      <c r="E27" s="470" t="s">
        <v>3334</v>
      </c>
      <c r="F27" s="544" t="s">
        <v>3335</v>
      </c>
      <c r="G27" s="545" t="s">
        <v>3336</v>
      </c>
      <c r="H27" s="546" t="s">
        <v>3337</v>
      </c>
      <c r="I27" s="546" t="s">
        <v>3338</v>
      </c>
      <c r="J27" s="548" t="s">
        <v>154</v>
      </c>
      <c r="K27" s="467" t="s">
        <v>3128</v>
      </c>
      <c r="L27" s="547" t="s">
        <v>3339</v>
      </c>
      <c r="M27" s="674" t="s">
        <v>4775</v>
      </c>
      <c r="N27" s="674" t="s">
        <v>4778</v>
      </c>
      <c r="O27" s="674" t="s">
        <v>4779</v>
      </c>
    </row>
    <row r="28" spans="1:15" ht="54" customHeight="1" x14ac:dyDescent="0.45">
      <c r="A28" s="476" t="s">
        <v>3340</v>
      </c>
      <c r="B28" s="550" t="s">
        <v>3341</v>
      </c>
      <c r="C28" s="45" t="s">
        <v>3342</v>
      </c>
      <c r="D28" s="541" t="s">
        <v>3343</v>
      </c>
      <c r="E28" s="44" t="s">
        <v>3344</v>
      </c>
      <c r="F28" s="441" t="s">
        <v>1960</v>
      </c>
      <c r="G28" s="46" t="s">
        <v>3345</v>
      </c>
      <c r="H28" s="495" t="s">
        <v>3346</v>
      </c>
      <c r="I28" s="495" t="s">
        <v>3347</v>
      </c>
      <c r="J28" s="548" t="s">
        <v>154</v>
      </c>
      <c r="K28" s="42" t="s">
        <v>3137</v>
      </c>
      <c r="L28" s="434" t="s">
        <v>3314</v>
      </c>
      <c r="M28" s="591" t="str">
        <f>IF(COUNTIF('All 108 Regulators - Frameworks'!E$4:E$500,"*"&amp;LEFT(D28,FIND(";",D28&amp;";")-1)&amp;"*")&gt;0,"✅ VERIFIED","❌ NOT FOUND")</f>
        <v>❌ NOT FOUND</v>
      </c>
      <c r="N28" s="591" t="str">
        <f>IFERROR(INDEX('KRI Dashboard (All Sectors)'!A$2:A$43,MATCH("*"&amp;LEFT(D28,FIND(";",D28&amp;";")-1)&amp;"*",'KRI Dashboard (All Sectors)'!D$2:D$43,0)),"No linked KRI")</f>
        <v>KRI-E001</v>
      </c>
      <c r="O28" s="591" t="str">
        <f t="shared" ref="O28:O50" si="12">IF(J28="CRITICAL","🔴 P1",IF(J28="HIGH","🟠 P2","🟡 P3"))</f>
        <v>🟠 P2</v>
      </c>
    </row>
    <row r="29" spans="1:15" ht="54" customHeight="1" x14ac:dyDescent="0.45">
      <c r="A29" s="472" t="s">
        <v>3348</v>
      </c>
      <c r="B29" s="550" t="s">
        <v>3341</v>
      </c>
      <c r="C29" s="469" t="s">
        <v>3349</v>
      </c>
      <c r="D29" s="543" t="s">
        <v>3350</v>
      </c>
      <c r="E29" s="470" t="s">
        <v>3351</v>
      </c>
      <c r="F29" s="544" t="s">
        <v>3352</v>
      </c>
      <c r="G29" s="545" t="s">
        <v>3353</v>
      </c>
      <c r="H29" s="546" t="s">
        <v>3354</v>
      </c>
      <c r="I29" s="546" t="s">
        <v>3355</v>
      </c>
      <c r="J29" s="542" t="s">
        <v>3117</v>
      </c>
      <c r="K29" s="467" t="s">
        <v>3244</v>
      </c>
      <c r="L29" s="547" t="s">
        <v>3356</v>
      </c>
      <c r="M29" s="674" t="s">
        <v>4775</v>
      </c>
      <c r="N29" s="674" t="s">
        <v>4778</v>
      </c>
      <c r="O29" s="674" t="s">
        <v>4779</v>
      </c>
    </row>
    <row r="30" spans="1:15" ht="54" customHeight="1" x14ac:dyDescent="0.45">
      <c r="A30" s="476" t="s">
        <v>3357</v>
      </c>
      <c r="B30" s="550" t="s">
        <v>3341</v>
      </c>
      <c r="C30" s="45" t="s">
        <v>3358</v>
      </c>
      <c r="D30" s="541" t="s">
        <v>3359</v>
      </c>
      <c r="E30" s="44" t="s">
        <v>3360</v>
      </c>
      <c r="F30" s="441" t="s">
        <v>3361</v>
      </c>
      <c r="G30" s="46" t="s">
        <v>263</v>
      </c>
      <c r="H30" s="495" t="s">
        <v>3362</v>
      </c>
      <c r="I30" s="495" t="s">
        <v>3363</v>
      </c>
      <c r="J30" s="542" t="s">
        <v>3117</v>
      </c>
      <c r="K30" s="42" t="s">
        <v>3137</v>
      </c>
      <c r="L30" s="434" t="s">
        <v>3364</v>
      </c>
      <c r="M30" s="591" t="str">
        <f>IF(COUNTIF('All 108 Regulators - Frameworks'!E$4:E$500,"*"&amp;LEFT(D30,FIND(";",D30&amp;";")-1)&amp;"*")&gt;0,"✅ VERIFIED","❌ NOT FOUND")</f>
        <v>❌ NOT FOUND</v>
      </c>
      <c r="N30" s="591" t="str">
        <f>IFERROR(INDEX('KRI Dashboard (All Sectors)'!A$2:A$43,MATCH("*"&amp;LEFT(D30,FIND(";",D30&amp;";")-1)&amp;"*",'KRI Dashboard (All Sectors)'!D$2:D$43,0)),"No linked KRI")</f>
        <v>No linked KRI</v>
      </c>
      <c r="O30" s="591" t="str">
        <f t="shared" ref="O30:O50" si="13">IF(J30="CRITICAL","🔴 P1",IF(J30="HIGH","🟠 P2","🟡 P3"))</f>
        <v>🔴 P1</v>
      </c>
    </row>
    <row r="31" spans="1:15" ht="54" customHeight="1" x14ac:dyDescent="0.45">
      <c r="A31" s="472" t="s">
        <v>3365</v>
      </c>
      <c r="B31" s="550" t="s">
        <v>3341</v>
      </c>
      <c r="C31" s="469" t="s">
        <v>3366</v>
      </c>
      <c r="D31" s="543" t="s">
        <v>3367</v>
      </c>
      <c r="E31" s="470" t="s">
        <v>3368</v>
      </c>
      <c r="F31" s="544" t="s">
        <v>3369</v>
      </c>
      <c r="G31" s="545" t="s">
        <v>3370</v>
      </c>
      <c r="H31" s="546" t="s">
        <v>3371</v>
      </c>
      <c r="I31" s="546" t="s">
        <v>3372</v>
      </c>
      <c r="J31" s="542" t="s">
        <v>3117</v>
      </c>
      <c r="K31" s="467" t="s">
        <v>3186</v>
      </c>
      <c r="L31" s="547" t="s">
        <v>3373</v>
      </c>
      <c r="M31" s="674" t="s">
        <v>4775</v>
      </c>
      <c r="N31" s="674" t="s">
        <v>4778</v>
      </c>
      <c r="O31" s="674" t="s">
        <v>4779</v>
      </c>
    </row>
    <row r="32" spans="1:15" ht="54" customHeight="1" x14ac:dyDescent="0.45">
      <c r="A32" s="476" t="s">
        <v>3374</v>
      </c>
      <c r="B32" s="551" t="s">
        <v>1355</v>
      </c>
      <c r="C32" s="45" t="s">
        <v>3375</v>
      </c>
      <c r="D32" s="541" t="s">
        <v>3376</v>
      </c>
      <c r="E32" s="44" t="s">
        <v>3377</v>
      </c>
      <c r="F32" s="441" t="s">
        <v>3378</v>
      </c>
      <c r="G32" s="46" t="s">
        <v>3379</v>
      </c>
      <c r="H32" s="495" t="s">
        <v>3380</v>
      </c>
      <c r="I32" s="495" t="s">
        <v>3381</v>
      </c>
      <c r="J32" s="542" t="s">
        <v>3117</v>
      </c>
      <c r="K32" s="42" t="s">
        <v>3176</v>
      </c>
      <c r="L32" s="434" t="s">
        <v>3314</v>
      </c>
      <c r="M32" s="591" t="str">
        <f>IF(COUNTIF('All 108 Regulators - Frameworks'!E$4:E$500,"*"&amp;LEFT(D32,FIND(";",D32&amp;";")-1)&amp;"*")&gt;0,"✅ VERIFIED","❌ NOT FOUND")</f>
        <v>✅ VERIFIED</v>
      </c>
      <c r="N32" s="591" t="str">
        <f>IFERROR(INDEX('KRI Dashboard (All Sectors)'!A$2:A$43,MATCH("*"&amp;LEFT(D32,FIND(";",D32&amp;";")-1)&amp;"*",'KRI Dashboard (All Sectors)'!D$2:D$43,0)),"No linked KRI")</f>
        <v>KRI-F004</v>
      </c>
      <c r="O32" s="591" t="str">
        <f t="shared" ref="O32:O50" si="14">IF(J32="CRITICAL","🔴 P1",IF(J32="HIGH","🟠 P2","🟡 P3"))</f>
        <v>🔴 P1</v>
      </c>
    </row>
    <row r="33" spans="1:15" ht="54" customHeight="1" x14ac:dyDescent="0.45">
      <c r="A33" s="472" t="s">
        <v>3382</v>
      </c>
      <c r="B33" s="551" t="s">
        <v>1355</v>
      </c>
      <c r="C33" s="469" t="s">
        <v>3383</v>
      </c>
      <c r="D33" s="543" t="s">
        <v>3384</v>
      </c>
      <c r="E33" s="470" t="s">
        <v>3385</v>
      </c>
      <c r="F33" s="544" t="s">
        <v>3386</v>
      </c>
      <c r="G33" s="545" t="s">
        <v>263</v>
      </c>
      <c r="H33" s="546" t="s">
        <v>3387</v>
      </c>
      <c r="I33" s="546" t="s">
        <v>3388</v>
      </c>
      <c r="J33" s="542" t="s">
        <v>3117</v>
      </c>
      <c r="K33" s="467" t="s">
        <v>3128</v>
      </c>
      <c r="L33" s="547" t="s">
        <v>3389</v>
      </c>
      <c r="M33" s="674" t="s">
        <v>4775</v>
      </c>
      <c r="N33" s="674" t="s">
        <v>4778</v>
      </c>
      <c r="O33" s="674" t="s">
        <v>4779</v>
      </c>
    </row>
    <row r="34" spans="1:15" ht="54" customHeight="1" x14ac:dyDescent="0.45">
      <c r="A34" s="476" t="s">
        <v>3390</v>
      </c>
      <c r="B34" s="551" t="s">
        <v>1355</v>
      </c>
      <c r="C34" s="45" t="s">
        <v>3391</v>
      </c>
      <c r="D34" s="541" t="s">
        <v>3392</v>
      </c>
      <c r="E34" s="44" t="s">
        <v>3393</v>
      </c>
      <c r="F34" s="441" t="s">
        <v>3394</v>
      </c>
      <c r="G34" s="46" t="s">
        <v>263</v>
      </c>
      <c r="H34" s="495" t="s">
        <v>3395</v>
      </c>
      <c r="I34" s="495" t="s">
        <v>3396</v>
      </c>
      <c r="J34" s="548" t="s">
        <v>154</v>
      </c>
      <c r="K34" s="42" t="s">
        <v>3137</v>
      </c>
      <c r="L34" s="434" t="s">
        <v>3397</v>
      </c>
      <c r="M34" s="591" t="str">
        <f>IF(COUNTIF('All 108 Regulators - Frameworks'!E$4:E$500,"*"&amp;LEFT(D34,FIND(";",D34&amp;";")-1)&amp;"*")&gt;0,"✅ VERIFIED","❌ NOT FOUND")</f>
        <v>✅ VERIFIED</v>
      </c>
      <c r="N34" s="591" t="str">
        <f>IFERROR(INDEX('KRI Dashboard (All Sectors)'!A$2:A$43,MATCH("*"&amp;LEFT(D34,FIND(";",D34&amp;";")-1)&amp;"*",'KRI Dashboard (All Sectors)'!D$2:D$43,0)),"No linked KRI")</f>
        <v>No linked KRI</v>
      </c>
      <c r="O34" s="591" t="str">
        <f t="shared" ref="O34:O50" si="15">IF(J34="CRITICAL","🔴 P1",IF(J34="HIGH","🟠 P2","🟡 P3"))</f>
        <v>🟠 P2</v>
      </c>
    </row>
    <row r="35" spans="1:15" ht="54" customHeight="1" x14ac:dyDescent="0.45">
      <c r="A35" s="472" t="s">
        <v>3398</v>
      </c>
      <c r="B35" s="551" t="s">
        <v>1355</v>
      </c>
      <c r="C35" s="469" t="s">
        <v>3399</v>
      </c>
      <c r="D35" s="543" t="s">
        <v>3400</v>
      </c>
      <c r="E35" s="470" t="s">
        <v>3401</v>
      </c>
      <c r="F35" s="544" t="s">
        <v>3402</v>
      </c>
      <c r="G35" s="545" t="s">
        <v>3403</v>
      </c>
      <c r="H35" s="546" t="s">
        <v>3404</v>
      </c>
      <c r="I35" s="546" t="s">
        <v>3405</v>
      </c>
      <c r="J35" s="548" t="s">
        <v>154</v>
      </c>
      <c r="K35" s="467" t="s">
        <v>3406</v>
      </c>
      <c r="L35" s="547" t="s">
        <v>3407</v>
      </c>
      <c r="M35" s="674" t="s">
        <v>4775</v>
      </c>
      <c r="N35" s="674" t="s">
        <v>4778</v>
      </c>
      <c r="O35" s="674" t="s">
        <v>4779</v>
      </c>
    </row>
    <row r="36" spans="1:15" ht="54" customHeight="1" x14ac:dyDescent="0.45">
      <c r="A36" s="476" t="s">
        <v>3408</v>
      </c>
      <c r="B36" s="552" t="s">
        <v>3409</v>
      </c>
      <c r="C36" s="45" t="s">
        <v>3410</v>
      </c>
      <c r="D36" s="541" t="s">
        <v>3411</v>
      </c>
      <c r="E36" s="44" t="s">
        <v>3412</v>
      </c>
      <c r="F36" s="441" t="s">
        <v>3413</v>
      </c>
      <c r="G36" s="46" t="s">
        <v>263</v>
      </c>
      <c r="H36" s="495" t="s">
        <v>3414</v>
      </c>
      <c r="I36" s="495" t="s">
        <v>3415</v>
      </c>
      <c r="J36" s="548" t="s">
        <v>154</v>
      </c>
      <c r="K36" s="42" t="s">
        <v>3137</v>
      </c>
      <c r="L36" s="434" t="s">
        <v>3314</v>
      </c>
      <c r="M36" s="591" t="str">
        <f>IF(COUNTIF('All 108 Regulators - Frameworks'!E$4:E$500,"*"&amp;LEFT(D36,FIND(";",D36&amp;";")-1)&amp;"*")&gt;0,"✅ VERIFIED","❌ NOT FOUND")</f>
        <v>❌ NOT FOUND</v>
      </c>
      <c r="N36" s="591" t="str">
        <f>IFERROR(INDEX('KRI Dashboard (All Sectors)'!A$2:A$43,MATCH("*"&amp;LEFT(D36,FIND(";",D36&amp;";")-1)&amp;"*",'KRI Dashboard (All Sectors)'!D$2:D$43,0)),"No linked KRI")</f>
        <v>No linked KRI</v>
      </c>
      <c r="O36" s="591" t="str">
        <f t="shared" ref="O36:O50" si="16">IF(J36="CRITICAL","🔴 P1",IF(J36="HIGH","🟠 P2","🟡 P3"))</f>
        <v>🟠 P2</v>
      </c>
    </row>
    <row r="37" spans="1:15" ht="54" customHeight="1" x14ac:dyDescent="0.45">
      <c r="A37" s="472" t="s">
        <v>3416</v>
      </c>
      <c r="B37" s="552" t="s">
        <v>3409</v>
      </c>
      <c r="C37" s="469" t="s">
        <v>3417</v>
      </c>
      <c r="D37" s="543" t="s">
        <v>3418</v>
      </c>
      <c r="E37" s="470" t="s">
        <v>3419</v>
      </c>
      <c r="F37" s="544" t="s">
        <v>3420</v>
      </c>
      <c r="G37" s="545" t="s">
        <v>3421</v>
      </c>
      <c r="H37" s="546" t="s">
        <v>3422</v>
      </c>
      <c r="I37" s="546" t="s">
        <v>3423</v>
      </c>
      <c r="J37" s="548" t="s">
        <v>154</v>
      </c>
      <c r="K37" s="467" t="s">
        <v>3137</v>
      </c>
      <c r="L37" s="547" t="s">
        <v>3424</v>
      </c>
      <c r="M37" s="674" t="s">
        <v>4775</v>
      </c>
      <c r="N37" s="674" t="s">
        <v>4778</v>
      </c>
      <c r="O37" s="674" t="s">
        <v>4779</v>
      </c>
    </row>
    <row r="38" spans="1:15" ht="54" customHeight="1" x14ac:dyDescent="0.45">
      <c r="A38" s="476" t="s">
        <v>3425</v>
      </c>
      <c r="B38" s="552" t="s">
        <v>3409</v>
      </c>
      <c r="C38" s="45" t="s">
        <v>3426</v>
      </c>
      <c r="D38" s="541" t="s">
        <v>3427</v>
      </c>
      <c r="E38" s="44" t="s">
        <v>3428</v>
      </c>
      <c r="F38" s="441" t="s">
        <v>3429</v>
      </c>
      <c r="G38" s="46" t="s">
        <v>3430</v>
      </c>
      <c r="H38" s="495" t="s">
        <v>3431</v>
      </c>
      <c r="I38" s="495" t="s">
        <v>3432</v>
      </c>
      <c r="J38" s="549" t="s">
        <v>253</v>
      </c>
      <c r="K38" s="42" t="s">
        <v>3137</v>
      </c>
      <c r="L38" s="434" t="s">
        <v>3433</v>
      </c>
      <c r="M38" s="591" t="str">
        <f>IF(COUNTIF('All 108 Regulators - Frameworks'!E$4:E$500,"*"&amp;LEFT(D38,FIND(";",D38&amp;";")-1)&amp;"*")&gt;0,"✅ VERIFIED","❌ NOT FOUND")</f>
        <v>❌ NOT FOUND</v>
      </c>
      <c r="N38" s="591" t="str">
        <f>IFERROR(INDEX('KRI Dashboard (All Sectors)'!A$2:A$43,MATCH("*"&amp;LEFT(D38,FIND(";",D38&amp;";")-1)&amp;"*",'KRI Dashboard (All Sectors)'!D$2:D$43,0)),"No linked KRI")</f>
        <v>No linked KRI</v>
      </c>
      <c r="O38" s="591" t="str">
        <f t="shared" ref="O38:O50" si="17">IF(J38="CRITICAL","🔴 P1",IF(J38="HIGH","🟠 P2","🟡 P3"))</f>
        <v>🟡 P3</v>
      </c>
    </row>
    <row r="39" spans="1:15" ht="54" customHeight="1" x14ac:dyDescent="0.45">
      <c r="A39" s="472" t="s">
        <v>3434</v>
      </c>
      <c r="B39" s="552" t="s">
        <v>3409</v>
      </c>
      <c r="C39" s="469" t="s">
        <v>3435</v>
      </c>
      <c r="D39" s="543" t="s">
        <v>3093</v>
      </c>
      <c r="E39" s="470" t="s">
        <v>3436</v>
      </c>
      <c r="F39" s="544" t="s">
        <v>3437</v>
      </c>
      <c r="G39" s="545" t="s">
        <v>263</v>
      </c>
      <c r="H39" s="546" t="s">
        <v>3438</v>
      </c>
      <c r="I39" s="546" t="s">
        <v>3439</v>
      </c>
      <c r="J39" s="548" t="s">
        <v>154</v>
      </c>
      <c r="K39" s="467" t="s">
        <v>3137</v>
      </c>
      <c r="L39" s="547" t="s">
        <v>3440</v>
      </c>
      <c r="M39" s="674" t="s">
        <v>4775</v>
      </c>
      <c r="N39" s="674" t="s">
        <v>4778</v>
      </c>
      <c r="O39" s="674" t="s">
        <v>4779</v>
      </c>
    </row>
    <row r="40" spans="1:15" ht="54" customHeight="1" x14ac:dyDescent="0.45">
      <c r="A40" s="476" t="s">
        <v>3441</v>
      </c>
      <c r="B40" s="552" t="s">
        <v>3409</v>
      </c>
      <c r="C40" s="45" t="s">
        <v>3442</v>
      </c>
      <c r="D40" s="541" t="s">
        <v>3443</v>
      </c>
      <c r="E40" s="44" t="s">
        <v>3444</v>
      </c>
      <c r="F40" s="441" t="s">
        <v>3445</v>
      </c>
      <c r="G40" s="46" t="s">
        <v>263</v>
      </c>
      <c r="H40" s="495" t="s">
        <v>3446</v>
      </c>
      <c r="I40" s="495" t="s">
        <v>3447</v>
      </c>
      <c r="J40" s="542" t="s">
        <v>3117</v>
      </c>
      <c r="K40" s="42" t="s">
        <v>3128</v>
      </c>
      <c r="L40" s="434" t="s">
        <v>3448</v>
      </c>
      <c r="M40" s="591" t="str">
        <f>IF(COUNTIF('All 108 Regulators - Frameworks'!E$4:E$500,"*"&amp;LEFT(D40,FIND(";",D40&amp;";")-1)&amp;"*")&gt;0,"✅ VERIFIED","❌ NOT FOUND")</f>
        <v>✅ VERIFIED</v>
      </c>
      <c r="N40" s="591" t="str">
        <f>IFERROR(INDEX('KRI Dashboard (All Sectors)'!A$2:A$43,MATCH("*"&amp;LEFT(D40,FIND(";",D40&amp;";")-1)&amp;"*",'KRI Dashboard (All Sectors)'!D$2:D$43,0)),"No linked KRI")</f>
        <v>KRI-L002</v>
      </c>
      <c r="O40" s="591" t="str">
        <f t="shared" ref="O40:O50" si="18">IF(J40="CRITICAL","🔴 P1",IF(J40="HIGH","🟠 P2","🟡 P3"))</f>
        <v>🔴 P1</v>
      </c>
    </row>
    <row r="41" spans="1:15" ht="54" customHeight="1" x14ac:dyDescent="0.45">
      <c r="A41" s="472" t="s">
        <v>3449</v>
      </c>
      <c r="B41" s="553" t="s">
        <v>3450</v>
      </c>
      <c r="C41" s="469" t="s">
        <v>3451</v>
      </c>
      <c r="D41" s="543" t="s">
        <v>3452</v>
      </c>
      <c r="E41" s="470" t="s">
        <v>3453</v>
      </c>
      <c r="F41" s="544" t="s">
        <v>3454</v>
      </c>
      <c r="G41" s="545" t="s">
        <v>3455</v>
      </c>
      <c r="H41" s="546" t="s">
        <v>3456</v>
      </c>
      <c r="I41" s="546" t="s">
        <v>3457</v>
      </c>
      <c r="J41" s="542" t="s">
        <v>3117</v>
      </c>
      <c r="K41" s="467" t="s">
        <v>3176</v>
      </c>
      <c r="L41" s="547" t="s">
        <v>3458</v>
      </c>
      <c r="M41" s="674" t="s">
        <v>4775</v>
      </c>
      <c r="N41" s="674" t="s">
        <v>4778</v>
      </c>
      <c r="O41" s="674" t="s">
        <v>4779</v>
      </c>
    </row>
    <row r="42" spans="1:15" ht="54" customHeight="1" x14ac:dyDescent="0.45">
      <c r="A42" s="476" t="s">
        <v>3459</v>
      </c>
      <c r="B42" s="553" t="s">
        <v>3450</v>
      </c>
      <c r="C42" s="45" t="s">
        <v>3460</v>
      </c>
      <c r="D42" s="541" t="s">
        <v>3461</v>
      </c>
      <c r="E42" s="44" t="s">
        <v>3462</v>
      </c>
      <c r="F42" s="441" t="s">
        <v>3463</v>
      </c>
      <c r="G42" s="46" t="s">
        <v>3464</v>
      </c>
      <c r="H42" s="495" t="s">
        <v>3465</v>
      </c>
      <c r="I42" s="495" t="s">
        <v>3466</v>
      </c>
      <c r="J42" s="548" t="s">
        <v>154</v>
      </c>
      <c r="K42" s="42" t="s">
        <v>3137</v>
      </c>
      <c r="L42" s="434" t="s">
        <v>3467</v>
      </c>
      <c r="M42" s="591" t="str">
        <f>IF(COUNTIF('All 108 Regulators - Frameworks'!E$4:E$500,"*"&amp;LEFT(D42,FIND(";",D42&amp;";")-1)&amp;"*")&gt;0,"✅ VERIFIED","❌ NOT FOUND")</f>
        <v>❌ NOT FOUND</v>
      </c>
      <c r="N42" s="591" t="str">
        <f>IFERROR(INDEX('KRI Dashboard (All Sectors)'!A$2:A$43,MATCH("*"&amp;LEFT(D42,FIND(";",D42&amp;";")-1)&amp;"*",'KRI Dashboard (All Sectors)'!D$2:D$43,0)),"No linked KRI")</f>
        <v>No linked KRI</v>
      </c>
      <c r="O42" s="591" t="str">
        <f t="shared" ref="O42:O50" si="19">IF(J42="CRITICAL","🔴 P1",IF(J42="HIGH","🟠 P2","🟡 P3"))</f>
        <v>🟠 P2</v>
      </c>
    </row>
    <row r="43" spans="1:15" ht="54" customHeight="1" x14ac:dyDescent="0.45">
      <c r="A43" s="472" t="s">
        <v>3468</v>
      </c>
      <c r="B43" s="553" t="s">
        <v>3450</v>
      </c>
      <c r="C43" s="469" t="s">
        <v>3469</v>
      </c>
      <c r="D43" s="543" t="s">
        <v>3470</v>
      </c>
      <c r="E43" s="470" t="s">
        <v>3471</v>
      </c>
      <c r="F43" s="544" t="s">
        <v>3472</v>
      </c>
      <c r="G43" s="545" t="s">
        <v>3473</v>
      </c>
      <c r="H43" s="546" t="s">
        <v>3474</v>
      </c>
      <c r="I43" s="546" t="s">
        <v>3475</v>
      </c>
      <c r="J43" s="548" t="s">
        <v>154</v>
      </c>
      <c r="K43" s="467" t="s">
        <v>3137</v>
      </c>
      <c r="L43" s="547" t="s">
        <v>3476</v>
      </c>
      <c r="M43" s="674" t="s">
        <v>4775</v>
      </c>
      <c r="N43" s="674" t="s">
        <v>4778</v>
      </c>
      <c r="O43" s="674" t="s">
        <v>4779</v>
      </c>
    </row>
    <row r="44" spans="1:15" ht="54" customHeight="1" x14ac:dyDescent="0.45">
      <c r="A44" s="476" t="s">
        <v>3477</v>
      </c>
      <c r="B44" s="62" t="s">
        <v>3478</v>
      </c>
      <c r="C44" s="45" t="s">
        <v>3479</v>
      </c>
      <c r="D44" s="541" t="s">
        <v>3480</v>
      </c>
      <c r="E44" s="44" t="s">
        <v>3481</v>
      </c>
      <c r="F44" s="441" t="s">
        <v>3482</v>
      </c>
      <c r="G44" s="46" t="s">
        <v>3483</v>
      </c>
      <c r="H44" s="495" t="s">
        <v>3484</v>
      </c>
      <c r="I44" s="495" t="s">
        <v>3485</v>
      </c>
      <c r="J44" s="548" t="s">
        <v>154</v>
      </c>
      <c r="K44" s="42" t="s">
        <v>3137</v>
      </c>
      <c r="L44" s="434" t="s">
        <v>3486</v>
      </c>
      <c r="M44" s="591" t="str">
        <f>IF(COUNTIF('All 108 Regulators - Frameworks'!E$4:E$500,"*"&amp;LEFT(D44,FIND(";",D44&amp;";")-1)&amp;"*")&gt;0,"✅ VERIFIED","❌ NOT FOUND")</f>
        <v>❌ NOT FOUND</v>
      </c>
      <c r="N44" s="591" t="str">
        <f>IFERROR(INDEX('KRI Dashboard (All Sectors)'!A$2:A$43,MATCH("*"&amp;LEFT(D44,FIND(";",D44&amp;";")-1)&amp;"*",'KRI Dashboard (All Sectors)'!D$2:D$43,0)),"No linked KRI")</f>
        <v>KRI-Ed002</v>
      </c>
      <c r="O44" s="591" t="str">
        <f t="shared" ref="O44:O50" si="20">IF(J44="CRITICAL","🔴 P1",IF(J44="HIGH","🟠 P2","🟡 P3"))</f>
        <v>🟠 P2</v>
      </c>
    </row>
    <row r="45" spans="1:15" ht="54" customHeight="1" x14ac:dyDescent="0.45">
      <c r="A45" s="472" t="s">
        <v>3487</v>
      </c>
      <c r="B45" s="62" t="s">
        <v>3478</v>
      </c>
      <c r="C45" s="469" t="s">
        <v>3488</v>
      </c>
      <c r="D45" s="543" t="s">
        <v>3489</v>
      </c>
      <c r="E45" s="470" t="s">
        <v>3490</v>
      </c>
      <c r="F45" s="544" t="s">
        <v>3491</v>
      </c>
      <c r="G45" s="545" t="s">
        <v>3492</v>
      </c>
      <c r="H45" s="546" t="s">
        <v>3493</v>
      </c>
      <c r="I45" s="546" t="s">
        <v>3494</v>
      </c>
      <c r="J45" s="548" t="s">
        <v>154</v>
      </c>
      <c r="K45" s="467" t="s">
        <v>3495</v>
      </c>
      <c r="L45" s="547" t="s">
        <v>3496</v>
      </c>
      <c r="M45" s="674" t="s">
        <v>4775</v>
      </c>
      <c r="N45" s="674" t="s">
        <v>4778</v>
      </c>
      <c r="O45" s="674" t="s">
        <v>4779</v>
      </c>
    </row>
    <row r="46" spans="1:15" ht="54" customHeight="1" x14ac:dyDescent="0.45">
      <c r="A46" s="476" t="s">
        <v>3497</v>
      </c>
      <c r="B46" s="62" t="s">
        <v>3478</v>
      </c>
      <c r="C46" s="45" t="s">
        <v>3498</v>
      </c>
      <c r="D46" s="541" t="s">
        <v>3499</v>
      </c>
      <c r="E46" s="44" t="s">
        <v>3500</v>
      </c>
      <c r="F46" s="441" t="s">
        <v>3501</v>
      </c>
      <c r="G46" s="46" t="s">
        <v>263</v>
      </c>
      <c r="H46" s="495" t="s">
        <v>3502</v>
      </c>
      <c r="I46" s="495" t="s">
        <v>3503</v>
      </c>
      <c r="J46" s="548" t="s">
        <v>154</v>
      </c>
      <c r="K46" s="42" t="s">
        <v>3128</v>
      </c>
      <c r="L46" s="434" t="s">
        <v>3504</v>
      </c>
      <c r="M46" s="591" t="str">
        <f>IF(COUNTIF('All 108 Regulators - Frameworks'!E$4:E$500,"*"&amp;LEFT(D46,FIND(";",D46&amp;";")-1)&amp;"*")&gt;0,"✅ VERIFIED","❌ NOT FOUND")</f>
        <v>✅ VERIFIED</v>
      </c>
      <c r="N46" s="591" t="str">
        <f>IFERROR(INDEX('KRI Dashboard (All Sectors)'!A$2:A$43,MATCH("*"&amp;LEFT(D46,FIND(";",D46&amp;";")-1)&amp;"*",'KRI Dashboard (All Sectors)'!D$2:D$43,0)),"No linked KRI")</f>
        <v>KRI-X001</v>
      </c>
      <c r="O46" s="591" t="str">
        <f t="shared" ref="O46:O50" si="21">IF(J46="CRITICAL","🔴 P1",IF(J46="HIGH","🟠 P2","🟡 P3"))</f>
        <v>🟠 P2</v>
      </c>
    </row>
    <row r="47" spans="1:15" ht="54" customHeight="1" x14ac:dyDescent="0.45">
      <c r="A47" s="472" t="s">
        <v>3505</v>
      </c>
      <c r="B47" s="554" t="s">
        <v>3506</v>
      </c>
      <c r="C47" s="469" t="s">
        <v>3507</v>
      </c>
      <c r="D47" s="543" t="s">
        <v>3508</v>
      </c>
      <c r="E47" s="470" t="s">
        <v>3509</v>
      </c>
      <c r="F47" s="544" t="s">
        <v>3510</v>
      </c>
      <c r="G47" s="545" t="s">
        <v>3511</v>
      </c>
      <c r="H47" s="546" t="s">
        <v>3512</v>
      </c>
      <c r="I47" s="546" t="s">
        <v>3513</v>
      </c>
      <c r="J47" s="548" t="s">
        <v>154</v>
      </c>
      <c r="K47" s="467" t="s">
        <v>3137</v>
      </c>
      <c r="L47" s="547" t="s">
        <v>3514</v>
      </c>
      <c r="M47" s="674" t="s">
        <v>4775</v>
      </c>
      <c r="N47" s="674" t="s">
        <v>4778</v>
      </c>
      <c r="O47" s="674" t="s">
        <v>4779</v>
      </c>
    </row>
    <row r="48" spans="1:15" ht="54" customHeight="1" x14ac:dyDescent="0.45">
      <c r="A48" s="476" t="s">
        <v>3515</v>
      </c>
      <c r="B48" s="487" t="s">
        <v>3516</v>
      </c>
      <c r="C48" s="45" t="s">
        <v>3517</v>
      </c>
      <c r="D48" s="541" t="s">
        <v>3518</v>
      </c>
      <c r="E48" s="44" t="s">
        <v>3519</v>
      </c>
      <c r="F48" s="441" t="s">
        <v>3520</v>
      </c>
      <c r="G48" s="46" t="s">
        <v>263</v>
      </c>
      <c r="H48" s="495" t="s">
        <v>3521</v>
      </c>
      <c r="I48" s="495" t="s">
        <v>3522</v>
      </c>
      <c r="J48" s="542" t="s">
        <v>3117</v>
      </c>
      <c r="K48" s="42" t="s">
        <v>3137</v>
      </c>
      <c r="L48" s="434" t="s">
        <v>3523</v>
      </c>
      <c r="M48" s="591" t="str">
        <f>IF(COUNTIF('All 108 Regulators - Frameworks'!E$4:E$500,"*"&amp;LEFT(D48,FIND(";",D48&amp;";")-1)&amp;"*")&gt;0,"✅ VERIFIED","❌ NOT FOUND")</f>
        <v>❌ NOT FOUND</v>
      </c>
      <c r="N48" s="591" t="str">
        <f>IFERROR(INDEX('KRI Dashboard (All Sectors)'!A$2:A$43,MATCH("*"&amp;LEFT(D48,FIND(";",D48&amp;";")-1)&amp;"*",'KRI Dashboard (All Sectors)'!D$2:D$43,0)),"No linked KRI")</f>
        <v>KRI-X014</v>
      </c>
      <c r="O48" s="591" t="str">
        <f t="shared" ref="O48:O50" si="22">IF(J48="CRITICAL","🔴 P1",IF(J48="HIGH","🟠 P2","🟡 P3"))</f>
        <v>🔴 P1</v>
      </c>
    </row>
    <row r="49" spans="1:15" ht="54" customHeight="1" x14ac:dyDescent="0.45">
      <c r="A49" s="472" t="s">
        <v>3524</v>
      </c>
      <c r="B49" s="486" t="s">
        <v>3525</v>
      </c>
      <c r="C49" s="469" t="s">
        <v>3526</v>
      </c>
      <c r="D49" s="543" t="s">
        <v>3527</v>
      </c>
      <c r="E49" s="470" t="s">
        <v>3528</v>
      </c>
      <c r="F49" s="544" t="s">
        <v>3529</v>
      </c>
      <c r="G49" s="545" t="s">
        <v>263</v>
      </c>
      <c r="H49" s="546" t="s">
        <v>3530</v>
      </c>
      <c r="I49" s="546" t="s">
        <v>3531</v>
      </c>
      <c r="J49" s="542" t="s">
        <v>3117</v>
      </c>
      <c r="K49" s="467" t="s">
        <v>3176</v>
      </c>
      <c r="L49" s="547" t="s">
        <v>3532</v>
      </c>
      <c r="M49" s="674" t="s">
        <v>4775</v>
      </c>
      <c r="N49" s="674" t="s">
        <v>4778</v>
      </c>
      <c r="O49" s="674" t="s">
        <v>4779</v>
      </c>
    </row>
    <row r="50" spans="1:15" x14ac:dyDescent="0.45">
      <c r="M50" s="591" t="str">
        <f>IF(COUNTIF('All 108 Regulators - Frameworks'!E$4:E$500,"*"&amp;LEFT(D50,FIND(";",D50&amp;";")-1)&amp;"*")&gt;0,"✅ VERIFIED","❌ NOT FOUND")</f>
        <v>✅ VERIFIED</v>
      </c>
      <c r="N50" s="591" t="str">
        <f>IFERROR(INDEX('KRI Dashboard (All Sectors)'!A$2:A$43,MATCH("*"&amp;LEFT(D50,FIND(";",D50&amp;";")-1)&amp;"*",'KRI Dashboard (All Sectors)'!D$2:D$43,0)),"No linked KRI")</f>
        <v>KRI-X001</v>
      </c>
      <c r="O50" s="591" t="str">
        <f t="shared" ref="O50" si="23">IF(J50="CRITICAL","🔴 P1",IF(J50="HIGH","🟠 P2","🟡 P3"))</f>
        <v>🟡 P3</v>
      </c>
    </row>
  </sheetData>
  <conditionalFormatting sqref="J2:J50">
    <cfRule type="containsText" dxfId="4" priority="1" operator="containsText" text="CRITICAL">
      <formula>NOT(ISERROR(SEARCH("CRITICAL",J2)))</formula>
    </cfRule>
  </conditionalFormatting>
  <conditionalFormatting sqref="J2:J50">
    <cfRule type="containsText" dxfId="3" priority="2" operator="containsText" text="HIGH">
      <formula>NOT(ISERROR(SEARCH("HIGH",J2)))</formula>
    </cfRule>
  </conditionalFormatting>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D6FA3"/>
  </sheetPr>
  <dimension ref="A1:Q43"/>
  <sheetViews>
    <sheetView zoomScaleNormal="100" workbookViewId="0">
      <pane ySplit="1" topLeftCell="A5" activePane="bottomLeft" state="frozen"/>
      <selection pane="bottomLeft"/>
    </sheetView>
  </sheetViews>
  <sheetFormatPr defaultColWidth="8.6640625" defaultRowHeight="14.25" x14ac:dyDescent="0.45"/>
  <cols>
    <col min="1" max="1" width="8" customWidth="1"/>
    <col min="2" max="2" width="20" customWidth="1"/>
    <col min="3" max="3" width="36" customWidth="1"/>
    <col min="4" max="4" width="22" customWidth="1"/>
    <col min="5" max="5" width="12" customWidth="1"/>
    <col min="6" max="6" width="18" customWidth="1"/>
    <col min="7" max="7" width="38" customWidth="1"/>
    <col min="8" max="10" width="14" customWidth="1"/>
    <col min="11" max="11" width="28" customWidth="1"/>
    <col min="12" max="12" width="18" customWidth="1"/>
    <col min="13" max="13" width="14" customWidth="1"/>
    <col min="14" max="14" width="24" customWidth="1"/>
  </cols>
  <sheetData>
    <row r="1" spans="1:17" ht="34.9" x14ac:dyDescent="0.45">
      <c r="A1" s="12" t="s">
        <v>3533</v>
      </c>
      <c r="B1" s="12" t="s">
        <v>3099</v>
      </c>
      <c r="C1" s="12" t="s">
        <v>3534</v>
      </c>
      <c r="D1" s="12" t="s">
        <v>3535</v>
      </c>
      <c r="E1" s="12" t="s">
        <v>2883</v>
      </c>
      <c r="F1" s="12" t="s">
        <v>3536</v>
      </c>
      <c r="G1" s="12" t="s">
        <v>3537</v>
      </c>
      <c r="H1" s="12" t="s">
        <v>3538</v>
      </c>
      <c r="I1" s="12" t="s">
        <v>3539</v>
      </c>
      <c r="J1" s="12" t="s">
        <v>3540</v>
      </c>
      <c r="K1" s="12" t="s">
        <v>3541</v>
      </c>
      <c r="L1" s="12" t="s">
        <v>3542</v>
      </c>
      <c r="M1" s="12" t="s">
        <v>3103</v>
      </c>
      <c r="N1" s="12" t="s">
        <v>3543</v>
      </c>
      <c r="O1" s="674" t="s">
        <v>4775</v>
      </c>
      <c r="P1" s="674" t="s">
        <v>4776</v>
      </c>
      <c r="Q1" s="674" t="s">
        <v>4777</v>
      </c>
    </row>
    <row r="2" spans="1:17" ht="48" customHeight="1" x14ac:dyDescent="0.45">
      <c r="A2" s="494" t="s">
        <v>3544</v>
      </c>
      <c r="B2" s="34" t="s">
        <v>3110</v>
      </c>
      <c r="C2" s="45" t="s">
        <v>3545</v>
      </c>
      <c r="D2" s="541" t="s">
        <v>557</v>
      </c>
      <c r="E2" s="555" t="s">
        <v>2909</v>
      </c>
      <c r="F2" s="434" t="s">
        <v>3020</v>
      </c>
      <c r="G2" s="495" t="s">
        <v>3546</v>
      </c>
      <c r="H2" s="22" t="s">
        <v>3547</v>
      </c>
      <c r="I2" s="92" t="s">
        <v>3548</v>
      </c>
      <c r="J2" s="542" t="s">
        <v>3549</v>
      </c>
      <c r="K2" s="495" t="s">
        <v>3550</v>
      </c>
      <c r="L2" s="441" t="s">
        <v>3551</v>
      </c>
      <c r="M2" s="46" t="s">
        <v>263</v>
      </c>
      <c r="N2" s="556" t="s">
        <v>3552</v>
      </c>
      <c r="O2" s="591" t="str">
        <f>IF(COUNTIF('All 108 Regulators - Frameworks'!E$4:E$500,"*"&amp;LEFT(D2,FIND(";",D2&amp;";")-1)&amp;"*")&gt;0,"✅ VERIFIED","❌ NOT FOUND")</f>
        <v>✅ VERIFIED</v>
      </c>
      <c r="P2" s="591" t="str">
        <f>IFERROR(INDEX('All 108 Regulators - Frameworks'!N$4:N$500,MATCH("*"&amp;LEFT(D2,FIND(";",D2&amp;";")-1)&amp;"*",'All 108 Regulators - Frameworks'!E$4:E$500,0)),"N/A")</f>
        <v>HIGHEST</v>
      </c>
      <c r="Q2" s="591" t="str">
        <f>IF(OR(ISNUMBER(SEARCH("ECC",D2)),ISNUMBER(SEARCH("PDPL",D2)),ISNUMBER(SEARCH("OTCC",D2)),ISNUMBER(SEARCH("NCA-REG",D2))),"🔴 CRITICAL-KRI",IF(OR(ISNUMBER(SEARCH("SAMA",D2)),ISNUMBER(SEARCH("CCC",D2)),ISNUMBER(SEARCH("ZATCA",D2)),ISNUMBER(SEARCH("NITAQAT",D2))),"🟠 HIGH-KRI","🟡 MODERATE-KRI"))</f>
        <v>🔴 CRITICAL-KRI</v>
      </c>
    </row>
    <row r="3" spans="1:17" ht="48" customHeight="1" x14ac:dyDescent="0.45">
      <c r="A3" s="557" t="s">
        <v>3553</v>
      </c>
      <c r="B3" s="34" t="s">
        <v>3110</v>
      </c>
      <c r="C3" s="558" t="s">
        <v>3554</v>
      </c>
      <c r="D3" s="559" t="s">
        <v>557</v>
      </c>
      <c r="E3" s="555" t="s">
        <v>2915</v>
      </c>
      <c r="F3" s="560" t="s">
        <v>3020</v>
      </c>
      <c r="G3" s="561" t="s">
        <v>3555</v>
      </c>
      <c r="H3" s="22" t="s">
        <v>3556</v>
      </c>
      <c r="I3" s="92" t="s">
        <v>3557</v>
      </c>
      <c r="J3" s="542" t="s">
        <v>3558</v>
      </c>
      <c r="K3" s="561" t="s">
        <v>3559</v>
      </c>
      <c r="L3" s="562" t="s">
        <v>3560</v>
      </c>
      <c r="M3" s="563" t="s">
        <v>3561</v>
      </c>
      <c r="N3" s="564" t="s">
        <v>3562</v>
      </c>
      <c r="O3" s="674" t="s">
        <v>4775</v>
      </c>
      <c r="P3" s="674" t="s">
        <v>4776</v>
      </c>
      <c r="Q3" s="591" t="str">
        <f t="shared" ref="Q3:Q43" si="0">IF(OR(ISNUMBER(SEARCH("ECC",D3)),ISNUMBER(SEARCH("PDPL",D3)),ISNUMBER(SEARCH("OTCC",D3)),ISNUMBER(SEARCH("NCA-REG",D3))),"🔴 CRITICAL-KRI",IF(OR(ISNUMBER(SEARCH("SAMA",D3)),ISNUMBER(SEARCH("CCC",D3)),ISNUMBER(SEARCH("ZATCA",D3)),ISNUMBER(SEARCH("NITAQAT",D3))),"🟠 HIGH-KRI","🟡 MODERATE-KRI"))</f>
        <v>🔴 CRITICAL-KRI</v>
      </c>
    </row>
    <row r="4" spans="1:17" ht="48" customHeight="1" x14ac:dyDescent="0.45">
      <c r="A4" s="494" t="s">
        <v>3563</v>
      </c>
      <c r="B4" s="34" t="s">
        <v>3110</v>
      </c>
      <c r="C4" s="45" t="s">
        <v>3564</v>
      </c>
      <c r="D4" s="541" t="s">
        <v>382</v>
      </c>
      <c r="E4" s="555" t="s">
        <v>2891</v>
      </c>
      <c r="F4" s="434" t="s">
        <v>3021</v>
      </c>
      <c r="G4" s="495" t="s">
        <v>3565</v>
      </c>
      <c r="H4" s="22" t="s">
        <v>3566</v>
      </c>
      <c r="I4" s="92" t="s">
        <v>3566</v>
      </c>
      <c r="J4" s="542" t="s">
        <v>3567</v>
      </c>
      <c r="K4" s="495" t="s">
        <v>3568</v>
      </c>
      <c r="L4" s="441" t="s">
        <v>3569</v>
      </c>
      <c r="M4" s="46" t="s">
        <v>3570</v>
      </c>
      <c r="N4" s="556" t="s">
        <v>3571</v>
      </c>
      <c r="O4" s="591" t="str">
        <f>IF(COUNTIF('All 108 Regulators - Frameworks'!E$4:E$500,"*"&amp;LEFT(D4,FIND(";",D4&amp;";")-1)&amp;"*")&gt;0,"✅ VERIFIED","❌ NOT FOUND")</f>
        <v>✅ VERIFIED</v>
      </c>
      <c r="P4" s="591" t="str">
        <f>IFERROR(INDEX('All 108 Regulators - Frameworks'!N$4:N$500,MATCH("*"&amp;LEFT(D4,FIND(";",D4&amp;";")-1)&amp;"*",'All 108 Regulators - Frameworks'!E$4:E$500,0)),"N/A")</f>
        <v>HIGHEST</v>
      </c>
      <c r="Q4" s="591" t="str">
        <f t="shared" si="0"/>
        <v>🔴 CRITICAL-KRI</v>
      </c>
    </row>
    <row r="5" spans="1:17" ht="48" customHeight="1" x14ac:dyDescent="0.45">
      <c r="A5" s="557" t="s">
        <v>3572</v>
      </c>
      <c r="B5" s="34" t="s">
        <v>3110</v>
      </c>
      <c r="C5" s="558" t="s">
        <v>3573</v>
      </c>
      <c r="D5" s="559" t="s">
        <v>1575</v>
      </c>
      <c r="E5" s="555" t="s">
        <v>2948</v>
      </c>
      <c r="F5" s="560" t="s">
        <v>3574</v>
      </c>
      <c r="G5" s="561" t="s">
        <v>3575</v>
      </c>
      <c r="H5" s="22" t="s">
        <v>3576</v>
      </c>
      <c r="I5" s="92" t="s">
        <v>3577</v>
      </c>
      <c r="J5" s="542" t="s">
        <v>3578</v>
      </c>
      <c r="K5" s="561" t="s">
        <v>3579</v>
      </c>
      <c r="L5" s="562" t="s">
        <v>3580</v>
      </c>
      <c r="M5" s="563" t="s">
        <v>3581</v>
      </c>
      <c r="N5" s="564" t="s">
        <v>3582</v>
      </c>
      <c r="Q5" s="591" t="str">
        <f t="shared" si="0"/>
        <v>🟠 HIGH-KRI</v>
      </c>
    </row>
    <row r="6" spans="1:17" ht="48" customHeight="1" x14ac:dyDescent="0.45">
      <c r="A6" s="494" t="s">
        <v>3583</v>
      </c>
      <c r="B6" s="34" t="s">
        <v>3110</v>
      </c>
      <c r="C6" s="45" t="s">
        <v>3584</v>
      </c>
      <c r="D6" s="541" t="s">
        <v>3585</v>
      </c>
      <c r="E6" s="555" t="s">
        <v>2948</v>
      </c>
      <c r="F6" s="434" t="s">
        <v>3574</v>
      </c>
      <c r="G6" s="495" t="s">
        <v>3586</v>
      </c>
      <c r="H6" s="22" t="s">
        <v>3587</v>
      </c>
      <c r="I6" s="92" t="s">
        <v>3588</v>
      </c>
      <c r="J6" s="542" t="s">
        <v>3558</v>
      </c>
      <c r="K6" s="495" t="s">
        <v>3589</v>
      </c>
      <c r="L6" s="441" t="s">
        <v>3590</v>
      </c>
      <c r="M6" s="46" t="s">
        <v>3561</v>
      </c>
      <c r="N6" s="556" t="s">
        <v>3591</v>
      </c>
      <c r="Q6" s="591" t="str">
        <f t="shared" si="0"/>
        <v>🔴 CRITICAL-KRI</v>
      </c>
    </row>
    <row r="7" spans="1:17" ht="48" customHeight="1" x14ac:dyDescent="0.45">
      <c r="A7" s="557" t="s">
        <v>3592</v>
      </c>
      <c r="B7" s="34" t="s">
        <v>3110</v>
      </c>
      <c r="C7" s="558" t="s">
        <v>3593</v>
      </c>
      <c r="D7" s="559" t="s">
        <v>1481</v>
      </c>
      <c r="E7" s="555" t="s">
        <v>2891</v>
      </c>
      <c r="F7" s="560" t="s">
        <v>3574</v>
      </c>
      <c r="G7" s="561" t="s">
        <v>3594</v>
      </c>
      <c r="H7" s="22" t="s">
        <v>3595</v>
      </c>
      <c r="I7" s="92" t="s">
        <v>3596</v>
      </c>
      <c r="J7" s="542" t="s">
        <v>3597</v>
      </c>
      <c r="K7" s="561" t="s">
        <v>3598</v>
      </c>
      <c r="L7" s="562" t="s">
        <v>3599</v>
      </c>
      <c r="M7" s="563" t="s">
        <v>3561</v>
      </c>
      <c r="N7" s="564" t="s">
        <v>3600</v>
      </c>
      <c r="Q7" s="591" t="str">
        <f t="shared" si="0"/>
        <v>🟠 HIGH-KRI</v>
      </c>
    </row>
    <row r="8" spans="1:17" ht="48" customHeight="1" x14ac:dyDescent="0.45">
      <c r="A8" s="494" t="s">
        <v>3601</v>
      </c>
      <c r="B8" s="34" t="s">
        <v>3110</v>
      </c>
      <c r="C8" s="45" t="s">
        <v>3602</v>
      </c>
      <c r="D8" s="541" t="s">
        <v>3603</v>
      </c>
      <c r="E8" s="555" t="s">
        <v>3604</v>
      </c>
      <c r="F8" s="434" t="s">
        <v>3027</v>
      </c>
      <c r="G8" s="495" t="s">
        <v>3605</v>
      </c>
      <c r="H8" s="22" t="s">
        <v>3606</v>
      </c>
      <c r="I8" s="92" t="s">
        <v>3607</v>
      </c>
      <c r="J8" s="542" t="s">
        <v>3608</v>
      </c>
      <c r="K8" s="495" t="s">
        <v>3609</v>
      </c>
      <c r="L8" s="441" t="s">
        <v>3610</v>
      </c>
      <c r="M8" s="46" t="s">
        <v>263</v>
      </c>
      <c r="N8" s="556" t="s">
        <v>3611</v>
      </c>
      <c r="Q8" s="591" t="str">
        <f t="shared" si="0"/>
        <v>🔴 CRITICAL-KRI</v>
      </c>
    </row>
    <row r="9" spans="1:17" ht="48" customHeight="1" x14ac:dyDescent="0.45">
      <c r="A9" s="557" t="s">
        <v>3612</v>
      </c>
      <c r="B9" s="34" t="s">
        <v>3110</v>
      </c>
      <c r="C9" s="558" t="s">
        <v>3613</v>
      </c>
      <c r="D9" s="559" t="s">
        <v>3614</v>
      </c>
      <c r="E9" s="555" t="s">
        <v>2891</v>
      </c>
      <c r="F9" s="560" t="s">
        <v>3574</v>
      </c>
      <c r="G9" s="561" t="s">
        <v>3615</v>
      </c>
      <c r="H9" s="22" t="s">
        <v>3566</v>
      </c>
      <c r="I9" s="92" t="s">
        <v>3616</v>
      </c>
      <c r="J9" s="542" t="s">
        <v>3617</v>
      </c>
      <c r="K9" s="561" t="s">
        <v>3618</v>
      </c>
      <c r="L9" s="562" t="s">
        <v>3551</v>
      </c>
      <c r="M9" s="563" t="s">
        <v>3561</v>
      </c>
      <c r="N9" s="564" t="s">
        <v>3619</v>
      </c>
      <c r="Q9" s="591" t="str">
        <f t="shared" si="0"/>
        <v>🔴 CRITICAL-KRI</v>
      </c>
    </row>
    <row r="10" spans="1:17" ht="48" customHeight="1" x14ac:dyDescent="0.45">
      <c r="A10" s="494" t="s">
        <v>3620</v>
      </c>
      <c r="B10" s="34" t="s">
        <v>3110</v>
      </c>
      <c r="C10" s="45" t="s">
        <v>3621</v>
      </c>
      <c r="D10" s="541" t="s">
        <v>3622</v>
      </c>
      <c r="E10" s="555" t="s">
        <v>2936</v>
      </c>
      <c r="F10" s="434" t="s">
        <v>3021</v>
      </c>
      <c r="G10" s="495" t="s">
        <v>3623</v>
      </c>
      <c r="H10" s="22" t="s">
        <v>3624</v>
      </c>
      <c r="I10" s="92" t="s">
        <v>3557</v>
      </c>
      <c r="J10" s="542" t="s">
        <v>3558</v>
      </c>
      <c r="K10" s="495" t="s">
        <v>3625</v>
      </c>
      <c r="L10" s="441" t="s">
        <v>3208</v>
      </c>
      <c r="M10" s="46" t="s">
        <v>263</v>
      </c>
      <c r="N10" s="556" t="s">
        <v>3626</v>
      </c>
      <c r="Q10" s="591" t="str">
        <f t="shared" si="0"/>
        <v>🔴 CRITICAL-KRI</v>
      </c>
    </row>
    <row r="11" spans="1:17" ht="48" customHeight="1" x14ac:dyDescent="0.45">
      <c r="A11" s="557" t="s">
        <v>3627</v>
      </c>
      <c r="B11" s="34" t="s">
        <v>3110</v>
      </c>
      <c r="C11" s="558" t="s">
        <v>3628</v>
      </c>
      <c r="D11" s="559" t="s">
        <v>3629</v>
      </c>
      <c r="E11" s="555" t="s">
        <v>2948</v>
      </c>
      <c r="F11" s="560" t="s">
        <v>3026</v>
      </c>
      <c r="G11" s="561" t="s">
        <v>3630</v>
      </c>
      <c r="H11" s="22" t="s">
        <v>3624</v>
      </c>
      <c r="I11" s="92" t="s">
        <v>3631</v>
      </c>
      <c r="J11" s="542" t="s">
        <v>3632</v>
      </c>
      <c r="K11" s="561" t="s">
        <v>3633</v>
      </c>
      <c r="L11" s="562" t="s">
        <v>3634</v>
      </c>
      <c r="M11" s="563" t="s">
        <v>3635</v>
      </c>
      <c r="N11" s="564" t="s">
        <v>3636</v>
      </c>
      <c r="Q11" s="591" t="str">
        <f t="shared" si="0"/>
        <v>🟡 MODERATE-KRI</v>
      </c>
    </row>
    <row r="12" spans="1:17" ht="48" customHeight="1" x14ac:dyDescent="0.45">
      <c r="A12" s="494" t="s">
        <v>3637</v>
      </c>
      <c r="B12" s="34" t="s">
        <v>3110</v>
      </c>
      <c r="C12" s="45" t="s">
        <v>3638</v>
      </c>
      <c r="D12" s="541" t="s">
        <v>3639</v>
      </c>
      <c r="E12" s="555" t="s">
        <v>2891</v>
      </c>
      <c r="F12" s="434" t="s">
        <v>3640</v>
      </c>
      <c r="G12" s="495" t="s">
        <v>3641</v>
      </c>
      <c r="H12" s="22" t="s">
        <v>3642</v>
      </c>
      <c r="I12" s="92" t="s">
        <v>3566</v>
      </c>
      <c r="J12" s="542" t="s">
        <v>3567</v>
      </c>
      <c r="K12" s="495" t="s">
        <v>3643</v>
      </c>
      <c r="L12" s="441" t="s">
        <v>3644</v>
      </c>
      <c r="M12" s="46" t="s">
        <v>3581</v>
      </c>
      <c r="N12" s="556" t="s">
        <v>3645</v>
      </c>
      <c r="Q12" s="591" t="str">
        <f t="shared" si="0"/>
        <v>🟠 HIGH-KRI</v>
      </c>
    </row>
    <row r="13" spans="1:17" ht="48" customHeight="1" x14ac:dyDescent="0.45">
      <c r="A13" s="557" t="s">
        <v>3646</v>
      </c>
      <c r="B13" s="34" t="s">
        <v>3110</v>
      </c>
      <c r="C13" s="558" t="s">
        <v>3647</v>
      </c>
      <c r="D13" s="559" t="s">
        <v>2767</v>
      </c>
      <c r="E13" s="555" t="s">
        <v>2909</v>
      </c>
      <c r="F13" s="560" t="s">
        <v>3020</v>
      </c>
      <c r="G13" s="561" t="s">
        <v>3648</v>
      </c>
      <c r="H13" s="22" t="s">
        <v>3649</v>
      </c>
      <c r="I13" s="92" t="s">
        <v>3650</v>
      </c>
      <c r="J13" s="542" t="s">
        <v>3651</v>
      </c>
      <c r="K13" s="561" t="s">
        <v>3652</v>
      </c>
      <c r="L13" s="562" t="s">
        <v>3551</v>
      </c>
      <c r="M13" s="563" t="s">
        <v>3653</v>
      </c>
      <c r="N13" s="564" t="s">
        <v>3654</v>
      </c>
      <c r="Q13" s="591" t="str">
        <f t="shared" si="0"/>
        <v>🟡 MODERATE-KRI</v>
      </c>
    </row>
    <row r="14" spans="1:17" ht="48" customHeight="1" x14ac:dyDescent="0.45">
      <c r="A14" s="494" t="s">
        <v>3655</v>
      </c>
      <c r="B14" s="34" t="s">
        <v>3110</v>
      </c>
      <c r="C14" s="45" t="s">
        <v>3656</v>
      </c>
      <c r="D14" s="541" t="s">
        <v>3180</v>
      </c>
      <c r="E14" s="555" t="s">
        <v>3604</v>
      </c>
      <c r="F14" s="434" t="s">
        <v>3657</v>
      </c>
      <c r="G14" s="495" t="s">
        <v>3658</v>
      </c>
      <c r="H14" s="22" t="s">
        <v>3606</v>
      </c>
      <c r="I14" s="92" t="s">
        <v>3607</v>
      </c>
      <c r="J14" s="542" t="s">
        <v>3608</v>
      </c>
      <c r="K14" s="495" t="s">
        <v>3659</v>
      </c>
      <c r="L14" s="441" t="s">
        <v>3660</v>
      </c>
      <c r="M14" s="46" t="s">
        <v>263</v>
      </c>
      <c r="N14" s="556" t="s">
        <v>3661</v>
      </c>
      <c r="Q14" s="591" t="str">
        <f t="shared" si="0"/>
        <v>🔴 CRITICAL-KRI</v>
      </c>
    </row>
    <row r="15" spans="1:17" ht="48" customHeight="1" x14ac:dyDescent="0.45">
      <c r="A15" s="557" t="s">
        <v>3662</v>
      </c>
      <c r="B15" s="34" t="s">
        <v>3110</v>
      </c>
      <c r="C15" s="558" t="s">
        <v>3663</v>
      </c>
      <c r="D15" s="559" t="s">
        <v>3075</v>
      </c>
      <c r="E15" s="555" t="s">
        <v>2936</v>
      </c>
      <c r="F15" s="560" t="s">
        <v>3574</v>
      </c>
      <c r="G15" s="561" t="s">
        <v>3664</v>
      </c>
      <c r="H15" s="22" t="s">
        <v>3566</v>
      </c>
      <c r="I15" s="92" t="s">
        <v>3566</v>
      </c>
      <c r="J15" s="542" t="s">
        <v>3567</v>
      </c>
      <c r="K15" s="561" t="s">
        <v>3665</v>
      </c>
      <c r="L15" s="562" t="s">
        <v>3666</v>
      </c>
      <c r="M15" s="563" t="s">
        <v>263</v>
      </c>
      <c r="N15" s="564" t="s">
        <v>3667</v>
      </c>
      <c r="Q15" s="591" t="str">
        <f t="shared" si="0"/>
        <v>🟡 MODERATE-KRI</v>
      </c>
    </row>
    <row r="16" spans="1:17" ht="48" customHeight="1" x14ac:dyDescent="0.45">
      <c r="A16" s="494" t="s">
        <v>3668</v>
      </c>
      <c r="B16" s="482" t="s">
        <v>1303</v>
      </c>
      <c r="C16" s="45" t="s">
        <v>3669</v>
      </c>
      <c r="D16" s="541" t="s">
        <v>1152</v>
      </c>
      <c r="E16" s="555" t="s">
        <v>2909</v>
      </c>
      <c r="F16" s="434" t="s">
        <v>3020</v>
      </c>
      <c r="G16" s="495" t="s">
        <v>3670</v>
      </c>
      <c r="H16" s="22" t="s">
        <v>3671</v>
      </c>
      <c r="I16" s="92" t="s">
        <v>3672</v>
      </c>
      <c r="J16" s="542" t="s">
        <v>3673</v>
      </c>
      <c r="K16" s="495" t="s">
        <v>3674</v>
      </c>
      <c r="L16" s="441" t="s">
        <v>3551</v>
      </c>
      <c r="M16" s="46" t="s">
        <v>3675</v>
      </c>
      <c r="N16" s="556" t="s">
        <v>3676</v>
      </c>
      <c r="Q16" s="591" t="str">
        <f t="shared" si="0"/>
        <v>🟠 HIGH-KRI</v>
      </c>
    </row>
    <row r="17" spans="1:17" ht="48" customHeight="1" x14ac:dyDescent="0.45">
      <c r="A17" s="557" t="s">
        <v>3677</v>
      </c>
      <c r="B17" s="482" t="s">
        <v>1303</v>
      </c>
      <c r="C17" s="558" t="s">
        <v>3678</v>
      </c>
      <c r="D17" s="559" t="s">
        <v>1294</v>
      </c>
      <c r="E17" s="555" t="s">
        <v>2891</v>
      </c>
      <c r="F17" s="560" t="s">
        <v>3679</v>
      </c>
      <c r="G17" s="561" t="s">
        <v>3680</v>
      </c>
      <c r="H17" s="22" t="s">
        <v>3566</v>
      </c>
      <c r="I17" s="92" t="s">
        <v>3566</v>
      </c>
      <c r="J17" s="542" t="s">
        <v>3567</v>
      </c>
      <c r="K17" s="561" t="s">
        <v>3681</v>
      </c>
      <c r="L17" s="562" t="s">
        <v>3682</v>
      </c>
      <c r="M17" s="563" t="s">
        <v>3561</v>
      </c>
      <c r="N17" s="564" t="s">
        <v>3683</v>
      </c>
      <c r="Q17" s="591" t="str">
        <f t="shared" si="0"/>
        <v>🟠 HIGH-KRI</v>
      </c>
    </row>
    <row r="18" spans="1:17" ht="48" customHeight="1" x14ac:dyDescent="0.45">
      <c r="A18" s="494" t="s">
        <v>3684</v>
      </c>
      <c r="B18" s="482" t="s">
        <v>1303</v>
      </c>
      <c r="C18" s="45" t="s">
        <v>3685</v>
      </c>
      <c r="D18" s="541" t="s">
        <v>3686</v>
      </c>
      <c r="E18" s="555" t="s">
        <v>3604</v>
      </c>
      <c r="F18" s="434" t="s">
        <v>3028</v>
      </c>
      <c r="G18" s="495" t="s">
        <v>3687</v>
      </c>
      <c r="H18" s="22" t="s">
        <v>3688</v>
      </c>
      <c r="I18" s="92" t="s">
        <v>3689</v>
      </c>
      <c r="J18" s="542" t="s">
        <v>3690</v>
      </c>
      <c r="K18" s="495" t="s">
        <v>3691</v>
      </c>
      <c r="L18" s="441" t="s">
        <v>3692</v>
      </c>
      <c r="M18" s="46" t="s">
        <v>3581</v>
      </c>
      <c r="N18" s="556" t="s">
        <v>3693</v>
      </c>
      <c r="Q18" s="591" t="str">
        <f t="shared" si="0"/>
        <v>🟠 HIGH-KRI</v>
      </c>
    </row>
    <row r="19" spans="1:17" ht="48" customHeight="1" x14ac:dyDescent="0.45">
      <c r="A19" s="557" t="s">
        <v>3694</v>
      </c>
      <c r="B19" s="482" t="s">
        <v>1303</v>
      </c>
      <c r="C19" s="558" t="s">
        <v>3695</v>
      </c>
      <c r="D19" s="559" t="s">
        <v>3696</v>
      </c>
      <c r="E19" s="555" t="s">
        <v>3604</v>
      </c>
      <c r="F19" s="560" t="s">
        <v>3697</v>
      </c>
      <c r="G19" s="561" t="s">
        <v>3698</v>
      </c>
      <c r="H19" s="22" t="s">
        <v>3699</v>
      </c>
      <c r="I19" s="92" t="s">
        <v>3700</v>
      </c>
      <c r="J19" s="542" t="s">
        <v>3701</v>
      </c>
      <c r="K19" s="561" t="s">
        <v>3702</v>
      </c>
      <c r="L19" s="562" t="s">
        <v>3703</v>
      </c>
      <c r="M19" s="563" t="s">
        <v>3704</v>
      </c>
      <c r="N19" s="564" t="s">
        <v>3705</v>
      </c>
      <c r="Q19" s="591" t="str">
        <f t="shared" si="0"/>
        <v>🟠 HIGH-KRI</v>
      </c>
    </row>
    <row r="20" spans="1:17" ht="48" customHeight="1" x14ac:dyDescent="0.45">
      <c r="A20" s="494" t="s">
        <v>3706</v>
      </c>
      <c r="B20" s="482" t="s">
        <v>1303</v>
      </c>
      <c r="C20" s="45" t="s">
        <v>3707</v>
      </c>
      <c r="D20" s="541" t="s">
        <v>1304</v>
      </c>
      <c r="E20" s="555" t="s">
        <v>2915</v>
      </c>
      <c r="F20" s="434" t="s">
        <v>3020</v>
      </c>
      <c r="G20" s="495" t="s">
        <v>3708</v>
      </c>
      <c r="H20" s="22" t="s">
        <v>3709</v>
      </c>
      <c r="I20" s="92" t="s">
        <v>3710</v>
      </c>
      <c r="J20" s="542" t="s">
        <v>3711</v>
      </c>
      <c r="K20" s="495" t="s">
        <v>3712</v>
      </c>
      <c r="L20" s="441" t="s">
        <v>3713</v>
      </c>
      <c r="M20" s="46" t="s">
        <v>3561</v>
      </c>
      <c r="N20" s="556" t="s">
        <v>3714</v>
      </c>
      <c r="Q20" s="591" t="str">
        <f t="shared" si="0"/>
        <v>🟠 HIGH-KRI</v>
      </c>
    </row>
    <row r="21" spans="1:17" ht="48" customHeight="1" x14ac:dyDescent="0.45">
      <c r="A21" s="557" t="s">
        <v>3715</v>
      </c>
      <c r="B21" s="550" t="s">
        <v>3341</v>
      </c>
      <c r="C21" s="558" t="s">
        <v>3716</v>
      </c>
      <c r="D21" s="559" t="s">
        <v>3717</v>
      </c>
      <c r="E21" s="555" t="s">
        <v>3604</v>
      </c>
      <c r="F21" s="560" t="s">
        <v>3718</v>
      </c>
      <c r="G21" s="561" t="s">
        <v>3719</v>
      </c>
      <c r="H21" s="22" t="s">
        <v>3595</v>
      </c>
      <c r="I21" s="92" t="s">
        <v>3720</v>
      </c>
      <c r="J21" s="542" t="s">
        <v>3597</v>
      </c>
      <c r="K21" s="561" t="s">
        <v>3721</v>
      </c>
      <c r="L21" s="562" t="s">
        <v>3722</v>
      </c>
      <c r="M21" s="563" t="s">
        <v>3561</v>
      </c>
      <c r="N21" s="564" t="s">
        <v>3723</v>
      </c>
      <c r="Q21" s="591" t="str">
        <f t="shared" si="0"/>
        <v>🔴 CRITICAL-KRI</v>
      </c>
    </row>
    <row r="22" spans="1:17" ht="48" customHeight="1" x14ac:dyDescent="0.45">
      <c r="A22" s="494" t="s">
        <v>3724</v>
      </c>
      <c r="B22" s="550" t="s">
        <v>3341</v>
      </c>
      <c r="C22" s="45" t="s">
        <v>3725</v>
      </c>
      <c r="D22" s="541" t="s">
        <v>3726</v>
      </c>
      <c r="E22" s="555" t="s">
        <v>3604</v>
      </c>
      <c r="F22" s="434" t="s">
        <v>3727</v>
      </c>
      <c r="G22" s="495" t="s">
        <v>3728</v>
      </c>
      <c r="H22" s="22" t="s">
        <v>3729</v>
      </c>
      <c r="I22" s="92" t="s">
        <v>3730</v>
      </c>
      <c r="J22" s="542" t="s">
        <v>3731</v>
      </c>
      <c r="K22" s="495" t="s">
        <v>3732</v>
      </c>
      <c r="L22" s="441" t="s">
        <v>3733</v>
      </c>
      <c r="M22" s="46" t="s">
        <v>3561</v>
      </c>
      <c r="N22" s="556" t="s">
        <v>3734</v>
      </c>
      <c r="Q22" s="591" t="str">
        <f t="shared" si="0"/>
        <v>🔴 CRITICAL-KRI</v>
      </c>
    </row>
    <row r="23" spans="1:17" ht="48" customHeight="1" x14ac:dyDescent="0.45">
      <c r="A23" s="557" t="s">
        <v>3735</v>
      </c>
      <c r="B23" s="550" t="s">
        <v>3341</v>
      </c>
      <c r="C23" s="558" t="s">
        <v>3736</v>
      </c>
      <c r="D23" s="559" t="s">
        <v>3737</v>
      </c>
      <c r="E23" s="555" t="s">
        <v>2915</v>
      </c>
      <c r="F23" s="560" t="s">
        <v>3738</v>
      </c>
      <c r="G23" s="561" t="s">
        <v>3739</v>
      </c>
      <c r="H23" s="22" t="s">
        <v>3566</v>
      </c>
      <c r="I23" s="92" t="s">
        <v>3566</v>
      </c>
      <c r="J23" s="542" t="s">
        <v>3567</v>
      </c>
      <c r="K23" s="561" t="s">
        <v>3740</v>
      </c>
      <c r="L23" s="562" t="s">
        <v>3741</v>
      </c>
      <c r="M23" s="563" t="s">
        <v>3561</v>
      </c>
      <c r="N23" s="564" t="s">
        <v>3742</v>
      </c>
      <c r="Q23" s="591" t="str">
        <f t="shared" si="0"/>
        <v>🟡 MODERATE-KRI</v>
      </c>
    </row>
    <row r="24" spans="1:17" ht="48" customHeight="1" x14ac:dyDescent="0.45">
      <c r="A24" s="494" t="s">
        <v>3743</v>
      </c>
      <c r="B24" s="550" t="s">
        <v>3341</v>
      </c>
      <c r="C24" s="45" t="s">
        <v>3744</v>
      </c>
      <c r="D24" s="541" t="s">
        <v>3745</v>
      </c>
      <c r="E24" s="555" t="s">
        <v>2915</v>
      </c>
      <c r="F24" s="434" t="s">
        <v>3738</v>
      </c>
      <c r="G24" s="495" t="s">
        <v>3746</v>
      </c>
      <c r="H24" s="22" t="s">
        <v>3747</v>
      </c>
      <c r="I24" s="92" t="s">
        <v>3748</v>
      </c>
      <c r="J24" s="542" t="s">
        <v>3749</v>
      </c>
      <c r="K24" s="495" t="s">
        <v>3750</v>
      </c>
      <c r="L24" s="441" t="s">
        <v>3751</v>
      </c>
      <c r="M24" s="46" t="s">
        <v>3752</v>
      </c>
      <c r="N24" s="556" t="s">
        <v>3753</v>
      </c>
      <c r="Q24" s="591" t="str">
        <f t="shared" si="0"/>
        <v>🟡 MODERATE-KRI</v>
      </c>
    </row>
    <row r="25" spans="1:17" ht="48" customHeight="1" x14ac:dyDescent="0.45">
      <c r="A25" s="557" t="s">
        <v>3754</v>
      </c>
      <c r="B25" s="51" t="s">
        <v>585</v>
      </c>
      <c r="C25" s="558" t="s">
        <v>3755</v>
      </c>
      <c r="D25" s="559" t="s">
        <v>1246</v>
      </c>
      <c r="E25" s="555" t="s">
        <v>2936</v>
      </c>
      <c r="F25" s="560" t="s">
        <v>3756</v>
      </c>
      <c r="G25" s="561" t="s">
        <v>3757</v>
      </c>
      <c r="H25" s="22" t="s">
        <v>3758</v>
      </c>
      <c r="I25" s="92" t="s">
        <v>3759</v>
      </c>
      <c r="J25" s="542" t="s">
        <v>3760</v>
      </c>
      <c r="K25" s="561" t="s">
        <v>3761</v>
      </c>
      <c r="L25" s="562" t="s">
        <v>3762</v>
      </c>
      <c r="M25" s="563" t="s">
        <v>3561</v>
      </c>
      <c r="N25" s="564" t="s">
        <v>3763</v>
      </c>
      <c r="Q25" s="591" t="str">
        <f t="shared" si="0"/>
        <v>🟡 MODERATE-KRI</v>
      </c>
    </row>
    <row r="26" spans="1:17" ht="48" customHeight="1" x14ac:dyDescent="0.45">
      <c r="A26" s="494" t="s">
        <v>3764</v>
      </c>
      <c r="B26" s="51" t="s">
        <v>585</v>
      </c>
      <c r="C26" s="45" t="s">
        <v>3765</v>
      </c>
      <c r="D26" s="541" t="s">
        <v>785</v>
      </c>
      <c r="E26" s="555" t="s">
        <v>2915</v>
      </c>
      <c r="F26" s="434" t="s">
        <v>3766</v>
      </c>
      <c r="G26" s="495" t="s">
        <v>3767</v>
      </c>
      <c r="H26" s="22" t="s">
        <v>3566</v>
      </c>
      <c r="I26" s="92" t="s">
        <v>3566</v>
      </c>
      <c r="J26" s="542" t="s">
        <v>3567</v>
      </c>
      <c r="K26" s="495" t="s">
        <v>3768</v>
      </c>
      <c r="L26" s="441" t="s">
        <v>3769</v>
      </c>
      <c r="M26" s="46" t="s">
        <v>3581</v>
      </c>
      <c r="N26" s="556" t="s">
        <v>3770</v>
      </c>
      <c r="Q26" s="591" t="str">
        <f t="shared" si="0"/>
        <v>🟡 MODERATE-KRI</v>
      </c>
    </row>
    <row r="27" spans="1:17" ht="48" customHeight="1" x14ac:dyDescent="0.45">
      <c r="A27" s="557" t="s">
        <v>3771</v>
      </c>
      <c r="B27" s="51" t="s">
        <v>585</v>
      </c>
      <c r="C27" s="558" t="s">
        <v>3772</v>
      </c>
      <c r="D27" s="559" t="s">
        <v>930</v>
      </c>
      <c r="E27" s="555" t="s">
        <v>2936</v>
      </c>
      <c r="F27" s="560" t="s">
        <v>3773</v>
      </c>
      <c r="G27" s="561" t="s">
        <v>3774</v>
      </c>
      <c r="H27" s="22" t="s">
        <v>3606</v>
      </c>
      <c r="I27" s="92" t="s">
        <v>3775</v>
      </c>
      <c r="J27" s="542" t="s">
        <v>3632</v>
      </c>
      <c r="K27" s="561" t="s">
        <v>3776</v>
      </c>
      <c r="L27" s="562" t="s">
        <v>3777</v>
      </c>
      <c r="M27" s="563" t="s">
        <v>3778</v>
      </c>
      <c r="N27" s="564" t="s">
        <v>3779</v>
      </c>
      <c r="Q27" s="591" t="str">
        <f t="shared" si="0"/>
        <v>🟡 MODERATE-KRI</v>
      </c>
    </row>
    <row r="28" spans="1:17" ht="48" customHeight="1" x14ac:dyDescent="0.45">
      <c r="A28" s="494" t="s">
        <v>3780</v>
      </c>
      <c r="B28" s="51" t="s">
        <v>585</v>
      </c>
      <c r="C28" s="45" t="s">
        <v>3781</v>
      </c>
      <c r="D28" s="541" t="s">
        <v>1020</v>
      </c>
      <c r="E28" s="555" t="s">
        <v>2936</v>
      </c>
      <c r="F28" s="434" t="s">
        <v>3782</v>
      </c>
      <c r="G28" s="495" t="s">
        <v>3783</v>
      </c>
      <c r="H28" s="22" t="s">
        <v>3566</v>
      </c>
      <c r="I28" s="92" t="s">
        <v>3566</v>
      </c>
      <c r="J28" s="542" t="s">
        <v>3567</v>
      </c>
      <c r="K28" s="495" t="s">
        <v>3784</v>
      </c>
      <c r="L28" s="441" t="s">
        <v>3785</v>
      </c>
      <c r="M28" s="46" t="s">
        <v>3561</v>
      </c>
      <c r="N28" s="556" t="s">
        <v>3786</v>
      </c>
      <c r="Q28" s="591" t="str">
        <f t="shared" si="0"/>
        <v>🟡 MODERATE-KRI</v>
      </c>
    </row>
    <row r="29" spans="1:17" ht="48" customHeight="1" x14ac:dyDescent="0.45">
      <c r="A29" s="557" t="s">
        <v>3787</v>
      </c>
      <c r="B29" s="51" t="s">
        <v>585</v>
      </c>
      <c r="C29" s="558" t="s">
        <v>3788</v>
      </c>
      <c r="D29" s="559" t="s">
        <v>3789</v>
      </c>
      <c r="E29" s="555" t="s">
        <v>2936</v>
      </c>
      <c r="F29" s="560" t="s">
        <v>3790</v>
      </c>
      <c r="G29" s="561" t="s">
        <v>3791</v>
      </c>
      <c r="H29" s="22" t="s">
        <v>3792</v>
      </c>
      <c r="I29" s="92" t="s">
        <v>3793</v>
      </c>
      <c r="J29" s="542" t="s">
        <v>3794</v>
      </c>
      <c r="K29" s="561" t="s">
        <v>3795</v>
      </c>
      <c r="L29" s="562" t="s">
        <v>3796</v>
      </c>
      <c r="M29" s="563" t="s">
        <v>3561</v>
      </c>
      <c r="N29" s="564" t="s">
        <v>3797</v>
      </c>
      <c r="Q29" s="591" t="str">
        <f t="shared" si="0"/>
        <v>🟡 MODERATE-KRI</v>
      </c>
    </row>
    <row r="30" spans="1:17" ht="48" customHeight="1" x14ac:dyDescent="0.45">
      <c r="A30" s="494" t="s">
        <v>3798</v>
      </c>
      <c r="B30" s="551" t="s">
        <v>1355</v>
      </c>
      <c r="C30" s="45" t="s">
        <v>3799</v>
      </c>
      <c r="D30" s="541" t="s">
        <v>3800</v>
      </c>
      <c r="E30" s="555" t="s">
        <v>3604</v>
      </c>
      <c r="F30" s="434" t="s">
        <v>3756</v>
      </c>
      <c r="G30" s="495" t="s">
        <v>3801</v>
      </c>
      <c r="H30" s="22" t="s">
        <v>3699</v>
      </c>
      <c r="I30" s="92" t="s">
        <v>3700</v>
      </c>
      <c r="J30" s="542" t="s">
        <v>3701</v>
      </c>
      <c r="K30" s="495" t="s">
        <v>3802</v>
      </c>
      <c r="L30" s="441" t="s">
        <v>3803</v>
      </c>
      <c r="M30" s="46" t="s">
        <v>3804</v>
      </c>
      <c r="N30" s="556" t="s">
        <v>3805</v>
      </c>
      <c r="Q30" s="591" t="str">
        <f t="shared" si="0"/>
        <v>🟡 MODERATE-KRI</v>
      </c>
    </row>
    <row r="31" spans="1:17" ht="48" customHeight="1" x14ac:dyDescent="0.45">
      <c r="A31" s="557" t="s">
        <v>3806</v>
      </c>
      <c r="B31" s="551" t="s">
        <v>1355</v>
      </c>
      <c r="C31" s="558" t="s">
        <v>3807</v>
      </c>
      <c r="D31" s="559" t="s">
        <v>3808</v>
      </c>
      <c r="E31" s="555" t="s">
        <v>2891</v>
      </c>
      <c r="F31" s="560" t="s">
        <v>3574</v>
      </c>
      <c r="G31" s="561" t="s">
        <v>3809</v>
      </c>
      <c r="H31" s="22" t="s">
        <v>3566</v>
      </c>
      <c r="I31" s="92" t="s">
        <v>3566</v>
      </c>
      <c r="J31" s="542" t="s">
        <v>3567</v>
      </c>
      <c r="K31" s="561" t="s">
        <v>3810</v>
      </c>
      <c r="L31" s="562" t="s">
        <v>3811</v>
      </c>
      <c r="M31" s="563" t="s">
        <v>3581</v>
      </c>
      <c r="N31" s="564" t="s">
        <v>3812</v>
      </c>
      <c r="Q31" s="591" t="str">
        <f t="shared" si="0"/>
        <v>🟡 MODERATE-KRI</v>
      </c>
    </row>
    <row r="32" spans="1:17" ht="48" customHeight="1" x14ac:dyDescent="0.45">
      <c r="A32" s="494" t="s">
        <v>3813</v>
      </c>
      <c r="B32" s="551" t="s">
        <v>1355</v>
      </c>
      <c r="C32" s="45" t="s">
        <v>3814</v>
      </c>
      <c r="D32" s="541" t="s">
        <v>3384</v>
      </c>
      <c r="E32" s="555" t="s">
        <v>2891</v>
      </c>
      <c r="F32" s="434" t="s">
        <v>3815</v>
      </c>
      <c r="G32" s="495" t="s">
        <v>3816</v>
      </c>
      <c r="H32" s="22" t="s">
        <v>3817</v>
      </c>
      <c r="I32" s="92" t="s">
        <v>3566</v>
      </c>
      <c r="J32" s="542" t="s">
        <v>3567</v>
      </c>
      <c r="K32" s="495" t="s">
        <v>3818</v>
      </c>
      <c r="L32" s="441" t="s">
        <v>3644</v>
      </c>
      <c r="M32" s="46" t="s">
        <v>3561</v>
      </c>
      <c r="N32" s="556" t="s">
        <v>3819</v>
      </c>
      <c r="Q32" s="591" t="str">
        <f t="shared" si="0"/>
        <v>🟠 HIGH-KRI</v>
      </c>
    </row>
    <row r="33" spans="1:17" ht="48" customHeight="1" x14ac:dyDescent="0.45">
      <c r="A33" s="557" t="s">
        <v>3820</v>
      </c>
      <c r="B33" s="553" t="s">
        <v>3450</v>
      </c>
      <c r="C33" s="558" t="s">
        <v>3821</v>
      </c>
      <c r="D33" s="559" t="s">
        <v>3092</v>
      </c>
      <c r="E33" s="555" t="s">
        <v>2915</v>
      </c>
      <c r="F33" s="560" t="s">
        <v>3738</v>
      </c>
      <c r="G33" s="561" t="s">
        <v>3822</v>
      </c>
      <c r="H33" s="22" t="s">
        <v>3823</v>
      </c>
      <c r="I33" s="92" t="s">
        <v>3824</v>
      </c>
      <c r="J33" s="542" t="s">
        <v>3825</v>
      </c>
      <c r="K33" s="561" t="s">
        <v>3826</v>
      </c>
      <c r="L33" s="562" t="s">
        <v>3827</v>
      </c>
      <c r="M33" s="563" t="s">
        <v>3828</v>
      </c>
      <c r="N33" s="564" t="s">
        <v>3829</v>
      </c>
      <c r="Q33" s="591" t="str">
        <f t="shared" si="0"/>
        <v>🟡 MODERATE-KRI</v>
      </c>
    </row>
    <row r="34" spans="1:17" ht="48" customHeight="1" x14ac:dyDescent="0.45">
      <c r="A34" s="494" t="s">
        <v>3830</v>
      </c>
      <c r="B34" s="553" t="s">
        <v>3450</v>
      </c>
      <c r="C34" s="45" t="s">
        <v>3831</v>
      </c>
      <c r="D34" s="541" t="s">
        <v>3832</v>
      </c>
      <c r="E34" s="555" t="s">
        <v>2915</v>
      </c>
      <c r="F34" s="434" t="s">
        <v>3833</v>
      </c>
      <c r="G34" s="495" t="s">
        <v>3834</v>
      </c>
      <c r="H34" s="22" t="s">
        <v>3835</v>
      </c>
      <c r="I34" s="92" t="s">
        <v>3836</v>
      </c>
      <c r="J34" s="542" t="s">
        <v>3837</v>
      </c>
      <c r="K34" s="495" t="s">
        <v>3838</v>
      </c>
      <c r="L34" s="441" t="s">
        <v>3839</v>
      </c>
      <c r="M34" s="46" t="s">
        <v>3840</v>
      </c>
      <c r="N34" s="556" t="s">
        <v>3841</v>
      </c>
      <c r="Q34" s="591" t="str">
        <f t="shared" si="0"/>
        <v>🟡 MODERATE-KRI</v>
      </c>
    </row>
    <row r="35" spans="1:17" ht="48" customHeight="1" x14ac:dyDescent="0.45">
      <c r="A35" s="557" t="s">
        <v>3842</v>
      </c>
      <c r="B35" s="552" t="s">
        <v>3409</v>
      </c>
      <c r="C35" s="558" t="s">
        <v>3843</v>
      </c>
      <c r="D35" s="559" t="s">
        <v>3290</v>
      </c>
      <c r="E35" s="555" t="s">
        <v>2915</v>
      </c>
      <c r="F35" s="560" t="s">
        <v>3844</v>
      </c>
      <c r="G35" s="561" t="s">
        <v>3845</v>
      </c>
      <c r="H35" s="22" t="s">
        <v>3846</v>
      </c>
      <c r="I35" s="92" t="s">
        <v>3847</v>
      </c>
      <c r="J35" s="542" t="s">
        <v>3848</v>
      </c>
      <c r="K35" s="561" t="s">
        <v>3849</v>
      </c>
      <c r="L35" s="562" t="s">
        <v>3850</v>
      </c>
      <c r="M35" s="563" t="s">
        <v>3581</v>
      </c>
      <c r="N35" s="564" t="s">
        <v>3851</v>
      </c>
      <c r="Q35" s="591" t="str">
        <f t="shared" si="0"/>
        <v>🟡 MODERATE-KRI</v>
      </c>
    </row>
    <row r="36" spans="1:17" ht="48" customHeight="1" x14ac:dyDescent="0.45">
      <c r="A36" s="494" t="s">
        <v>3852</v>
      </c>
      <c r="B36" s="552" t="s">
        <v>3409</v>
      </c>
      <c r="C36" s="45" t="s">
        <v>3853</v>
      </c>
      <c r="D36" s="541" t="s">
        <v>3854</v>
      </c>
      <c r="E36" s="555" t="s">
        <v>2915</v>
      </c>
      <c r="F36" s="434" t="s">
        <v>3855</v>
      </c>
      <c r="G36" s="495" t="s">
        <v>3856</v>
      </c>
      <c r="H36" s="22" t="s">
        <v>3857</v>
      </c>
      <c r="I36" s="92" t="s">
        <v>3858</v>
      </c>
      <c r="J36" s="542" t="s">
        <v>3617</v>
      </c>
      <c r="K36" s="495" t="s">
        <v>3859</v>
      </c>
      <c r="L36" s="441" t="s">
        <v>3860</v>
      </c>
      <c r="M36" s="46" t="s">
        <v>3561</v>
      </c>
      <c r="N36" s="556" t="s">
        <v>3861</v>
      </c>
      <c r="Q36" s="591" t="str">
        <f t="shared" si="0"/>
        <v>🟡 MODERATE-KRI</v>
      </c>
    </row>
    <row r="37" spans="1:17" ht="48" customHeight="1" x14ac:dyDescent="0.45">
      <c r="A37" s="557" t="s">
        <v>3862</v>
      </c>
      <c r="B37" s="552" t="s">
        <v>3409</v>
      </c>
      <c r="C37" s="558" t="s">
        <v>3863</v>
      </c>
      <c r="D37" s="559" t="s">
        <v>3093</v>
      </c>
      <c r="E37" s="555" t="s">
        <v>2891</v>
      </c>
      <c r="F37" s="560" t="s">
        <v>3574</v>
      </c>
      <c r="G37" s="561" t="s">
        <v>3864</v>
      </c>
      <c r="H37" s="22" t="s">
        <v>3566</v>
      </c>
      <c r="I37" s="92" t="s">
        <v>3616</v>
      </c>
      <c r="J37" s="542" t="s">
        <v>3617</v>
      </c>
      <c r="K37" s="561" t="s">
        <v>3865</v>
      </c>
      <c r="L37" s="562" t="s">
        <v>3666</v>
      </c>
      <c r="M37" s="563" t="s">
        <v>263</v>
      </c>
      <c r="N37" s="564" t="s">
        <v>3866</v>
      </c>
      <c r="Q37" s="591" t="str">
        <f t="shared" si="0"/>
        <v>🟡 MODERATE-KRI</v>
      </c>
    </row>
    <row r="38" spans="1:17" ht="48" customHeight="1" x14ac:dyDescent="0.45">
      <c r="A38" s="494" t="s">
        <v>3867</v>
      </c>
      <c r="B38" s="62" t="s">
        <v>3478</v>
      </c>
      <c r="C38" s="45" t="s">
        <v>3868</v>
      </c>
      <c r="D38" s="541" t="s">
        <v>3869</v>
      </c>
      <c r="E38" s="555" t="s">
        <v>2936</v>
      </c>
      <c r="F38" s="434" t="s">
        <v>3870</v>
      </c>
      <c r="G38" s="495" t="s">
        <v>3871</v>
      </c>
      <c r="H38" s="22" t="s">
        <v>3566</v>
      </c>
      <c r="I38" s="92" t="s">
        <v>3566</v>
      </c>
      <c r="J38" s="542" t="s">
        <v>3567</v>
      </c>
      <c r="K38" s="495" t="s">
        <v>3872</v>
      </c>
      <c r="L38" s="441" t="s">
        <v>3873</v>
      </c>
      <c r="M38" s="46" t="s">
        <v>3874</v>
      </c>
      <c r="N38" s="556" t="s">
        <v>3875</v>
      </c>
      <c r="Q38" s="591" t="str">
        <f t="shared" si="0"/>
        <v>🔴 CRITICAL-KRI</v>
      </c>
    </row>
    <row r="39" spans="1:17" ht="48" customHeight="1" x14ac:dyDescent="0.45">
      <c r="A39" s="557" t="s">
        <v>3876</v>
      </c>
      <c r="B39" s="62" t="s">
        <v>3478</v>
      </c>
      <c r="C39" s="558" t="s">
        <v>3877</v>
      </c>
      <c r="D39" s="559" t="s">
        <v>3878</v>
      </c>
      <c r="E39" s="555" t="s">
        <v>2936</v>
      </c>
      <c r="F39" s="560" t="s">
        <v>3855</v>
      </c>
      <c r="G39" s="561" t="s">
        <v>3879</v>
      </c>
      <c r="H39" s="22" t="s">
        <v>3880</v>
      </c>
      <c r="I39" s="92" t="s">
        <v>3881</v>
      </c>
      <c r="J39" s="542" t="s">
        <v>3608</v>
      </c>
      <c r="K39" s="561" t="s">
        <v>3882</v>
      </c>
      <c r="L39" s="562" t="s">
        <v>3883</v>
      </c>
      <c r="M39" s="563" t="s">
        <v>3884</v>
      </c>
      <c r="N39" s="564" t="s">
        <v>3885</v>
      </c>
      <c r="Q39" s="591" t="str">
        <f t="shared" si="0"/>
        <v>🟡 MODERATE-KRI</v>
      </c>
    </row>
    <row r="40" spans="1:17" ht="48" customHeight="1" x14ac:dyDescent="0.45">
      <c r="A40" s="494" t="s">
        <v>3886</v>
      </c>
      <c r="B40" s="554" t="s">
        <v>3506</v>
      </c>
      <c r="C40" s="45" t="s">
        <v>3887</v>
      </c>
      <c r="D40" s="541" t="s">
        <v>3888</v>
      </c>
      <c r="E40" s="555" t="s">
        <v>2915</v>
      </c>
      <c r="F40" s="434" t="s">
        <v>3889</v>
      </c>
      <c r="G40" s="495" t="s">
        <v>3890</v>
      </c>
      <c r="H40" s="22" t="s">
        <v>3747</v>
      </c>
      <c r="I40" s="92" t="s">
        <v>3748</v>
      </c>
      <c r="J40" s="542" t="s">
        <v>3749</v>
      </c>
      <c r="K40" s="495" t="s">
        <v>3891</v>
      </c>
      <c r="L40" s="441" t="s">
        <v>3892</v>
      </c>
      <c r="M40" s="46" t="s">
        <v>3893</v>
      </c>
      <c r="N40" s="556" t="s">
        <v>3894</v>
      </c>
      <c r="Q40" s="591" t="str">
        <f t="shared" si="0"/>
        <v>🟡 MODERATE-KRI</v>
      </c>
    </row>
    <row r="41" spans="1:17" ht="48" customHeight="1" x14ac:dyDescent="0.45">
      <c r="A41" s="557" t="s">
        <v>3895</v>
      </c>
      <c r="B41" s="554" t="s">
        <v>3506</v>
      </c>
      <c r="C41" s="558" t="s">
        <v>3896</v>
      </c>
      <c r="D41" s="559" t="s">
        <v>3897</v>
      </c>
      <c r="E41" s="555" t="s">
        <v>2915</v>
      </c>
      <c r="F41" s="560" t="s">
        <v>3898</v>
      </c>
      <c r="G41" s="561" t="s">
        <v>3899</v>
      </c>
      <c r="H41" s="22" t="s">
        <v>3566</v>
      </c>
      <c r="I41" s="92" t="s">
        <v>3566</v>
      </c>
      <c r="J41" s="542" t="s">
        <v>3567</v>
      </c>
      <c r="K41" s="561" t="s">
        <v>3900</v>
      </c>
      <c r="L41" s="562" t="s">
        <v>3901</v>
      </c>
      <c r="M41" s="563" t="s">
        <v>3561</v>
      </c>
      <c r="N41" s="564" t="s">
        <v>3902</v>
      </c>
      <c r="Q41" s="591" t="str">
        <f t="shared" si="0"/>
        <v>🟡 MODERATE-KRI</v>
      </c>
    </row>
    <row r="42" spans="1:17" ht="48" customHeight="1" x14ac:dyDescent="0.45">
      <c r="A42" s="494" t="s">
        <v>3903</v>
      </c>
      <c r="B42" s="486" t="s">
        <v>3525</v>
      </c>
      <c r="C42" s="45" t="s">
        <v>3904</v>
      </c>
      <c r="D42" s="541" t="s">
        <v>3905</v>
      </c>
      <c r="E42" s="555" t="s">
        <v>2915</v>
      </c>
      <c r="F42" s="434" t="s">
        <v>3727</v>
      </c>
      <c r="G42" s="495" t="s">
        <v>3906</v>
      </c>
      <c r="H42" s="22" t="s">
        <v>3907</v>
      </c>
      <c r="I42" s="92" t="s">
        <v>3908</v>
      </c>
      <c r="J42" s="542" t="s">
        <v>3909</v>
      </c>
      <c r="K42" s="495" t="s">
        <v>3910</v>
      </c>
      <c r="L42" s="441" t="s">
        <v>3911</v>
      </c>
      <c r="M42" s="46" t="s">
        <v>3561</v>
      </c>
      <c r="N42" s="556" t="s">
        <v>3912</v>
      </c>
      <c r="Q42" s="591" t="str">
        <f t="shared" si="0"/>
        <v>🔴 CRITICAL-KRI</v>
      </c>
    </row>
    <row r="43" spans="1:17" x14ac:dyDescent="0.45">
      <c r="Q43" s="591" t="str">
        <f t="shared" si="0"/>
        <v>🟡 MODERATE-KRI</v>
      </c>
    </row>
  </sheetData>
  <conditionalFormatting sqref="H2:H50">
    <cfRule type="containsText" dxfId="2" priority="1" operator="containsText" text="≥">
      <formula>NOT(ISERROR(SEARCH("≥",H2)))</formula>
    </cfRule>
  </conditionalFormatting>
  <conditionalFormatting sqref="I2:I50">
    <cfRule type="containsText" dxfId="1" priority="2" operator="containsText" text="-">
      <formula>NOT(ISERROR(SEARCH("-",I2)))</formula>
    </cfRule>
  </conditionalFormatting>
  <conditionalFormatting sqref="J2:J50">
    <cfRule type="containsText" dxfId="0" priority="3" operator="containsText" text="&lt;">
      <formula>NOT(ISERROR(SEARCH("&lt;",J2)))</formula>
    </cfRule>
  </conditionalFormatting>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A5500"/>
  </sheetPr>
  <dimension ref="A1:I10"/>
  <sheetViews>
    <sheetView zoomScaleNormal="100" workbookViewId="0">
      <pane ySplit="1" topLeftCell="A2" activePane="bottomLeft" state="frozen"/>
      <selection pane="bottomLeft"/>
    </sheetView>
  </sheetViews>
  <sheetFormatPr defaultColWidth="8.6640625" defaultRowHeight="14.25" x14ac:dyDescent="0.45"/>
  <cols>
    <col min="1" max="1" width="26" customWidth="1"/>
    <col min="2" max="6" width="36" customWidth="1"/>
    <col min="7" max="7" width="18" customWidth="1"/>
    <col min="8" max="8" width="14" customWidth="1"/>
    <col min="9" max="9" width="40" customWidth="1"/>
  </cols>
  <sheetData>
    <row r="1" spans="1:9" ht="23.25" x14ac:dyDescent="0.45">
      <c r="A1" s="10" t="s">
        <v>3913</v>
      </c>
      <c r="B1" s="10" t="s">
        <v>3914</v>
      </c>
      <c r="C1" s="10" t="s">
        <v>3915</v>
      </c>
      <c r="D1" s="10" t="s">
        <v>3916</v>
      </c>
      <c r="E1" s="10" t="s">
        <v>3917</v>
      </c>
      <c r="F1" s="10" t="s">
        <v>3918</v>
      </c>
      <c r="G1" s="10" t="s">
        <v>3919</v>
      </c>
      <c r="H1" s="10" t="s">
        <v>3920</v>
      </c>
      <c r="I1" s="10" t="s">
        <v>3921</v>
      </c>
    </row>
    <row r="2" spans="1:9" ht="79.5" customHeight="1" x14ac:dyDescent="0.45">
      <c r="A2" s="115" t="s">
        <v>3922</v>
      </c>
      <c r="B2" s="565" t="s">
        <v>3923</v>
      </c>
      <c r="C2" s="566" t="s">
        <v>3924</v>
      </c>
      <c r="D2" s="65" t="s">
        <v>3925</v>
      </c>
      <c r="E2" s="567" t="s">
        <v>3926</v>
      </c>
      <c r="F2" s="568" t="s">
        <v>3927</v>
      </c>
      <c r="G2" s="569" t="s">
        <v>3928</v>
      </c>
      <c r="H2" s="41" t="s">
        <v>3929</v>
      </c>
      <c r="I2" s="556" t="s">
        <v>3930</v>
      </c>
    </row>
    <row r="3" spans="1:9" ht="79.5" customHeight="1" x14ac:dyDescent="0.45">
      <c r="A3" s="570" t="s">
        <v>3931</v>
      </c>
      <c r="B3" s="565" t="s">
        <v>3932</v>
      </c>
      <c r="C3" s="566" t="s">
        <v>3933</v>
      </c>
      <c r="D3" s="65" t="s">
        <v>3934</v>
      </c>
      <c r="E3" s="567" t="s">
        <v>3935</v>
      </c>
      <c r="F3" s="568" t="s">
        <v>3936</v>
      </c>
      <c r="G3" s="569" t="s">
        <v>3937</v>
      </c>
      <c r="H3" s="41" t="s">
        <v>3938</v>
      </c>
      <c r="I3" s="571" t="s">
        <v>3939</v>
      </c>
    </row>
    <row r="4" spans="1:9" ht="79.5" customHeight="1" x14ac:dyDescent="0.45">
      <c r="A4" s="115" t="s">
        <v>3940</v>
      </c>
      <c r="B4" s="565" t="s">
        <v>3941</v>
      </c>
      <c r="C4" s="566" t="s">
        <v>3942</v>
      </c>
      <c r="D4" s="65" t="s">
        <v>3943</v>
      </c>
      <c r="E4" s="567" t="s">
        <v>3944</v>
      </c>
      <c r="F4" s="568" t="s">
        <v>3945</v>
      </c>
      <c r="G4" s="569" t="s">
        <v>3946</v>
      </c>
      <c r="H4" s="41" t="s">
        <v>3947</v>
      </c>
      <c r="I4" s="556" t="s">
        <v>3948</v>
      </c>
    </row>
    <row r="5" spans="1:9" ht="79.5" customHeight="1" x14ac:dyDescent="0.45">
      <c r="A5" s="570" t="s">
        <v>3949</v>
      </c>
      <c r="B5" s="565" t="s">
        <v>3950</v>
      </c>
      <c r="C5" s="566" t="s">
        <v>3951</v>
      </c>
      <c r="D5" s="65" t="s">
        <v>3952</v>
      </c>
      <c r="E5" s="567" t="s">
        <v>3953</v>
      </c>
      <c r="F5" s="568" t="s">
        <v>3954</v>
      </c>
      <c r="G5" s="92" t="s">
        <v>3955</v>
      </c>
      <c r="H5" s="41" t="s">
        <v>3929</v>
      </c>
      <c r="I5" s="571" t="s">
        <v>3956</v>
      </c>
    </row>
    <row r="6" spans="1:9" ht="79.5" customHeight="1" x14ac:dyDescent="0.45">
      <c r="A6" s="115" t="s">
        <v>3957</v>
      </c>
      <c r="B6" s="565" t="s">
        <v>3958</v>
      </c>
      <c r="C6" s="566" t="s">
        <v>3959</v>
      </c>
      <c r="D6" s="65" t="s">
        <v>3960</v>
      </c>
      <c r="E6" s="567" t="s">
        <v>3961</v>
      </c>
      <c r="F6" s="568" t="s">
        <v>3962</v>
      </c>
      <c r="G6" s="569" t="s">
        <v>3963</v>
      </c>
      <c r="H6" s="41" t="s">
        <v>3929</v>
      </c>
      <c r="I6" s="556" t="s">
        <v>3964</v>
      </c>
    </row>
    <row r="7" spans="1:9" ht="79.5" customHeight="1" x14ac:dyDescent="0.45">
      <c r="A7" s="570" t="s">
        <v>3965</v>
      </c>
      <c r="B7" s="565" t="s">
        <v>3966</v>
      </c>
      <c r="C7" s="566" t="s">
        <v>3967</v>
      </c>
      <c r="D7" s="65" t="s">
        <v>3968</v>
      </c>
      <c r="E7" s="567" t="s">
        <v>3969</v>
      </c>
      <c r="F7" s="568" t="s">
        <v>3970</v>
      </c>
      <c r="G7" s="569" t="s">
        <v>3971</v>
      </c>
      <c r="H7" s="41" t="s">
        <v>3929</v>
      </c>
      <c r="I7" s="571" t="s">
        <v>3972</v>
      </c>
    </row>
    <row r="8" spans="1:9" ht="79.5" customHeight="1" x14ac:dyDescent="0.45">
      <c r="A8" s="115" t="s">
        <v>3973</v>
      </c>
      <c r="B8" s="565" t="s">
        <v>3974</v>
      </c>
      <c r="C8" s="566" t="s">
        <v>3975</v>
      </c>
      <c r="D8" s="65" t="s">
        <v>3976</v>
      </c>
      <c r="E8" s="567" t="s">
        <v>3977</v>
      </c>
      <c r="F8" s="568" t="s">
        <v>3978</v>
      </c>
      <c r="G8" s="569" t="s">
        <v>3979</v>
      </c>
      <c r="H8" s="41" t="s">
        <v>3980</v>
      </c>
      <c r="I8" s="556" t="s">
        <v>3981</v>
      </c>
    </row>
    <row r="9" spans="1:9" ht="79.5" customHeight="1" x14ac:dyDescent="0.45">
      <c r="A9" s="570" t="s">
        <v>3982</v>
      </c>
      <c r="B9" s="565" t="s">
        <v>3983</v>
      </c>
      <c r="C9" s="566" t="s">
        <v>3984</v>
      </c>
      <c r="D9" s="65" t="s">
        <v>3985</v>
      </c>
      <c r="E9" s="567" t="s">
        <v>3986</v>
      </c>
      <c r="F9" s="568" t="s">
        <v>3987</v>
      </c>
      <c r="G9" s="569" t="s">
        <v>3963</v>
      </c>
      <c r="H9" s="41" t="s">
        <v>3929</v>
      </c>
      <c r="I9" s="571" t="s">
        <v>3988</v>
      </c>
    </row>
    <row r="10" spans="1:9" ht="79.5" customHeight="1" x14ac:dyDescent="0.45">
      <c r="A10" s="115" t="s">
        <v>3989</v>
      </c>
      <c r="B10" s="565" t="s">
        <v>3990</v>
      </c>
      <c r="C10" s="566" t="s">
        <v>3991</v>
      </c>
      <c r="D10" s="65" t="s">
        <v>3992</v>
      </c>
      <c r="E10" s="567" t="s">
        <v>3993</v>
      </c>
      <c r="F10" s="568" t="s">
        <v>3994</v>
      </c>
      <c r="G10" s="92" t="s">
        <v>3995</v>
      </c>
      <c r="H10" s="41" t="s">
        <v>3996</v>
      </c>
      <c r="I10" s="556" t="s">
        <v>3997</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1891-2FF9-4DC0-9300-B251F2FC468B}">
  <dimension ref="A1:I211"/>
  <sheetViews>
    <sheetView workbookViewId="0">
      <pane ySplit="5" topLeftCell="A6" activePane="bottomLeft" state="frozen"/>
      <selection pane="bottomLeft" activeCell="A12" sqref="A12"/>
    </sheetView>
  </sheetViews>
  <sheetFormatPr defaultColWidth="21.59765625" defaultRowHeight="14.25" x14ac:dyDescent="0.45"/>
  <cols>
    <col min="1" max="1" width="98.3984375" bestFit="1" customWidth="1"/>
    <col min="2" max="2" width="29.59765625" bestFit="1" customWidth="1"/>
    <col min="3" max="3" width="77.46484375" bestFit="1" customWidth="1"/>
    <col min="4" max="4" width="74.265625" bestFit="1" customWidth="1"/>
    <col min="5" max="5" width="16" bestFit="1" customWidth="1"/>
    <col min="6" max="6" width="15.73046875" bestFit="1" customWidth="1"/>
    <col min="7" max="7" width="16.06640625" bestFit="1" customWidth="1"/>
    <col min="8" max="8" width="15.9296875" bestFit="1" customWidth="1"/>
    <col min="9" max="9" width="18.3984375" bestFit="1" customWidth="1"/>
  </cols>
  <sheetData>
    <row r="1" spans="1:9" ht="23.25" x14ac:dyDescent="0.7">
      <c r="A1" s="612" t="s">
        <v>3998</v>
      </c>
      <c r="B1" s="612"/>
      <c r="C1" s="612"/>
      <c r="D1" s="612"/>
      <c r="E1" s="612"/>
      <c r="F1" s="612"/>
      <c r="G1" s="612"/>
      <c r="H1" s="612"/>
      <c r="I1" s="612"/>
    </row>
    <row r="2" spans="1:9" x14ac:dyDescent="0.45">
      <c r="A2" s="613" t="s">
        <v>3999</v>
      </c>
      <c r="B2" s="613"/>
      <c r="C2" s="613"/>
      <c r="D2" s="613"/>
      <c r="E2" s="613"/>
      <c r="F2" s="613"/>
      <c r="G2" s="613"/>
      <c r="H2" s="613"/>
      <c r="I2" s="613"/>
    </row>
    <row r="4" spans="1:9" ht="15.75" x14ac:dyDescent="0.5">
      <c r="A4" s="614" t="s">
        <v>4000</v>
      </c>
      <c r="B4" s="614"/>
      <c r="C4" s="614"/>
      <c r="D4" s="614"/>
      <c r="E4" s="614"/>
      <c r="F4" s="614"/>
      <c r="G4" s="614"/>
      <c r="H4" s="614"/>
      <c r="I4" s="614"/>
    </row>
    <row r="5" spans="1:9" x14ac:dyDescent="0.45">
      <c r="A5" s="574" t="s">
        <v>4001</v>
      </c>
      <c r="B5" s="575" t="s">
        <v>4002</v>
      </c>
      <c r="C5" s="574" t="s">
        <v>4003</v>
      </c>
    </row>
    <row r="6" spans="1:9" ht="18" x14ac:dyDescent="0.55000000000000004">
      <c r="A6" t="s">
        <v>4004</v>
      </c>
      <c r="B6" s="577">
        <f>COUNTA('All 108 Regulators - Frameworks'!E4:E500)-COUNTBLANK('All 108 Regulators - Frameworks'!E4:E500)</f>
        <v>405</v>
      </c>
      <c r="C6" s="579" t="s">
        <v>4005</v>
      </c>
    </row>
    <row r="7" spans="1:9" ht="18" x14ac:dyDescent="0.55000000000000004">
      <c r="A7" t="s">
        <v>4006</v>
      </c>
      <c r="B7" s="577">
        <f>COUNTA('Per-Regulator Summary'!A2:A200)</f>
        <v>107</v>
      </c>
      <c r="C7" s="579" t="s">
        <v>4007</v>
      </c>
    </row>
    <row r="8" spans="1:9" ht="18" x14ac:dyDescent="0.55000000000000004">
      <c r="A8" t="s">
        <v>4008</v>
      </c>
      <c r="B8" s="580" cm="1">
        <f t="array" ref="B8">SUMPRODUCT((ISNUMBER(VALUE('All 108 Regulators - Frameworks'!J4:J500)))*VALUE(IF(ISNUMBER(VALUE('All 108 Regulators - Frameworks'!J4:J500)),'All 108 Regulators - Frameworks'!J4:J500,"0")))</f>
        <v>28239</v>
      </c>
      <c r="C8" s="579" t="s">
        <v>4009</v>
      </c>
    </row>
    <row r="9" spans="1:9" ht="18" x14ac:dyDescent="0.55000000000000004">
      <c r="A9" t="s">
        <v>4010</v>
      </c>
      <c r="B9" s="582">
        <f>COUNTIF('All 108 Regulators - Frameworks'!N4:N500,"HIGHEST")</f>
        <v>139</v>
      </c>
      <c r="C9" s="579" t="s">
        <v>4011</v>
      </c>
    </row>
    <row r="10" spans="1:9" ht="18" x14ac:dyDescent="0.55000000000000004">
      <c r="A10" t="s">
        <v>4012</v>
      </c>
      <c r="B10" s="585">
        <f>COUNTIF('All 108 Regulators - Frameworks'!N4:N500,"HIGH")</f>
        <v>78</v>
      </c>
      <c r="C10" s="579" t="s">
        <v>4013</v>
      </c>
    </row>
    <row r="11" spans="1:9" ht="18" x14ac:dyDescent="0.55000000000000004">
      <c r="A11" t="s">
        <v>4014</v>
      </c>
      <c r="B11" s="586">
        <f>COUNTIF('All 108 Regulators - Frameworks'!N4:N500,"MODERATE")</f>
        <v>120</v>
      </c>
      <c r="C11" s="579" t="s">
        <v>4015</v>
      </c>
    </row>
    <row r="12" spans="1:9" ht="18" x14ac:dyDescent="0.55000000000000004">
      <c r="A12" t="s">
        <v>4016</v>
      </c>
      <c r="B12" s="588">
        <f>COUNTIF('All 108 Regulators - Frameworks'!N4:N500,"LOW")</f>
        <v>114</v>
      </c>
      <c r="C12" s="579" t="s">
        <v>4017</v>
      </c>
    </row>
    <row r="13" spans="1:9" ht="18" x14ac:dyDescent="0.55000000000000004">
      <c r="A13" t="s">
        <v>4018</v>
      </c>
      <c r="B13" s="577">
        <f>COUNTIF('All 108 Regulators - Frameworks'!L4:L500,"Mandatory Enforcer")</f>
        <v>172</v>
      </c>
      <c r="C13" s="579" t="s">
        <v>4019</v>
      </c>
    </row>
    <row r="14" spans="1:9" ht="18" x14ac:dyDescent="0.55000000000000004">
      <c r="A14" t="s">
        <v>4020</v>
      </c>
      <c r="B14" s="577">
        <f>COUNTIF('All 108 Regulators - Frameworks'!BA4:BA500,"YES*")</f>
        <v>184</v>
      </c>
      <c r="C14" s="579" t="s">
        <v>4021</v>
      </c>
    </row>
    <row r="15" spans="1:9" ht="18" x14ac:dyDescent="0.55000000000000004">
      <c r="A15" t="s">
        <v>4022</v>
      </c>
      <c r="B15" s="577">
        <f>COUNTIF('All 108 Regulators - Frameworks'!BA4:BA500,"Sector*")</f>
        <v>267</v>
      </c>
      <c r="C15" s="579" t="s">
        <v>4023</v>
      </c>
    </row>
    <row r="16" spans="1:9" ht="18" x14ac:dyDescent="0.55000000000000004">
      <c r="A16" t="s">
        <v>4024</v>
      </c>
      <c r="B16" s="589">
        <f>IFERROR(B8/COUNTIF('All 108 Regulators - Frameworks'!J4:J500,"&lt;&gt;N/A")-COUNTBLANK('All 108 Regulators - Frameworks'!J4:J500),"-")</f>
        <v>28.509234828496048</v>
      </c>
      <c r="C16" s="579" t="s">
        <v>4025</v>
      </c>
    </row>
    <row r="17" spans="1:9" ht="18" x14ac:dyDescent="0.55000000000000004">
      <c r="A17" t="s">
        <v>4026</v>
      </c>
      <c r="B17" s="577">
        <f>17</f>
        <v>17</v>
      </c>
      <c r="C17" s="579" t="s">
        <v>4027</v>
      </c>
    </row>
    <row r="19" spans="1:9" ht="15.75" x14ac:dyDescent="0.5">
      <c r="A19" s="614" t="s">
        <v>4028</v>
      </c>
      <c r="B19" s="614"/>
      <c r="C19" s="614"/>
      <c r="D19" s="614"/>
      <c r="E19" s="614"/>
      <c r="F19" s="614"/>
      <c r="G19" s="614"/>
      <c r="H19" s="614"/>
      <c r="I19" s="614"/>
    </row>
    <row r="20" spans="1:9" x14ac:dyDescent="0.45">
      <c r="A20" s="574" t="s">
        <v>1</v>
      </c>
      <c r="B20" s="574" t="s">
        <v>2</v>
      </c>
      <c r="C20" s="590" t="s">
        <v>3</v>
      </c>
      <c r="D20" s="575" t="s">
        <v>4029</v>
      </c>
      <c r="E20" s="575" t="s">
        <v>2368</v>
      </c>
      <c r="F20" s="575" t="s">
        <v>2369</v>
      </c>
      <c r="G20" s="575" t="s">
        <v>4030</v>
      </c>
      <c r="H20" s="575" t="s">
        <v>4031</v>
      </c>
      <c r="I20" s="575" t="s">
        <v>4032</v>
      </c>
    </row>
    <row r="21" spans="1:9" x14ac:dyDescent="0.45">
      <c r="A21" t="str">
        <f>'Per-Regulator Summary'!A2</f>
        <v>NCA</v>
      </c>
      <c r="B21" t="str">
        <f>'Per-Regulator Summary'!B2</f>
        <v>National Cybersecurity Authority</v>
      </c>
      <c r="C21" t="str">
        <f>'Per-Regulator Summary'!C2</f>
        <v>3. Cybersecurity &amp; Data</v>
      </c>
      <c r="D21" s="591">
        <f>'Per-Regulator Summary'!D2</f>
        <v>13</v>
      </c>
      <c r="E21" s="591">
        <f>'Per-Regulator Summary'!E2</f>
        <v>0</v>
      </c>
      <c r="F21" s="591">
        <f>'Per-Regulator Summary'!F2</f>
        <v>13</v>
      </c>
      <c r="G21" s="591">
        <f>'Per-Regulator Summary'!G2</f>
        <v>3</v>
      </c>
      <c r="H21" s="594">
        <f>(D21*3)+(G21*5)+(F21*1)</f>
        <v>67</v>
      </c>
      <c r="I21" s="591" t="str">
        <f>IF(H21&gt;=50,"🔴 TIER 1 — CRITICAL",IF(H21&gt;=25,"🟠 TIER 2 — HIGH",IF(H21&gt;=10,"🟡 TIER 3 — MODERATE","🟢 TIER 4 — LOW")))</f>
        <v>🔴 TIER 1 — CRITICAL</v>
      </c>
    </row>
    <row r="22" spans="1:9" ht="15.75" x14ac:dyDescent="0.5">
      <c r="A22" s="572" t="s">
        <v>4028</v>
      </c>
    </row>
    <row r="23" spans="1:9" x14ac:dyDescent="0.45">
      <c r="A23" s="574" t="s">
        <v>1</v>
      </c>
      <c r="B23" s="574" t="s">
        <v>2</v>
      </c>
      <c r="C23" s="590" t="s">
        <v>3</v>
      </c>
      <c r="D23" s="575" t="s">
        <v>4029</v>
      </c>
      <c r="E23" s="575" t="s">
        <v>2368</v>
      </c>
      <c r="F23" s="575" t="s">
        <v>2369</v>
      </c>
      <c r="G23" s="575" t="s">
        <v>4030</v>
      </c>
      <c r="H23" s="575" t="s">
        <v>4031</v>
      </c>
      <c r="I23" s="575" t="s">
        <v>4032</v>
      </c>
    </row>
    <row r="24" spans="1:9" x14ac:dyDescent="0.45">
      <c r="A24" t="str">
        <f>'Per-Regulator Summary'!A5</f>
        <v>SFDA</v>
      </c>
      <c r="B24" t="str">
        <f>'Per-Regulator Summary'!B5</f>
        <v>Saudi Food &amp; Drug Authority</v>
      </c>
      <c r="C24" t="str">
        <f>'Per-Regulator Summary'!C5</f>
        <v>2. Healthcare &amp; Life Sciences</v>
      </c>
      <c r="D24" s="591">
        <f>'Per-Regulator Summary'!D5</f>
        <v>9</v>
      </c>
      <c r="E24" s="591">
        <f>'Per-Regulator Summary'!E5</f>
        <v>2</v>
      </c>
      <c r="F24" s="591">
        <f>'Per-Regulator Summary'!F5</f>
        <v>11</v>
      </c>
      <c r="G24" s="591">
        <f>'Per-Regulator Summary'!G5</f>
        <v>5</v>
      </c>
      <c r="H24" s="594">
        <f>(D24*3)+(G24*5)+(F24*1)</f>
        <v>63</v>
      </c>
      <c r="I24" s="591" t="str">
        <f>IF(H24&gt;=50,"🔴 TIER 1 — CRITICAL",IF(H24&gt;=25,"🟠 TIER 2 — HIGH",IF(H24&gt;=10,"🟡 TIER 3 — MODERATE","🟢 TIER 4 — LOW")))</f>
        <v>🔴 TIER 1 — CRITICAL</v>
      </c>
    </row>
    <row r="130" spans="1:8" ht="15.75" x14ac:dyDescent="0.5">
      <c r="A130" s="614" t="s">
        <v>4033</v>
      </c>
      <c r="B130" s="614"/>
      <c r="C130" s="614"/>
      <c r="D130" s="614"/>
      <c r="E130" s="614"/>
      <c r="F130" s="614"/>
      <c r="G130" s="614"/>
    </row>
    <row r="131" spans="1:8" x14ac:dyDescent="0.45">
      <c r="A131" s="595" t="s">
        <v>4034</v>
      </c>
      <c r="B131" s="596" t="s">
        <v>66</v>
      </c>
      <c r="C131" s="597" t="s">
        <v>154</v>
      </c>
      <c r="D131" s="598" t="s">
        <v>253</v>
      </c>
      <c r="E131" s="599" t="s">
        <v>275</v>
      </c>
      <c r="F131" s="600" t="s">
        <v>4035</v>
      </c>
      <c r="G131" s="600" t="s">
        <v>4036</v>
      </c>
    </row>
    <row r="132" spans="1:8" x14ac:dyDescent="0.45">
      <c r="A132" t="s">
        <v>1562</v>
      </c>
      <c r="B132" s="591">
        <f>COUNTIFS('All 108 Regulators - Frameworks'!D$4:D$500,A132,'All 108 Regulators - Frameworks'!N$4:N$500,"HIGHEST")</f>
        <v>0</v>
      </c>
      <c r="C132" s="591">
        <f>COUNTIFS('All 108 Regulators - Frameworks'!D$4:D$500,A132,'All 108 Regulators - Frameworks'!N$4:N$500,"HIGH")</f>
        <v>2</v>
      </c>
      <c r="D132" s="591">
        <f>COUNTIFS('All 108 Regulators - Frameworks'!D$4:D$500,A132,'All 108 Regulators - Frameworks'!N$4:N$500,"MODERATE")</f>
        <v>29</v>
      </c>
      <c r="E132" s="591">
        <f>COUNTIFS('All 108 Regulators - Frameworks'!D$4:D$500,A132,'All 108 Regulators - Frameworks'!N$4:N$500,"LOW")</f>
        <v>42</v>
      </c>
      <c r="F132" s="593">
        <f>SUM(B132:E132)</f>
        <v>73</v>
      </c>
      <c r="G132" s="602">
        <f>IFERROR((B132+C132)/F132,0)</f>
        <v>2.7397260273972601E-2</v>
      </c>
    </row>
    <row r="133" spans="1:8" x14ac:dyDescent="0.45">
      <c r="A133" t="s">
        <v>571</v>
      </c>
      <c r="B133" t="s">
        <v>1562</v>
      </c>
      <c r="C133" s="591">
        <f>COUNTIFS('All 108 Regulators - Frameworks'!E$4:E$500,B133,'All 108 Regulators - Frameworks'!O$4:O$500,"HIGHEST")</f>
        <v>0</v>
      </c>
      <c r="D133" s="591">
        <f>COUNTIFS('All 108 Regulators - Frameworks'!E$4:E$500,B133,'All 108 Regulators - Frameworks'!O$4:O$500,"HIGH")</f>
        <v>0</v>
      </c>
      <c r="E133" s="591">
        <f>COUNTIFS('All 108 Regulators - Frameworks'!E$4:E$500,B133,'All 108 Regulators - Frameworks'!O$4:O$500,"MODERATE")</f>
        <v>0</v>
      </c>
      <c r="F133" s="591">
        <f>COUNTIFS('All 108 Regulators - Frameworks'!E$4:E$500,B133,'All 108 Regulators - Frameworks'!O$4:O$500,"LOW")</f>
        <v>0</v>
      </c>
      <c r="G133" s="593">
        <f>SUM(C133:F133)</f>
        <v>0</v>
      </c>
      <c r="H133" s="602">
        <f>IFERROR((C133+D133)/G133,0)</f>
        <v>0</v>
      </c>
    </row>
    <row r="134" spans="1:8" ht="15.75" x14ac:dyDescent="0.5">
      <c r="A134" t="s">
        <v>56</v>
      </c>
      <c r="B134" t="s">
        <v>571</v>
      </c>
      <c r="C134" s="572" t="s">
        <v>4033</v>
      </c>
    </row>
    <row r="135" spans="1:8" x14ac:dyDescent="0.45">
      <c r="A135" t="s">
        <v>1342</v>
      </c>
      <c r="B135" t="s">
        <v>56</v>
      </c>
      <c r="C135" s="595" t="s">
        <v>4034</v>
      </c>
      <c r="D135" s="596" t="s">
        <v>66</v>
      </c>
      <c r="E135" s="597" t="s">
        <v>154</v>
      </c>
      <c r="F135" s="598" t="s">
        <v>253</v>
      </c>
      <c r="G135" s="599" t="s">
        <v>275</v>
      </c>
      <c r="H135" s="600" t="s">
        <v>4035</v>
      </c>
    </row>
    <row r="136" spans="1:8" x14ac:dyDescent="0.45">
      <c r="A136" t="s">
        <v>1288</v>
      </c>
      <c r="B136" t="s">
        <v>1342</v>
      </c>
      <c r="C136" t="s">
        <v>1562</v>
      </c>
      <c r="D136" s="591">
        <f>COUNTIFS('All 108 Regulators - Frameworks'!F$4:F$500,"*"&amp;LEFT(C136,2)&amp;"*",'All 108 Regulators - Frameworks'!P$4:P$500,"HIGHEST")</f>
        <v>0</v>
      </c>
      <c r="E136" s="591">
        <f>COUNTIFS('All 108 Regulators - Frameworks'!F$4:F$500,"*"&amp;LEFT(C136,2)&amp;"*",'All 108 Regulators - Frameworks'!P$4:P$500,"HIGH")</f>
        <v>0</v>
      </c>
      <c r="F136" s="591">
        <f>COUNTIFS('All 108 Regulators - Frameworks'!F$4:F$500,"*"&amp;LEFT(C136,2)&amp;"*",'All 108 Regulators - Frameworks'!P$4:P$500,"MODERATE")</f>
        <v>0</v>
      </c>
      <c r="G136" s="591">
        <f>COUNTIFS('All 108 Regulators - Frameworks'!F$4:F$500,"*"&amp;LEFT(C136,2)&amp;"*",'All 108 Regulators - Frameworks'!P$4:P$500,"LOW")</f>
        <v>0</v>
      </c>
      <c r="H136" s="593">
        <f>SUM(D136:G136)</f>
        <v>0</v>
      </c>
    </row>
    <row r="137" spans="1:8" x14ac:dyDescent="0.45">
      <c r="A137" t="s">
        <v>1467</v>
      </c>
      <c r="B137" t="s">
        <v>1288</v>
      </c>
      <c r="C137" t="s">
        <v>571</v>
      </c>
    </row>
    <row r="138" spans="1:8" x14ac:dyDescent="0.45">
      <c r="A138" t="s">
        <v>1512</v>
      </c>
      <c r="B138" t="s">
        <v>1467</v>
      </c>
      <c r="C138" t="s">
        <v>56</v>
      </c>
    </row>
    <row r="139" spans="1:8" x14ac:dyDescent="0.45">
      <c r="A139" t="s">
        <v>1962</v>
      </c>
      <c r="B139" t="s">
        <v>1512</v>
      </c>
      <c r="C139" t="s">
        <v>1342</v>
      </c>
    </row>
    <row r="140" spans="1:8" x14ac:dyDescent="0.45">
      <c r="A140" t="s">
        <v>1984</v>
      </c>
      <c r="B140" t="s">
        <v>1962</v>
      </c>
      <c r="C140" t="s">
        <v>1288</v>
      </c>
    </row>
    <row r="141" spans="1:8" x14ac:dyDescent="0.45">
      <c r="A141" t="s">
        <v>1991</v>
      </c>
      <c r="B141" t="s">
        <v>1984</v>
      </c>
      <c r="C141" t="s">
        <v>1467</v>
      </c>
    </row>
    <row r="142" spans="1:8" x14ac:dyDescent="0.45">
      <c r="A142" t="s">
        <v>2005</v>
      </c>
      <c r="B142" t="s">
        <v>1991</v>
      </c>
      <c r="C142" t="s">
        <v>1512</v>
      </c>
    </row>
    <row r="143" spans="1:8" x14ac:dyDescent="0.45">
      <c r="A143" t="s">
        <v>2028</v>
      </c>
      <c r="B143" t="s">
        <v>2005</v>
      </c>
      <c r="C143" t="s">
        <v>1962</v>
      </c>
    </row>
    <row r="144" spans="1:8" x14ac:dyDescent="0.45">
      <c r="A144" t="s">
        <v>2063</v>
      </c>
      <c r="B144" t="s">
        <v>2028</v>
      </c>
      <c r="C144" t="s">
        <v>1984</v>
      </c>
    </row>
    <row r="145" spans="1:4" x14ac:dyDescent="0.45">
      <c r="A145" t="s">
        <v>2076</v>
      </c>
      <c r="B145" t="s">
        <v>2063</v>
      </c>
      <c r="C145" t="s">
        <v>1991</v>
      </c>
    </row>
    <row r="146" spans="1:4" x14ac:dyDescent="0.45">
      <c r="A146" t="s">
        <v>2097</v>
      </c>
      <c r="B146" t="s">
        <v>2076</v>
      </c>
      <c r="C146" t="s">
        <v>2005</v>
      </c>
    </row>
    <row r="147" spans="1:4" x14ac:dyDescent="0.45">
      <c r="A147" t="s">
        <v>2169</v>
      </c>
      <c r="B147" t="s">
        <v>2097</v>
      </c>
      <c r="C147" t="s">
        <v>2028</v>
      </c>
    </row>
    <row r="148" spans="1:4" x14ac:dyDescent="0.45">
      <c r="A148" t="s">
        <v>2191</v>
      </c>
      <c r="B148" t="s">
        <v>2169</v>
      </c>
      <c r="C148" t="s">
        <v>2063</v>
      </c>
    </row>
    <row r="149" spans="1:4" x14ac:dyDescent="0.45">
      <c r="A149" s="601" t="s">
        <v>4037</v>
      </c>
      <c r="B149" t="s">
        <v>2191</v>
      </c>
      <c r="C149" t="s">
        <v>2076</v>
      </c>
    </row>
    <row r="150" spans="1:4" x14ac:dyDescent="0.45">
      <c r="B150" t="s">
        <v>2169</v>
      </c>
    </row>
    <row r="151" spans="1:4" x14ac:dyDescent="0.45">
      <c r="B151" t="s">
        <v>2191</v>
      </c>
    </row>
    <row r="152" spans="1:4" ht="15.75" x14ac:dyDescent="0.5">
      <c r="A152" s="614" t="s">
        <v>4038</v>
      </c>
      <c r="B152" s="614"/>
      <c r="C152" s="614"/>
      <c r="D152" s="614"/>
    </row>
    <row r="153" spans="1:4" x14ac:dyDescent="0.45">
      <c r="A153" s="595" t="s">
        <v>4039</v>
      </c>
      <c r="B153" s="600" t="s">
        <v>4040</v>
      </c>
      <c r="C153" s="600" t="s">
        <v>4041</v>
      </c>
      <c r="D153" s="595" t="s">
        <v>4042</v>
      </c>
    </row>
    <row r="154" spans="1:4" x14ac:dyDescent="0.45">
      <c r="A154" t="s">
        <v>4043</v>
      </c>
      <c r="B154" s="593">
        <f>COUNTIF('All 108 Regulators - Frameworks'!I$4:I$500,"2024*")+COUNTIF('All 108 Regulators - Frameworks'!I$4:I$500,"2025*")+COUNTIF('All 108 Regulators - Frameworks'!I$4:I$500,"2026*")</f>
        <v>9</v>
      </c>
      <c r="C154" s="602">
        <f>IFERROR(B154/B$6,0)</f>
        <v>2.2222222222222223E-2</v>
      </c>
      <c r="D154" s="587" t="s">
        <v>4044</v>
      </c>
    </row>
    <row r="155" spans="1:4" x14ac:dyDescent="0.45">
      <c r="A155" t="s">
        <v>4045</v>
      </c>
      <c r="B155" s="593">
        <f>COUNTIF('All 108 Regulators - Frameworks'!I$4:I$500,"2021*")+COUNTIF('All 108 Regulators - Frameworks'!I$4:I$500,"2022*")+COUNTIF('All 108 Regulators - Frameworks'!I$4:I$500,"2023*")</f>
        <v>84</v>
      </c>
      <c r="C155" s="602">
        <f>IFERROR(B155/B$6,0)</f>
        <v>0.2074074074074074</v>
      </c>
      <c r="D155" s="583" t="s">
        <v>4046</v>
      </c>
    </row>
    <row r="156" spans="1:4" x14ac:dyDescent="0.45">
      <c r="A156" t="s">
        <v>4047</v>
      </c>
      <c r="B156" s="593">
        <f>COUNTIF('All 108 Regulators - Frameworks'!I$4:I$500,"2018*")+COUNTIF('All 108 Regulators - Frameworks'!I$4:I$500,"2019*")+COUNTIF('All 108 Regulators - Frameworks'!I$4:I$500,"2020*")</f>
        <v>170</v>
      </c>
      <c r="C156" s="602">
        <f>IFERROR(B156/B$6,0)</f>
        <v>0.41975308641975306</v>
      </c>
      <c r="D156" s="583" t="s">
        <v>4048</v>
      </c>
    </row>
    <row r="157" spans="1:4" x14ac:dyDescent="0.45">
      <c r="A157" t="s">
        <v>4049</v>
      </c>
      <c r="B157" s="593">
        <f>COUNTIF('All 108 Regulators - Frameworks'!I$4:I$500,"2017*")+COUNTIF('All 108 Regulators - Frameworks'!I$4:I$500,"2016*")+COUNTIF('All 108 Regulators - Frameworks'!I$4:I$500,"2015*")+COUNTIF('All 108 Regulators - Frameworks'!I$4:I$500,"2014*")+COUNTIF('All 108 Regulators - Frameworks'!I$4:I$500,"2013*")+COUNTIF('All 108 Regulators - Frameworks'!I$4:I$500,"2012*")</f>
        <v>63</v>
      </c>
      <c r="C157" s="602">
        <f>IFERROR(B157/B$6,0)</f>
        <v>0.15555555555555556</v>
      </c>
      <c r="D157" s="581" t="s">
        <v>4050</v>
      </c>
    </row>
    <row r="158" spans="1:4" x14ac:dyDescent="0.45">
      <c r="A158" t="s">
        <v>4051</v>
      </c>
      <c r="B158" s="591">
        <f>B6-SUM(B154:B157)</f>
        <v>79</v>
      </c>
      <c r="C158" s="602">
        <f>IFERROR(B158/B$6,0)</f>
        <v>0.19506172839506172</v>
      </c>
      <c r="D158" t="s">
        <v>4052</v>
      </c>
    </row>
    <row r="161" spans="1:6" ht="15.75" x14ac:dyDescent="0.5">
      <c r="A161" s="614" t="s">
        <v>4053</v>
      </c>
      <c r="B161" s="614"/>
      <c r="C161" s="614"/>
      <c r="D161" s="614"/>
      <c r="E161" s="614"/>
      <c r="F161" s="614"/>
    </row>
    <row r="162" spans="1:6" x14ac:dyDescent="0.45">
      <c r="A162" s="595" t="s">
        <v>4054</v>
      </c>
      <c r="B162" s="600" t="s">
        <v>4040</v>
      </c>
      <c r="C162" s="600" t="s">
        <v>4055</v>
      </c>
    </row>
    <row r="163" spans="1:6" x14ac:dyDescent="0.45">
      <c r="A163" t="s">
        <v>4056</v>
      </c>
      <c r="B163" s="593">
        <f>COUNTIF('All 108 Regulators - Frameworks'!AP$4:AP$500,"G*")+COUNTIF('All 108 Regulators - Frameworks'!AP$4:AP$500,"*+ G*")</f>
        <v>433</v>
      </c>
      <c r="C163" s="602">
        <f>IFERROR(B163/B$6,0)</f>
        <v>1.0691358024691358</v>
      </c>
    </row>
    <row r="164" spans="1:6" x14ac:dyDescent="0.45">
      <c r="A164" t="s">
        <v>4057</v>
      </c>
      <c r="B164" s="593">
        <f>COUNTIF('All 108 Regulators - Frameworks'!AP$4:AP$500,"R*")+COUNTIF('All 108 Regulators - Frameworks'!AP$4:AP$500,"*+ R*")</f>
        <v>39</v>
      </c>
      <c r="C164" s="602">
        <f>IFERROR(B164/B$6,0)</f>
        <v>9.6296296296296297E-2</v>
      </c>
    </row>
    <row r="165" spans="1:6" x14ac:dyDescent="0.45">
      <c r="A165" t="s">
        <v>4058</v>
      </c>
      <c r="B165" s="593">
        <f>COUNTIF('All 108 Regulators - Frameworks'!AP$4:AP$500,"*C*")-COUNTBLANK('All 108 Regulators - Frameworks'!AP$4:AP$500)</f>
        <v>405</v>
      </c>
      <c r="C165" s="602">
        <f>IFERROR(B165/B$6,0)</f>
        <v>1</v>
      </c>
    </row>
    <row r="166" spans="1:6" x14ac:dyDescent="0.45">
      <c r="A166" t="s">
        <v>4059</v>
      </c>
      <c r="B166" s="605">
        <f>COUNTIF('All 108 Regulators - Frameworks'!AP$4:AP$500,"G + R + C*")</f>
        <v>20</v>
      </c>
      <c r="C166" s="602">
        <f>IFERROR(B166/B$6,0)</f>
        <v>4.9382716049382713E-2</v>
      </c>
    </row>
    <row r="169" spans="1:6" x14ac:dyDescent="0.45">
      <c r="A169" s="606" t="s">
        <v>4060</v>
      </c>
      <c r="B169" s="607" t="s">
        <v>4061</v>
      </c>
      <c r="C169" s="606" t="s">
        <v>4062</v>
      </c>
    </row>
    <row r="170" spans="1:6" x14ac:dyDescent="0.45">
      <c r="A170" t="s">
        <v>4063</v>
      </c>
      <c r="B170" s="593">
        <f>COUNTIFS('All 108 Regulators - Frameworks'!AR$4:AR$500,"*Cyber*",'All 108 Regulators - Frameworks'!AR$4:AR$500,"*Privacy*")</f>
        <v>0</v>
      </c>
      <c r="C170" t="s">
        <v>4064</v>
      </c>
    </row>
    <row r="171" spans="1:6" x14ac:dyDescent="0.45">
      <c r="A171" t="s">
        <v>4065</v>
      </c>
      <c r="B171" s="593">
        <f>COUNTIFS('All 108 Regulators - Frameworks'!AR$4:AR$500,"*Cyber*",'All 108 Regulators - Frameworks'!M$4:M$500,"*device*")</f>
        <v>15</v>
      </c>
      <c r="C171" t="s">
        <v>4066</v>
      </c>
    </row>
    <row r="172" spans="1:6" x14ac:dyDescent="0.45">
      <c r="A172" t="s">
        <v>4067</v>
      </c>
      <c r="B172" s="593">
        <f>COUNTIFS('All 108 Regulators - Frameworks'!B$4:B$500,"MOH",'All 108 Regulators - Frameworks'!F$4:F$500,"*HIS*")+COUNTIFS('All 108 Regulators - Frameworks'!B$4:B$500,"NHIC",'All 108 Regulators - Frameworks'!F$4:F$500,"*NABIDH*")</f>
        <v>1</v>
      </c>
      <c r="C172" t="s">
        <v>4068</v>
      </c>
    </row>
    <row r="173" spans="1:6" x14ac:dyDescent="0.45">
      <c r="A173" t="s">
        <v>4069</v>
      </c>
      <c r="B173" s="593">
        <f>COUNTIFS('All 108 Regulators - Frameworks'!B$4:B$500,"SAMA",'All 108 Regulators - Frameworks'!AR$4:AR$500,"*Cyber*")</f>
        <v>1</v>
      </c>
      <c r="C173" t="s">
        <v>4070</v>
      </c>
    </row>
    <row r="176" spans="1:6" ht="15.75" x14ac:dyDescent="0.5">
      <c r="A176" s="614" t="s">
        <v>4071</v>
      </c>
      <c r="B176" s="614"/>
      <c r="C176" s="614"/>
      <c r="D176" s="614"/>
      <c r="E176" s="614"/>
      <c r="F176" s="614"/>
    </row>
    <row r="177" spans="1:6" x14ac:dyDescent="0.45">
      <c r="A177" s="595" t="s">
        <v>4072</v>
      </c>
      <c r="B177" s="600" t="s">
        <v>4061</v>
      </c>
      <c r="C177" s="600" t="s">
        <v>4073</v>
      </c>
      <c r="D177" s="600" t="s">
        <v>4074</v>
      </c>
      <c r="E177" s="600" t="s">
        <v>4075</v>
      </c>
      <c r="F177" s="600" t="s">
        <v>4076</v>
      </c>
    </row>
    <row r="178" spans="1:6" x14ac:dyDescent="0.45">
      <c r="A178" t="str">
        <f>A132</f>
        <v>1. Ministries</v>
      </c>
      <c r="B178" s="591">
        <f>F132</f>
        <v>73</v>
      </c>
      <c r="C178" s="591">
        <f>COUNTIFS('All 108 Regulators - Frameworks'!D$4:D$500,A178,'All 108 Regulators - Frameworks'!L$4:L$500,"Mandatory*")</f>
        <v>71</v>
      </c>
      <c r="D178" s="591">
        <f>B132</f>
        <v>0</v>
      </c>
      <c r="E178" s="594">
        <f>(B178*1)+(C178*3)+(D178*5)</f>
        <v>286</v>
      </c>
      <c r="F178" s="591" t="str">
        <f>IF(E178&gt;=100,"🔴 EXTREME",IF(E178&gt;=50,"🟠 HIGH",IF(E178&gt;=20,"🟡 MODERATE","🟢 LOW")))</f>
        <v>🔴 EXTREME</v>
      </c>
    </row>
    <row r="179" spans="1:6" ht="15.75" x14ac:dyDescent="0.5">
      <c r="A179" s="572" t="s">
        <v>4071</v>
      </c>
    </row>
    <row r="180" spans="1:6" x14ac:dyDescent="0.45">
      <c r="A180" s="595" t="s">
        <v>4072</v>
      </c>
      <c r="B180" s="600" t="s">
        <v>4061</v>
      </c>
      <c r="C180" s="600" t="s">
        <v>4073</v>
      </c>
      <c r="D180" s="600" t="s">
        <v>4074</v>
      </c>
      <c r="E180" s="600" t="s">
        <v>4075</v>
      </c>
      <c r="F180" s="600" t="s">
        <v>4076</v>
      </c>
    </row>
    <row r="181" spans="1:6" x14ac:dyDescent="0.45">
      <c r="A181" t="str">
        <f>A135</f>
        <v>4. ICT / Digital / Telecom</v>
      </c>
      <c r="B181" s="591" t="str">
        <f>F135</f>
        <v>MODERATE</v>
      </c>
      <c r="C181" s="591">
        <f>COUNTIFS('All 108 Regulators - Frameworks'!D$4:D$500,A181,'All 108 Regulators - Frameworks'!L$4:L$500,"Mandatory*")</f>
        <v>22</v>
      </c>
      <c r="D181" s="591" t="str">
        <f>B135</f>
        <v>3. Cybersecurity &amp; Data</v>
      </c>
      <c r="E181" s="594" t="e">
        <f>(B181*1)+(C181*3)+(D181*5)</f>
        <v>#VALUE!</v>
      </c>
      <c r="F181" s="591" t="e">
        <f>IF(E181&gt;=100,"🔴 EXTREME",IF(E181&gt;=50,"🟠 HIGH",IF(E181&gt;=20,"🟡 MODERATE","🟢 LOW")))</f>
        <v>#VALUE!</v>
      </c>
    </row>
    <row r="197" spans="1:9" ht="15.75" x14ac:dyDescent="0.5">
      <c r="A197" s="614" t="s">
        <v>4077</v>
      </c>
      <c r="B197" s="614"/>
      <c r="C197" s="614"/>
      <c r="D197" s="614"/>
      <c r="E197" s="614"/>
      <c r="F197" s="614"/>
    </row>
    <row r="198" spans="1:9" x14ac:dyDescent="0.45">
      <c r="A198" s="595" t="s">
        <v>4078</v>
      </c>
      <c r="B198" s="600" t="s">
        <v>4079</v>
      </c>
      <c r="C198" s="600" t="s">
        <v>4080</v>
      </c>
      <c r="D198" s="600" t="s">
        <v>4081</v>
      </c>
      <c r="E198" s="600" t="s">
        <v>4082</v>
      </c>
      <c r="F198" s="600" t="s">
        <v>4083</v>
      </c>
    </row>
    <row r="199" spans="1:9" x14ac:dyDescent="0.45">
      <c r="A199" t="s">
        <v>4084</v>
      </c>
      <c r="B199" s="608">
        <v>1.5</v>
      </c>
      <c r="C199" s="591">
        <v>3</v>
      </c>
      <c r="D199" s="609">
        <f>C199-B199</f>
        <v>1.5</v>
      </c>
      <c r="E199" s="591" t="str">
        <f>IF(D199&gt;=2,"🔴 CRITICAL GAP",IF(D199&gt;=1,"🟠 SIGNIFICANT","🟢 ON TRACK"))</f>
        <v>🟠 SIGNIFICANT</v>
      </c>
      <c r="F199" s="591" t="str">
        <f>IF(D199&gt;=2,"12-18 months",IF(D199&gt;=1,"6-12 months","Maintenance"))</f>
        <v>6-12 months</v>
      </c>
    </row>
    <row r="200" spans="1:9" x14ac:dyDescent="0.45">
      <c r="A200" t="s">
        <v>4085</v>
      </c>
      <c r="B200" s="608">
        <v>2</v>
      </c>
      <c r="C200" s="591">
        <v>3</v>
      </c>
      <c r="D200" s="609">
        <f>C200-B200</f>
        <v>1</v>
      </c>
      <c r="E200" s="591" t="str">
        <f>IF(D200&gt;=2,"🔴 CRITICAL GAP",IF(D200&gt;=1,"🟠 SIGNIFICANT","🟢 ON TRACK"))</f>
        <v>🟠 SIGNIFICANT</v>
      </c>
      <c r="F200" s="591" t="str">
        <f>IF(D200&gt;=2,"12-18 months",IF(D200&gt;=1,"6-12 months","Maintenance"))</f>
        <v>6-12 months</v>
      </c>
    </row>
    <row r="201" spans="1:9" ht="15.75" x14ac:dyDescent="0.5">
      <c r="A201" t="s">
        <v>4086</v>
      </c>
      <c r="B201" s="608">
        <v>1</v>
      </c>
      <c r="C201" s="591">
        <v>3</v>
      </c>
      <c r="D201" s="572" t="s">
        <v>4077</v>
      </c>
    </row>
    <row r="202" spans="1:9" x14ac:dyDescent="0.45">
      <c r="A202" t="s">
        <v>4087</v>
      </c>
      <c r="B202" s="608">
        <v>2</v>
      </c>
      <c r="C202" s="591">
        <v>3</v>
      </c>
      <c r="D202" s="595" t="s">
        <v>4078</v>
      </c>
      <c r="E202" s="600" t="s">
        <v>4079</v>
      </c>
      <c r="F202" s="600" t="s">
        <v>4080</v>
      </c>
      <c r="G202" s="600" t="s">
        <v>4081</v>
      </c>
      <c r="H202" s="600" t="s">
        <v>4082</v>
      </c>
      <c r="I202" s="600" t="s">
        <v>4083</v>
      </c>
    </row>
    <row r="203" spans="1:9" x14ac:dyDescent="0.45">
      <c r="A203" t="s">
        <v>4088</v>
      </c>
      <c r="B203" s="608">
        <v>1.5</v>
      </c>
      <c r="C203" s="591">
        <v>3</v>
      </c>
      <c r="D203" t="s">
        <v>4084</v>
      </c>
      <c r="E203" s="608">
        <v>1.5</v>
      </c>
      <c r="F203" s="591">
        <v>3</v>
      </c>
      <c r="G203" s="609">
        <f>F203-E203</f>
        <v>1.5</v>
      </c>
      <c r="H203" s="591" t="str">
        <f>IF(G203&gt;=2,"🔴 CRITICAL GAP",IF(G203&gt;=1,"🟠 SIGNIFICANT","🟢 ON TRACK"))</f>
        <v>🟠 SIGNIFICANT</v>
      </c>
      <c r="I203" s="591" t="str">
        <f>IF(G203&gt;=2,"12-18 months",IF(G203&gt;=1,"6-12 months","Maintenance"))</f>
        <v>6-12 months</v>
      </c>
    </row>
    <row r="204" spans="1:9" x14ac:dyDescent="0.45">
      <c r="A204" t="s">
        <v>4089</v>
      </c>
      <c r="B204" s="608">
        <v>1</v>
      </c>
      <c r="C204" s="591">
        <v>3</v>
      </c>
      <c r="D204" t="s">
        <v>4085</v>
      </c>
      <c r="E204" s="608">
        <v>2</v>
      </c>
      <c r="F204" s="591">
        <v>3</v>
      </c>
      <c r="G204" s="609">
        <f>F204-E204</f>
        <v>1</v>
      </c>
      <c r="H204" s="591" t="str">
        <f>IF(G204&gt;=2,"🔴 CRITICAL GAP",IF(G204&gt;=1,"🟠 SIGNIFICANT","🟢 ON TRACK"))</f>
        <v>🟠 SIGNIFICANT</v>
      </c>
      <c r="I204" s="591" t="str">
        <f>IF(G204&gt;=2,"12-18 months",IF(G204&gt;=1,"6-12 months","Maintenance"))</f>
        <v>6-12 months</v>
      </c>
    </row>
    <row r="205" spans="1:9" x14ac:dyDescent="0.45">
      <c r="A205" t="s">
        <v>4090</v>
      </c>
      <c r="B205" s="608">
        <v>1.5</v>
      </c>
      <c r="C205" s="591">
        <v>3</v>
      </c>
      <c r="D205" t="s">
        <v>4086</v>
      </c>
      <c r="E205" s="608">
        <v>1</v>
      </c>
      <c r="F205" s="591">
        <v>3</v>
      </c>
    </row>
    <row r="206" spans="1:9" x14ac:dyDescent="0.45">
      <c r="A206" t="s">
        <v>4091</v>
      </c>
      <c r="B206" s="608">
        <v>1.5</v>
      </c>
      <c r="C206" s="591">
        <v>3</v>
      </c>
      <c r="D206" t="s">
        <v>4087</v>
      </c>
      <c r="E206" s="608">
        <v>2</v>
      </c>
      <c r="F206" s="591">
        <v>3</v>
      </c>
    </row>
    <row r="207" spans="1:9" x14ac:dyDescent="0.45">
      <c r="A207" t="s">
        <v>4092</v>
      </c>
      <c r="B207" s="608">
        <v>2.5</v>
      </c>
      <c r="C207" s="591">
        <v>3</v>
      </c>
      <c r="D207" t="s">
        <v>4088</v>
      </c>
      <c r="E207" s="608">
        <v>1.5</v>
      </c>
      <c r="F207" s="591">
        <v>3</v>
      </c>
    </row>
    <row r="208" spans="1:9" x14ac:dyDescent="0.45">
      <c r="D208" t="s">
        <v>4089</v>
      </c>
      <c r="E208" s="608">
        <v>1</v>
      </c>
      <c r="F208" s="591">
        <v>3</v>
      </c>
    </row>
    <row r="209" spans="1:6" x14ac:dyDescent="0.45">
      <c r="A209" s="601" t="s">
        <v>4093</v>
      </c>
      <c r="B209" s="610">
        <f>AVERAGE(B199:B207)</f>
        <v>1.6111111111111112</v>
      </c>
      <c r="C209" s="610">
        <f>AVERAGE(C199:C207)</f>
        <v>3</v>
      </c>
      <c r="D209" s="611">
        <f>AVERAGE(D199:D207)</f>
        <v>1.25</v>
      </c>
      <c r="E209" s="610" t="str">
        <f>IF(D209&gt;=2,"🔴 CRITICAL GAP",IF(D209&gt;=1,"🟠 SIGNIFICANT","🟢 ON TRACK"))</f>
        <v>🟠 SIGNIFICANT</v>
      </c>
      <c r="F209" s="603" t="str">
        <f>IF(D209&gt;=2,"12-18 months",IF(D209&gt;=1,"6-12 months","Maintenance"))</f>
        <v>6-12 months</v>
      </c>
    </row>
    <row r="210" spans="1:6" x14ac:dyDescent="0.45">
      <c r="D210" t="s">
        <v>4091</v>
      </c>
      <c r="E210" s="608">
        <v>1.5</v>
      </c>
      <c r="F210" s="591">
        <v>3</v>
      </c>
    </row>
    <row r="211" spans="1:6" x14ac:dyDescent="0.45">
      <c r="D211" t="s">
        <v>4092</v>
      </c>
      <c r="E211" s="608">
        <v>2.5</v>
      </c>
      <c r="F211" s="591">
        <v>3</v>
      </c>
    </row>
  </sheetData>
  <mergeCells count="9">
    <mergeCell ref="A161:F161"/>
    <mergeCell ref="A176:F176"/>
    <mergeCell ref="A197:F197"/>
    <mergeCell ref="A1:I1"/>
    <mergeCell ref="A2:I2"/>
    <mergeCell ref="A4:I4"/>
    <mergeCell ref="A19:I19"/>
    <mergeCell ref="A130:G130"/>
    <mergeCell ref="A152:D15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38E20-5F8B-472A-A2E4-C7E25D55C876}">
  <dimension ref="A1:G27"/>
  <sheetViews>
    <sheetView workbookViewId="0">
      <pane ySplit="3" topLeftCell="A26" activePane="bottomLeft" state="frozen"/>
      <selection pane="bottomLeft" activeCell="A4" sqref="A1:XFD1048576"/>
    </sheetView>
  </sheetViews>
  <sheetFormatPr defaultRowHeight="14.25" x14ac:dyDescent="0.45"/>
  <cols>
    <col min="1" max="1" width="23.1328125" customWidth="1"/>
    <col min="2" max="3" width="14.19921875" customWidth="1"/>
    <col min="4" max="4" width="30.19921875" customWidth="1"/>
    <col min="5" max="6" width="17.796875" customWidth="1"/>
    <col min="7" max="7" width="21.33203125" customWidth="1"/>
  </cols>
  <sheetData>
    <row r="1" spans="1:7" ht="25.5" x14ac:dyDescent="0.75">
      <c r="A1" s="623" t="s">
        <v>4094</v>
      </c>
      <c r="B1" s="623"/>
      <c r="C1" s="623"/>
      <c r="D1" s="623"/>
      <c r="E1" s="623"/>
      <c r="F1" s="623"/>
      <c r="G1" s="623"/>
    </row>
    <row r="2" spans="1:7" x14ac:dyDescent="0.45">
      <c r="A2" s="624" t="s">
        <v>4095</v>
      </c>
      <c r="B2" s="624"/>
      <c r="C2" s="624"/>
      <c r="D2" s="624"/>
      <c r="E2" s="624"/>
      <c r="F2" s="624"/>
      <c r="G2" s="624"/>
    </row>
    <row r="4" spans="1:7" ht="15.75" x14ac:dyDescent="0.5">
      <c r="A4" s="615" t="s">
        <v>4096</v>
      </c>
    </row>
    <row r="5" spans="1:7" x14ac:dyDescent="0.45">
      <c r="A5" s="616" t="s">
        <v>4097</v>
      </c>
      <c r="B5" s="616" t="s">
        <v>4098</v>
      </c>
      <c r="C5" s="616" t="s">
        <v>4099</v>
      </c>
      <c r="D5" s="616" t="s">
        <v>4074</v>
      </c>
      <c r="E5" s="616" t="s">
        <v>4073</v>
      </c>
      <c r="F5" s="616" t="s">
        <v>4100</v>
      </c>
      <c r="G5" s="616" t="s">
        <v>4101</v>
      </c>
    </row>
    <row r="6" spans="1:7" ht="30.75" x14ac:dyDescent="0.9">
      <c r="A6" s="617">
        <f>'GRC Intelligence Engine'!B6</f>
        <v>405</v>
      </c>
      <c r="B6" s="617">
        <f>'GRC Intelligence Engine'!B7</f>
        <v>107</v>
      </c>
      <c r="C6" s="618">
        <f>'GRC Intelligence Engine'!B8</f>
        <v>28239</v>
      </c>
      <c r="D6" s="619">
        <f>'GRC Intelligence Engine'!B9</f>
        <v>139</v>
      </c>
      <c r="E6" s="620">
        <f>'GRC Intelligence Engine'!B13</f>
        <v>172</v>
      </c>
      <c r="F6" s="621">
        <f>'GRC Intelligence Engine'!B14</f>
        <v>184</v>
      </c>
      <c r="G6" s="622">
        <f>'GRC Intelligence Engine'!D209</f>
        <v>1.25</v>
      </c>
    </row>
    <row r="8" spans="1:7" x14ac:dyDescent="0.45">
      <c r="A8" s="573" t="s">
        <v>4102</v>
      </c>
      <c r="D8" s="573" t="s">
        <v>4104</v>
      </c>
    </row>
    <row r="9" spans="1:7" x14ac:dyDescent="0.45">
      <c r="A9" s="595" t="s">
        <v>4103</v>
      </c>
      <c r="B9" s="600" t="s">
        <v>4040</v>
      </c>
      <c r="D9" s="595" t="s">
        <v>4105</v>
      </c>
      <c r="E9" s="600" t="s">
        <v>4040</v>
      </c>
    </row>
    <row r="10" spans="1:7" x14ac:dyDescent="0.45">
      <c r="A10" t="s">
        <v>66</v>
      </c>
      <c r="B10" s="591">
        <f>'GRC Intelligence Engine'!B9</f>
        <v>139</v>
      </c>
      <c r="D10" t="s">
        <v>4106</v>
      </c>
      <c r="E10" s="591">
        <f>'GRC Intelligence Engine'!B154</f>
        <v>9</v>
      </c>
    </row>
    <row r="11" spans="1:7" x14ac:dyDescent="0.45">
      <c r="A11" t="s">
        <v>154</v>
      </c>
      <c r="B11" s="591">
        <f>'GRC Intelligence Engine'!B10</f>
        <v>78</v>
      </c>
      <c r="D11" t="s">
        <v>4107</v>
      </c>
      <c r="E11" s="591">
        <f>'GRC Intelligence Engine'!B155</f>
        <v>84</v>
      </c>
    </row>
    <row r="12" spans="1:7" x14ac:dyDescent="0.45">
      <c r="A12" t="s">
        <v>253</v>
      </c>
      <c r="B12" s="591">
        <f>'GRC Intelligence Engine'!B11</f>
        <v>120</v>
      </c>
      <c r="D12" t="s">
        <v>4108</v>
      </c>
      <c r="E12" s="591">
        <f>'GRC Intelligence Engine'!B156</f>
        <v>170</v>
      </c>
    </row>
    <row r="13" spans="1:7" x14ac:dyDescent="0.45">
      <c r="A13" t="s">
        <v>275</v>
      </c>
      <c r="B13" s="591">
        <f>'GRC Intelligence Engine'!B12</f>
        <v>114</v>
      </c>
      <c r="D13" t="s">
        <v>4109</v>
      </c>
      <c r="E13" s="591">
        <f>'GRC Intelligence Engine'!B157</f>
        <v>63</v>
      </c>
    </row>
    <row r="16" spans="1:7" x14ac:dyDescent="0.45">
      <c r="A16" s="573" t="s">
        <v>4110</v>
      </c>
      <c r="D16" s="573" t="s">
        <v>4123</v>
      </c>
    </row>
    <row r="17" spans="1:5" x14ac:dyDescent="0.45">
      <c r="A17" s="595" t="s">
        <v>4111</v>
      </c>
      <c r="B17" s="600" t="s">
        <v>4112</v>
      </c>
      <c r="C17" s="600" t="s">
        <v>4113</v>
      </c>
      <c r="D17" s="595" t="s">
        <v>2468</v>
      </c>
      <c r="E17" s="600" t="s">
        <v>4124</v>
      </c>
    </row>
    <row r="18" spans="1:5" x14ac:dyDescent="0.45">
      <c r="A18" t="s">
        <v>4114</v>
      </c>
      <c r="B18" s="608">
        <f>'GRC Intelligence Engine'!B199</f>
        <v>1.5</v>
      </c>
      <c r="C18" s="591">
        <f>'GRC Intelligence Engine'!C199</f>
        <v>3</v>
      </c>
      <c r="D18" t="str" cm="1">
        <f t="array" ref="D18">INDEX('Per-Regulator Summary'!A$2:A$108,MATCH(LARGE(('Per-Regulator Summary'!D$2:D$108*3)+('Per-Regulator Summary'!G$2:G$108*5)+('Per-Regulator Summary'!F$2:F$108*1),1),('Per-Regulator Summary'!D$2:D$108*3)+('Per-Regulator Summary'!G$2:G$108*5)+('Per-Regulator Summary'!F$2:F$108*1),0))</f>
        <v>MOH</v>
      </c>
      <c r="E18" s="591" cm="1">
        <f t="array" ref="E18">LARGE(('Per-Regulator Summary'!D$2:D$108*3)+('Per-Regulator Summary'!G$2:G$108*5)+('Per-Regulator Summary'!F$2:F$108*1),1)</f>
        <v>80</v>
      </c>
    </row>
    <row r="19" spans="1:5" x14ac:dyDescent="0.45">
      <c r="A19" t="s">
        <v>4115</v>
      </c>
      <c r="B19" s="608">
        <f>'GRC Intelligence Engine'!B200</f>
        <v>2</v>
      </c>
      <c r="C19" s="591">
        <f>'GRC Intelligence Engine'!C200</f>
        <v>3</v>
      </c>
      <c r="D19" t="s">
        <v>380</v>
      </c>
      <c r="E19" s="591" cm="1">
        <f t="array" ref="E19">LARGE(('Per-Regulator Summary'!D$2:D$108*3)+('Per-Regulator Summary'!G$2:G$108*5)+('Per-Regulator Summary'!F$2:F$108*1),2)</f>
        <v>70</v>
      </c>
    </row>
    <row r="20" spans="1:5" x14ac:dyDescent="0.45">
      <c r="A20" t="s">
        <v>4116</v>
      </c>
      <c r="B20" s="608">
        <f>'GRC Intelligence Engine'!B201</f>
        <v>1</v>
      </c>
      <c r="C20" s="591">
        <f>'GRC Intelligence Engine'!C201</f>
        <v>3</v>
      </c>
      <c r="D20" t="s">
        <v>569</v>
      </c>
      <c r="E20" s="591" cm="1">
        <f t="array" ref="E20">LARGE(('Per-Regulator Summary'!D$2:D$108*3)+('Per-Regulator Summary'!G$2:G$108*5)+('Per-Regulator Summary'!F$2:F$108*1),3)</f>
        <v>67</v>
      </c>
    </row>
    <row r="21" spans="1:5" x14ac:dyDescent="0.45">
      <c r="A21" t="s">
        <v>4117</v>
      </c>
      <c r="B21" s="608">
        <f>'GRC Intelligence Engine'!B202</f>
        <v>2</v>
      </c>
      <c r="C21" s="591">
        <f>'GRC Intelligence Engine'!C202</f>
        <v>3</v>
      </c>
      <c r="D21" t="s">
        <v>783</v>
      </c>
      <c r="E21" s="591" cm="1">
        <f t="array" ref="E21">LARGE(('Per-Regulator Summary'!D$2:D$108*3)+('Per-Regulator Summary'!G$2:G$108*5)+('Per-Regulator Summary'!F$2:F$108*1),4)</f>
        <v>63</v>
      </c>
    </row>
    <row r="22" spans="1:5" x14ac:dyDescent="0.45">
      <c r="A22" t="s">
        <v>4118</v>
      </c>
      <c r="B22" s="608">
        <f>'GRC Intelligence Engine'!B203</f>
        <v>1.5</v>
      </c>
      <c r="C22" s="591">
        <f>'GRC Intelligence Engine'!C203</f>
        <v>3</v>
      </c>
      <c r="D22" t="s">
        <v>1340</v>
      </c>
      <c r="E22" s="591" cm="1">
        <f t="array" ref="E22">LARGE(('Per-Regulator Summary'!D$2:D$108*3)+('Per-Regulator Summary'!G$2:G$108*5)+('Per-Regulator Summary'!F$2:F$108*1),5)</f>
        <v>50</v>
      </c>
    </row>
    <row r="23" spans="1:5" x14ac:dyDescent="0.45">
      <c r="A23" t="s">
        <v>4119</v>
      </c>
      <c r="B23" s="608">
        <f>'GRC Intelligence Engine'!B204</f>
        <v>1</v>
      </c>
      <c r="C23" s="591">
        <f>'GRC Intelligence Engine'!C204</f>
        <v>3</v>
      </c>
      <c r="D23" t="s">
        <v>1286</v>
      </c>
      <c r="E23" s="591" cm="1">
        <f t="array" ref="E23">LARGE(('Per-Regulator Summary'!D$2:D$108*3)+('Per-Regulator Summary'!G$2:G$108*5)+('Per-Regulator Summary'!F$2:F$108*1),6)</f>
        <v>50</v>
      </c>
    </row>
    <row r="24" spans="1:5" x14ac:dyDescent="0.45">
      <c r="A24" t="s">
        <v>4120</v>
      </c>
      <c r="B24" s="608">
        <f>'GRC Intelligence Engine'!B205</f>
        <v>1.5</v>
      </c>
      <c r="C24" s="591">
        <f>'GRC Intelligence Engine'!C205</f>
        <v>3</v>
      </c>
      <c r="D24" t="s">
        <v>1083</v>
      </c>
      <c r="E24" s="591" cm="1">
        <f t="array" ref="E24">LARGE(('Per-Regulator Summary'!D$2:D$108*3)+('Per-Regulator Summary'!G$2:G$108*5)+('Per-Regulator Summary'!F$2:F$108*1),7)</f>
        <v>50</v>
      </c>
    </row>
    <row r="25" spans="1:5" x14ac:dyDescent="0.45">
      <c r="A25" t="s">
        <v>4121</v>
      </c>
      <c r="B25" s="608">
        <f>'GRC Intelligence Engine'!B206</f>
        <v>1.5</v>
      </c>
      <c r="C25" s="591">
        <f>'GRC Intelligence Engine'!C206</f>
        <v>3</v>
      </c>
      <c r="D25" t="s">
        <v>928</v>
      </c>
      <c r="E25" s="591" cm="1">
        <f t="array" ref="E25">LARGE(('Per-Regulator Summary'!D$2:D$108*3)+('Per-Regulator Summary'!G$2:G$108*5)+('Per-Regulator Summary'!F$2:F$108*1),8)</f>
        <v>50</v>
      </c>
    </row>
    <row r="26" spans="1:5" x14ac:dyDescent="0.45">
      <c r="A26" t="s">
        <v>4122</v>
      </c>
      <c r="B26" s="608">
        <f>'GRC Intelligence Engine'!B207</f>
        <v>2.5</v>
      </c>
      <c r="C26" s="591">
        <f>'GRC Intelligence Engine'!C207</f>
        <v>3</v>
      </c>
      <c r="D26" t="s">
        <v>1244</v>
      </c>
      <c r="E26" s="591" cm="1">
        <f t="array" ref="E26">LARGE(('Per-Regulator Summary'!D$2:D$108*3)+('Per-Regulator Summary'!G$2:G$108*5)+('Per-Regulator Summary'!F$2:F$108*1),9)</f>
        <v>50</v>
      </c>
    </row>
    <row r="27" spans="1:5" x14ac:dyDescent="0.45">
      <c r="D27" t="s">
        <v>1018</v>
      </c>
      <c r="E27" s="591" cm="1">
        <f t="array" ref="E27">LARGE(('Per-Regulator Summary'!D$2:D$108*3)+('Per-Regulator Summary'!G$2:G$108*5)+('Per-Regulator Summary'!F$2:F$108*1),10)</f>
        <v>50</v>
      </c>
    </row>
  </sheetData>
  <mergeCells count="2">
    <mergeCell ref="A1:G1"/>
    <mergeCell ref="A2:G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56C0-DBA7-43EF-A68E-383847CA178A}">
  <dimension ref="A1:L8"/>
  <sheetViews>
    <sheetView workbookViewId="0">
      <pane ySplit="4" topLeftCell="A5" activePane="bottomLeft" state="frozen"/>
      <selection pane="bottomLeft" activeCell="A5" sqref="A1:XFD1048576"/>
    </sheetView>
  </sheetViews>
  <sheetFormatPr defaultRowHeight="14.25" x14ac:dyDescent="0.45"/>
  <cols>
    <col min="1" max="1" width="8.9296875" bestFit="1" customWidth="1"/>
    <col min="2" max="2" width="13" bestFit="1" customWidth="1"/>
    <col min="3" max="3" width="14.59765625" bestFit="1" customWidth="1"/>
    <col min="4" max="4" width="19.1328125" bestFit="1" customWidth="1"/>
    <col min="5" max="5" width="92.06640625" bestFit="1" customWidth="1"/>
    <col min="6" max="6" width="10.86328125" bestFit="1" customWidth="1"/>
    <col min="7" max="7" width="19.9296875" bestFit="1" customWidth="1"/>
    <col min="8" max="8" width="11" bestFit="1" customWidth="1"/>
    <col min="9" max="9" width="18" bestFit="1" customWidth="1"/>
    <col min="10" max="10" width="81.265625" bestFit="1" customWidth="1"/>
    <col min="11" max="11" width="21.1328125" bestFit="1" customWidth="1"/>
    <col min="12" max="12" width="14.796875" bestFit="1" customWidth="1"/>
  </cols>
  <sheetData>
    <row r="1" spans="1:12" ht="21" x14ac:dyDescent="0.65">
      <c r="A1" s="628" t="s">
        <v>4125</v>
      </c>
      <c r="B1" s="628"/>
      <c r="C1" s="628"/>
      <c r="D1" s="628"/>
      <c r="E1" s="628"/>
      <c r="F1" s="628"/>
      <c r="G1" s="628"/>
      <c r="H1" s="628"/>
      <c r="I1" s="628"/>
      <c r="J1" s="628"/>
      <c r="K1" s="628"/>
      <c r="L1" s="628"/>
    </row>
    <row r="2" spans="1:12" x14ac:dyDescent="0.45">
      <c r="A2" s="629" t="s">
        <v>4126</v>
      </c>
      <c r="B2" s="629"/>
      <c r="C2" s="629"/>
      <c r="D2" s="629"/>
      <c r="E2" s="629"/>
      <c r="F2" s="629"/>
      <c r="G2" s="629"/>
      <c r="H2" s="629"/>
      <c r="I2" s="629"/>
      <c r="J2" s="629"/>
      <c r="K2" s="629"/>
      <c r="L2" s="629"/>
    </row>
    <row r="4" spans="1:12" x14ac:dyDescent="0.45">
      <c r="A4" s="626" t="s">
        <v>4127</v>
      </c>
      <c r="B4" s="626" t="s">
        <v>4128</v>
      </c>
      <c r="C4" s="625" t="s">
        <v>4</v>
      </c>
      <c r="D4" s="625" t="s">
        <v>4129</v>
      </c>
      <c r="E4" s="625" t="s">
        <v>2636</v>
      </c>
      <c r="F4" s="625" t="s">
        <v>4130</v>
      </c>
      <c r="G4" s="625" t="s">
        <v>4131</v>
      </c>
      <c r="H4" s="625" t="s">
        <v>4132</v>
      </c>
      <c r="I4" s="625" t="s">
        <v>4133</v>
      </c>
      <c r="J4" s="625" t="s">
        <v>4134</v>
      </c>
      <c r="K4" s="625" t="s">
        <v>4135</v>
      </c>
      <c r="L4" s="625" t="s">
        <v>4136</v>
      </c>
    </row>
    <row r="5" spans="1:12" x14ac:dyDescent="0.45">
      <c r="A5" t="s">
        <v>4137</v>
      </c>
      <c r="B5" s="627">
        <v>45566</v>
      </c>
      <c r="C5" t="s">
        <v>57</v>
      </c>
      <c r="D5" t="s">
        <v>4138</v>
      </c>
      <c r="E5" t="s">
        <v>4139</v>
      </c>
      <c r="F5" t="s">
        <v>4140</v>
      </c>
      <c r="G5" t="s">
        <v>57</v>
      </c>
      <c r="H5" t="s">
        <v>4141</v>
      </c>
      <c r="I5" s="627">
        <v>45931</v>
      </c>
      <c r="J5" t="s">
        <v>4142</v>
      </c>
      <c r="K5" t="s">
        <v>4143</v>
      </c>
      <c r="L5" t="s">
        <v>4144</v>
      </c>
    </row>
    <row r="6" spans="1:12" x14ac:dyDescent="0.45">
      <c r="A6" t="s">
        <v>4145</v>
      </c>
      <c r="B6" s="627">
        <v>45549</v>
      </c>
      <c r="C6" t="s">
        <v>461</v>
      </c>
      <c r="D6" t="s">
        <v>4138</v>
      </c>
      <c r="E6" t="s">
        <v>4146</v>
      </c>
      <c r="F6" t="s">
        <v>4147</v>
      </c>
      <c r="G6" t="s">
        <v>4148</v>
      </c>
      <c r="H6" t="s">
        <v>4141</v>
      </c>
      <c r="I6" s="627">
        <v>45730</v>
      </c>
      <c r="J6" t="s">
        <v>4149</v>
      </c>
      <c r="K6" t="s">
        <v>3569</v>
      </c>
      <c r="L6" t="s">
        <v>4144</v>
      </c>
    </row>
    <row r="7" spans="1:12" x14ac:dyDescent="0.45">
      <c r="A7" t="s">
        <v>4150</v>
      </c>
      <c r="B7" s="627">
        <v>45627</v>
      </c>
      <c r="C7" t="s">
        <v>333</v>
      </c>
      <c r="D7" t="s">
        <v>4151</v>
      </c>
      <c r="E7" t="s">
        <v>4152</v>
      </c>
      <c r="F7" t="s">
        <v>310</v>
      </c>
      <c r="G7" t="s">
        <v>333</v>
      </c>
      <c r="H7" t="s">
        <v>4141</v>
      </c>
      <c r="I7" s="627">
        <v>45658</v>
      </c>
      <c r="J7" t="s">
        <v>4153</v>
      </c>
      <c r="K7" t="s">
        <v>4154</v>
      </c>
      <c r="L7" t="s">
        <v>4155</v>
      </c>
    </row>
    <row r="8" spans="1:12" x14ac:dyDescent="0.45">
      <c r="A8" t="s">
        <v>4156</v>
      </c>
      <c r="B8" s="627">
        <v>45658</v>
      </c>
      <c r="C8" t="s">
        <v>4157</v>
      </c>
      <c r="D8" t="s">
        <v>4158</v>
      </c>
      <c r="E8" t="s">
        <v>4159</v>
      </c>
      <c r="F8" t="s">
        <v>148</v>
      </c>
      <c r="G8" t="s">
        <v>4160</v>
      </c>
      <c r="H8" t="s">
        <v>4161</v>
      </c>
      <c r="I8" t="s">
        <v>4162</v>
      </c>
      <c r="J8" t="s">
        <v>4163</v>
      </c>
      <c r="K8" t="s">
        <v>4164</v>
      </c>
      <c r="L8" t="s">
        <v>4165</v>
      </c>
    </row>
  </sheetData>
  <mergeCells count="2">
    <mergeCell ref="A1:L1"/>
    <mergeCell ref="A2:L2"/>
  </mergeCells>
  <dataValidations count="3">
    <dataValidation type="list" allowBlank="1" showInputMessage="1" showErrorMessage="1" sqref="D5:D200" xr:uid="{2C1DF682-D051-4221-AD9A-5AEDB2875F11}">
      <formula1>"🟢 NEW VERSION,🔵 NEW FRAMEWORK,🟠 EXPECTED UPDATE,🔴 WITHDRAWN,⚪ AMENDMENT,🟣 CONSULTATION"</formula1>
    </dataValidation>
    <dataValidation type="list" allowBlank="1" showInputMessage="1" showErrorMessage="1" sqref="H5:H200" xr:uid="{4741F398-CD9F-4F7D-9DD5-615D17D2EE1E}">
      <formula1>"🔴 CRITICAL,🟠 HIGH,🟡 MODERATE,🟢 LOW"</formula1>
    </dataValidation>
    <dataValidation type="list" allowBlank="1" showInputMessage="1" showErrorMessage="1" sqref="L5:L200" xr:uid="{DD22DA31-7C83-4CF0-B154-2A886ED1904C}">
      <formula1>"🟣 MONITORING,🟡 IN PROGRESS,✅ COMPLETED,🔴 OVERDUE,⏸ ON HOLD"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3D58-311C-4F2B-86C2-5ED17E8EB22F}">
  <dimension ref="A1:F18"/>
  <sheetViews>
    <sheetView topLeftCell="E1" workbookViewId="0">
      <pane ySplit="4" topLeftCell="A5" activePane="bottomLeft" state="frozen"/>
      <selection pane="bottomLeft" activeCell="E1" sqref="A1:XFD1048576"/>
    </sheetView>
  </sheetViews>
  <sheetFormatPr defaultRowHeight="14.25" x14ac:dyDescent="0.45"/>
  <cols>
    <col min="1" max="1" width="26.6640625" customWidth="1"/>
    <col min="2" max="2" width="21.33203125" customWidth="1"/>
    <col min="3" max="3" width="26.6640625" customWidth="1"/>
    <col min="4" max="5" width="62.19921875" customWidth="1"/>
    <col min="6" max="6" width="17.796875" customWidth="1"/>
  </cols>
  <sheetData>
    <row r="1" spans="1:6" ht="21" x14ac:dyDescent="0.65">
      <c r="A1" s="628" t="s">
        <v>4166</v>
      </c>
      <c r="B1" s="628"/>
      <c r="C1" s="628"/>
      <c r="D1" s="628"/>
      <c r="E1" s="628"/>
      <c r="F1" s="628"/>
    </row>
    <row r="2" spans="1:6" x14ac:dyDescent="0.45">
      <c r="A2" s="629" t="s">
        <v>4167</v>
      </c>
      <c r="B2" s="629"/>
      <c r="C2" s="629"/>
      <c r="D2" s="629"/>
      <c r="E2" s="629"/>
      <c r="F2" s="629"/>
    </row>
    <row r="4" spans="1:6" x14ac:dyDescent="0.45">
      <c r="A4" s="625" t="s">
        <v>4168</v>
      </c>
      <c r="B4" s="625" t="s">
        <v>4169</v>
      </c>
      <c r="C4" s="625" t="s">
        <v>4170</v>
      </c>
      <c r="D4" s="625" t="s">
        <v>4171</v>
      </c>
      <c r="E4" s="625" t="s">
        <v>4172</v>
      </c>
      <c r="F4" s="626" t="s">
        <v>4173</v>
      </c>
    </row>
    <row r="5" spans="1:6" x14ac:dyDescent="0.45">
      <c r="A5" t="s">
        <v>557</v>
      </c>
      <c r="B5" t="s">
        <v>4174</v>
      </c>
      <c r="C5" t="s">
        <v>2914</v>
      </c>
      <c r="D5" t="s">
        <v>4175</v>
      </c>
      <c r="E5" t="s">
        <v>4176</v>
      </c>
      <c r="F5" s="591" t="s">
        <v>4177</v>
      </c>
    </row>
    <row r="6" spans="1:6" x14ac:dyDescent="0.45">
      <c r="A6" t="s">
        <v>557</v>
      </c>
      <c r="B6" t="s">
        <v>4174</v>
      </c>
      <c r="C6" t="s">
        <v>2922</v>
      </c>
      <c r="D6" t="s">
        <v>4178</v>
      </c>
      <c r="E6" t="s">
        <v>4179</v>
      </c>
      <c r="F6" s="591" t="s">
        <v>4177</v>
      </c>
    </row>
    <row r="7" spans="1:6" x14ac:dyDescent="0.45">
      <c r="A7" t="s">
        <v>557</v>
      </c>
      <c r="B7" t="s">
        <v>4174</v>
      </c>
      <c r="C7" t="s">
        <v>2926</v>
      </c>
      <c r="D7" t="s">
        <v>4180</v>
      </c>
      <c r="E7" t="s">
        <v>4181</v>
      </c>
      <c r="F7" s="591" t="s">
        <v>4177</v>
      </c>
    </row>
    <row r="8" spans="1:6" x14ac:dyDescent="0.45">
      <c r="A8" t="s">
        <v>557</v>
      </c>
      <c r="B8" t="s">
        <v>4182</v>
      </c>
      <c r="C8" t="s">
        <v>1152</v>
      </c>
      <c r="D8" t="s">
        <v>4183</v>
      </c>
      <c r="E8" t="s">
        <v>4184</v>
      </c>
      <c r="F8" s="591" t="s">
        <v>4185</v>
      </c>
    </row>
    <row r="9" spans="1:6" x14ac:dyDescent="0.45">
      <c r="A9" t="s">
        <v>2926</v>
      </c>
      <c r="B9" t="s">
        <v>4182</v>
      </c>
      <c r="C9" t="s">
        <v>382</v>
      </c>
      <c r="D9" t="s">
        <v>4186</v>
      </c>
      <c r="E9" t="s">
        <v>4187</v>
      </c>
      <c r="F9" s="591" t="s">
        <v>4188</v>
      </c>
    </row>
    <row r="10" spans="1:6" x14ac:dyDescent="0.45">
      <c r="A10" t="s">
        <v>2914</v>
      </c>
      <c r="B10" t="s">
        <v>4182</v>
      </c>
      <c r="C10" t="s">
        <v>785</v>
      </c>
      <c r="D10" t="s">
        <v>4189</v>
      </c>
      <c r="E10" t="s">
        <v>4190</v>
      </c>
      <c r="F10" s="591" t="s">
        <v>4188</v>
      </c>
    </row>
    <row r="11" spans="1:6" x14ac:dyDescent="0.45">
      <c r="A11" t="s">
        <v>586</v>
      </c>
      <c r="B11" t="s">
        <v>4191</v>
      </c>
      <c r="C11" t="s">
        <v>1246</v>
      </c>
      <c r="D11" t="s">
        <v>4192</v>
      </c>
      <c r="E11" t="s">
        <v>4193</v>
      </c>
      <c r="F11" s="591" t="s">
        <v>4177</v>
      </c>
    </row>
    <row r="12" spans="1:6" x14ac:dyDescent="0.45">
      <c r="A12" t="s">
        <v>843</v>
      </c>
      <c r="B12" t="s">
        <v>4191</v>
      </c>
      <c r="C12" t="s">
        <v>785</v>
      </c>
      <c r="D12" t="s">
        <v>4194</v>
      </c>
      <c r="E12" t="s">
        <v>4195</v>
      </c>
      <c r="F12" s="591" t="s">
        <v>4177</v>
      </c>
    </row>
    <row r="13" spans="1:6" x14ac:dyDescent="0.45">
      <c r="A13" t="s">
        <v>382</v>
      </c>
      <c r="B13" t="s">
        <v>4174</v>
      </c>
      <c r="C13" t="s">
        <v>426</v>
      </c>
      <c r="D13" t="s">
        <v>4196</v>
      </c>
      <c r="E13" t="s">
        <v>4197</v>
      </c>
      <c r="F13" s="591" t="s">
        <v>4177</v>
      </c>
    </row>
    <row r="14" spans="1:6" x14ac:dyDescent="0.45">
      <c r="A14" t="s">
        <v>382</v>
      </c>
      <c r="B14" t="s">
        <v>4174</v>
      </c>
      <c r="C14" t="s">
        <v>461</v>
      </c>
      <c r="D14" t="s">
        <v>4198</v>
      </c>
      <c r="E14" t="s">
        <v>4199</v>
      </c>
      <c r="F14" s="591" t="s">
        <v>4177</v>
      </c>
    </row>
    <row r="15" spans="1:6" x14ac:dyDescent="0.45">
      <c r="A15" t="s">
        <v>2922</v>
      </c>
      <c r="B15" t="s">
        <v>4182</v>
      </c>
      <c r="C15" t="s">
        <v>1367</v>
      </c>
      <c r="D15" t="s">
        <v>4200</v>
      </c>
      <c r="E15" t="s">
        <v>4201</v>
      </c>
      <c r="F15" s="591" t="s">
        <v>4185</v>
      </c>
    </row>
    <row r="16" spans="1:6" x14ac:dyDescent="0.45">
      <c r="A16" t="s">
        <v>930</v>
      </c>
      <c r="B16" t="s">
        <v>4191</v>
      </c>
      <c r="C16" t="s">
        <v>557</v>
      </c>
      <c r="D16" t="s">
        <v>4202</v>
      </c>
      <c r="E16" t="s">
        <v>4203</v>
      </c>
      <c r="F16" s="591" t="s">
        <v>4177</v>
      </c>
    </row>
    <row r="17" spans="1:6" x14ac:dyDescent="0.45">
      <c r="A17" t="s">
        <v>333</v>
      </c>
      <c r="B17" t="s">
        <v>4204</v>
      </c>
      <c r="C17" t="s">
        <v>4205</v>
      </c>
      <c r="D17" t="s">
        <v>4206</v>
      </c>
      <c r="E17" t="s">
        <v>4207</v>
      </c>
      <c r="F17" s="591" t="s">
        <v>4188</v>
      </c>
    </row>
    <row r="18" spans="1:6" x14ac:dyDescent="0.45">
      <c r="A18" t="s">
        <v>1575</v>
      </c>
      <c r="B18" t="s">
        <v>4182</v>
      </c>
      <c r="C18" t="s">
        <v>557</v>
      </c>
      <c r="D18" t="s">
        <v>4208</v>
      </c>
      <c r="E18" t="s">
        <v>4209</v>
      </c>
      <c r="F18" s="591" t="s">
        <v>4185</v>
      </c>
    </row>
  </sheetData>
  <mergeCells count="2">
    <mergeCell ref="A1:F1"/>
    <mergeCell ref="A2:F2"/>
  </mergeCells>
  <dataValidations count="2">
    <dataValidation type="list" allowBlank="1" showInputMessage="1" showErrorMessage="1" sqref="B5:B100" xr:uid="{725CAA41-405C-4854-B2F1-A985668C4E67}">
      <formula1>"→ EXTENDS,→ DEPENDS ON,⚠️ OVERLAPS,→ ENFORCES,❌ CONFLICTS,→ REPLACES"</formula1>
    </dataValidation>
    <dataValidation type="list" allowBlank="1" showInputMessage="1" showErrorMessage="1" sqref="F5:F100" xr:uid="{CA0778E2-A3F1-43BF-B566-AD468C2220AC}">
      <formula1>"🔴 HIGH,🟠 MEDIUM,🟢 LOW"</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64B6-4C2A-422A-834B-0E9458291E91}">
  <dimension ref="A1:H37"/>
  <sheetViews>
    <sheetView workbookViewId="0">
      <pane ySplit="4" topLeftCell="A28" activePane="bottomLeft" state="frozen"/>
      <selection pane="bottomLeft" sqref="A1:H1"/>
    </sheetView>
  </sheetViews>
  <sheetFormatPr defaultRowHeight="14.25" x14ac:dyDescent="0.45"/>
  <cols>
    <col min="1" max="1" width="40.86328125" customWidth="1"/>
    <col min="2" max="2" width="26.6640625" customWidth="1"/>
    <col min="3" max="3" width="39.1328125" customWidth="1"/>
    <col min="4" max="4" width="26.6640625" customWidth="1"/>
    <col min="5" max="5" width="62.19921875" customWidth="1"/>
    <col min="6" max="6" width="14.19921875" customWidth="1"/>
    <col min="7" max="7" width="32" customWidth="1"/>
    <col min="8" max="8" width="14.19921875" customWidth="1"/>
  </cols>
  <sheetData>
    <row r="1" spans="1:8" ht="21" x14ac:dyDescent="0.65">
      <c r="A1" s="628" t="s">
        <v>4210</v>
      </c>
      <c r="B1" s="628"/>
      <c r="C1" s="628"/>
      <c r="D1" s="628"/>
      <c r="E1" s="628"/>
      <c r="F1" s="628"/>
      <c r="G1" s="628"/>
      <c r="H1" s="628"/>
    </row>
    <row r="2" spans="1:8" x14ac:dyDescent="0.45">
      <c r="A2" s="629" t="s">
        <v>4211</v>
      </c>
      <c r="B2" s="629"/>
      <c r="C2" s="629"/>
      <c r="D2" s="629"/>
      <c r="E2" s="629"/>
      <c r="F2" s="629"/>
      <c r="G2" s="629"/>
      <c r="H2" s="629"/>
    </row>
    <row r="4" spans="1:8" ht="15.75" x14ac:dyDescent="0.5">
      <c r="A4" s="633" t="s">
        <v>4212</v>
      </c>
      <c r="B4" s="633"/>
      <c r="C4" s="633"/>
      <c r="D4" s="633"/>
      <c r="E4" s="633"/>
      <c r="F4" s="633"/>
      <c r="G4" s="633"/>
      <c r="H4" s="633"/>
    </row>
    <row r="5" spans="1:8" ht="15.75" x14ac:dyDescent="0.5">
      <c r="A5" s="573" t="s">
        <v>4213</v>
      </c>
      <c r="B5" s="630" t="s">
        <v>571</v>
      </c>
    </row>
    <row r="7" spans="1:8" ht="15.75" x14ac:dyDescent="0.5">
      <c r="A7" s="573" t="s">
        <v>4214</v>
      </c>
      <c r="B7" s="630" t="s">
        <v>4215</v>
      </c>
    </row>
    <row r="9" spans="1:8" ht="15.75" x14ac:dyDescent="0.5">
      <c r="A9" s="573" t="s">
        <v>4216</v>
      </c>
      <c r="B9" s="630" t="s">
        <v>4217</v>
      </c>
    </row>
    <row r="11" spans="1:8" ht="15.75" x14ac:dyDescent="0.5">
      <c r="A11" s="573" t="s">
        <v>4218</v>
      </c>
      <c r="B11" s="630" t="s">
        <v>4217</v>
      </c>
    </row>
    <row r="13" spans="1:8" ht="15.75" x14ac:dyDescent="0.5">
      <c r="A13" s="573" t="s">
        <v>4219</v>
      </c>
      <c r="B13" s="630" t="s">
        <v>4217</v>
      </c>
    </row>
    <row r="15" spans="1:8" ht="15.75" x14ac:dyDescent="0.5">
      <c r="A15" s="573" t="s">
        <v>4220</v>
      </c>
      <c r="B15" s="630" t="s">
        <v>4217</v>
      </c>
    </row>
    <row r="18" spans="1:8" ht="15.75" x14ac:dyDescent="0.5">
      <c r="A18" s="633" t="s">
        <v>4221</v>
      </c>
      <c r="B18" s="633"/>
      <c r="C18" s="633"/>
      <c r="D18" s="633"/>
      <c r="E18" s="633"/>
      <c r="F18" s="633"/>
      <c r="G18" s="633"/>
      <c r="H18" s="633"/>
    </row>
    <row r="19" spans="1:8" x14ac:dyDescent="0.45">
      <c r="A19" s="600" t="s">
        <v>0</v>
      </c>
      <c r="B19" s="595" t="s">
        <v>4</v>
      </c>
      <c r="C19" s="595" t="s">
        <v>2472</v>
      </c>
      <c r="D19" s="600" t="s">
        <v>2477</v>
      </c>
      <c r="E19" s="595" t="s">
        <v>4222</v>
      </c>
      <c r="F19" s="600" t="s">
        <v>9</v>
      </c>
      <c r="G19" s="595" t="s">
        <v>26</v>
      </c>
      <c r="H19" s="600" t="s">
        <v>2476</v>
      </c>
    </row>
    <row r="20" spans="1:8" x14ac:dyDescent="0.45">
      <c r="A20" s="591">
        <v>1</v>
      </c>
      <c r="B20" t="s">
        <v>557</v>
      </c>
      <c r="C20" t="s">
        <v>58</v>
      </c>
      <c r="D20" t="s">
        <v>4223</v>
      </c>
      <c r="E20" t="s">
        <v>4224</v>
      </c>
      <c r="F20">
        <v>108</v>
      </c>
      <c r="G20" t="s">
        <v>4225</v>
      </c>
      <c r="H20" s="591" t="s">
        <v>4226</v>
      </c>
    </row>
    <row r="21" spans="1:8" x14ac:dyDescent="0.45">
      <c r="A21" s="591">
        <v>2</v>
      </c>
      <c r="B21" t="s">
        <v>382</v>
      </c>
      <c r="C21" t="str">
        <f>IF(B11="Yes","Personal Data Protection Law","— N/A (no personal data)")</f>
        <v>Personal Data Protection Law</v>
      </c>
      <c r="D21" t="str">
        <f>IF(B11="Yes","🔴 MANDATORY","—")</f>
        <v>🔴 MANDATORY</v>
      </c>
      <c r="E21" t="str">
        <f>IF(B11="Yes","All entities processing personal data of KSA residents","Not applicable — no personal data processing")</f>
        <v>All entities processing personal data of KSA residents</v>
      </c>
      <c r="F21" t="str">
        <f>IF(B11="Yes","45","—")</f>
        <v>45</v>
      </c>
      <c r="G21" t="str">
        <f>IF(B11="Yes","Annual + breach-triggered","—")</f>
        <v>Annual + breach-triggered</v>
      </c>
      <c r="H21" s="591" t="str">
        <f>IF(B11="Yes","🔴 P1","—")</f>
        <v>🔴 P1</v>
      </c>
    </row>
    <row r="22" spans="1:8" x14ac:dyDescent="0.45">
      <c r="A22" s="591">
        <v>3</v>
      </c>
      <c r="B22" t="s">
        <v>2914</v>
      </c>
      <c r="C22" t="str">
        <f>IF(AND(B9="Yes",B15="Yes"),"OT Cybersecurity Controls","— N/A (no OT/CNI)")</f>
        <v>OT Cybersecurity Controls</v>
      </c>
      <c r="D22" t="str">
        <f>IF(AND(B9="Yes",B15="Yes"),"🔴 MANDATORY","—")</f>
        <v>🔴 MANDATORY</v>
      </c>
      <c r="E22" t="str">
        <f>IF(AND(B9="Yes",B15="Yes"),"CNI entities with OT/ICS/medical device networks","Not applicable")</f>
        <v>CNI entities with OT/ICS/medical device networks</v>
      </c>
      <c r="F22" t="str">
        <f>IF(AND(B9="Yes",B15="Yes"),"53","—")</f>
        <v>53</v>
      </c>
      <c r="G22" t="str">
        <f>IF(AND(B9="Yes",B15="Yes"),"Biennial NCA + annual internal","—")</f>
        <v>Biennial NCA + annual internal</v>
      </c>
      <c r="H22" s="591" t="str">
        <f>IF(AND(B9="Yes",B15="Yes"),"🔴 P1","—")</f>
        <v>🔴 P1</v>
      </c>
    </row>
    <row r="23" spans="1:8" x14ac:dyDescent="0.45">
      <c r="A23" s="591">
        <v>4</v>
      </c>
      <c r="B23" t="s">
        <v>2922</v>
      </c>
      <c r="C23" t="str">
        <f>IF(B13="Yes","Cloud Cybersecurity Controls","— N/A (no cloud)")</f>
        <v>Cloud Cybersecurity Controls</v>
      </c>
      <c r="D23" t="str">
        <f>IF(B13="Yes","🔴 MANDATORY","—")</f>
        <v>🔴 MANDATORY</v>
      </c>
      <c r="E23" t="str">
        <f>IF(B13="Yes","All ECC-scope entities using cloud services","Not applicable")</f>
        <v>All ECC-scope entities using cloud services</v>
      </c>
      <c r="F23" t="str">
        <f>IF(B13="Yes","67","—")</f>
        <v>67</v>
      </c>
      <c r="G23" t="str">
        <f>IF(B13="Yes","Annual CSP + biennial external","—")</f>
        <v>Annual CSP + biennial external</v>
      </c>
      <c r="H23" s="591" t="str">
        <f>IF(B13="Yes","🟠 P2","—")</f>
        <v>🟠 P2</v>
      </c>
    </row>
    <row r="24" spans="1:8" x14ac:dyDescent="0.45">
      <c r="A24" s="591">
        <v>5</v>
      </c>
      <c r="B24" t="s">
        <v>2926</v>
      </c>
      <c r="C24" t="s">
        <v>192</v>
      </c>
      <c r="D24" t="s">
        <v>4223</v>
      </c>
      <c r="E24" t="s">
        <v>4227</v>
      </c>
      <c r="F24">
        <v>40</v>
      </c>
      <c r="G24" t="s">
        <v>4228</v>
      </c>
      <c r="H24" s="591" t="s">
        <v>4229</v>
      </c>
    </row>
    <row r="25" spans="1:8" x14ac:dyDescent="0.45">
      <c r="A25" s="591">
        <v>6</v>
      </c>
      <c r="B25" t="s">
        <v>4230</v>
      </c>
      <c r="C25" t="str">
        <f>IF(B9="Yes","Critical Systems Cybersecurity Controls","— N/A (not CNI)")</f>
        <v>Critical Systems Cybersecurity Controls</v>
      </c>
      <c r="D25" t="str">
        <f>IF(B9="Yes","🔴 MANDATORY","—")</f>
        <v>🔴 MANDATORY</v>
      </c>
      <c r="E25" t="str">
        <f>IF(B9="Yes","CNI entities with critical national systems (hospitals qualify)","Not applicable")</f>
        <v>CNI entities with critical national systems (hospitals qualify)</v>
      </c>
      <c r="F25" t="str">
        <f>IF(B9="Yes","35","—")</f>
        <v>35</v>
      </c>
      <c r="G25" t="str">
        <f>IF(B9="Yes","Annual + biennial NCA","—")</f>
        <v>Annual + biennial NCA</v>
      </c>
      <c r="H25" s="591" t="str">
        <f>IF(B9="Yes","🟠 P2","—")</f>
        <v>🟠 P2</v>
      </c>
    </row>
    <row r="26" spans="1:8" x14ac:dyDescent="0.45">
      <c r="A26" s="591">
        <v>7</v>
      </c>
      <c r="B26" t="s">
        <v>785</v>
      </c>
      <c r="C26" t="str">
        <f>IF(OR(B7="Hospital",B7="Medical Device Manufacturer",B15="Yes"),"Medical Device Regulations","— N/A")</f>
        <v>Medical Device Regulations</v>
      </c>
      <c r="D26" t="str">
        <f>IF(OR(B7="Hospital",B7="Medical Device Manufacturer",B15="Yes"),"🔴 MANDATORY","—")</f>
        <v>🔴 MANDATORY</v>
      </c>
      <c r="E26" t="str">
        <f>IF(OR(B7="Hospital",B7="Medical Device Manufacturer",B15="Yes"),"All medical device manufacturers, importers, distributors, healthcare facilities","Not applicable")</f>
        <v>All medical device manufacturers, importers, distributors, healthcare facilities</v>
      </c>
      <c r="F26" t="str">
        <f>IF(OR(B7="Hospital",B7="Medical Device Manufacturer",B15="Yes"),"N/A","—")</f>
        <v>N/A</v>
      </c>
      <c r="G26" t="str">
        <f>IF(OR(B7="Hospital",B7="Medical Device Manufacturer",B15="Yes"),"Continuous + SFDA inspection","—")</f>
        <v>Continuous + SFDA inspection</v>
      </c>
      <c r="H26" s="591" t="str">
        <f>IF(OR(B7="Hospital",B7="Medical Device Manufacturer",B15="Yes"),"🔴 P1","—")</f>
        <v>🔴 P1</v>
      </c>
    </row>
    <row r="27" spans="1:8" x14ac:dyDescent="0.45">
      <c r="A27" s="591">
        <v>8</v>
      </c>
      <c r="B27" t="s">
        <v>586</v>
      </c>
      <c r="C27" t="str">
        <f>IF(OR(B5="2. Healthcare &amp; Life Sciences",B5="17. Regional Health Clusters"),"Health Information System Standards","— N/A")</f>
        <v>Health Information System Standards</v>
      </c>
      <c r="D27" t="str">
        <f>IF(OR(B5="2. Healthcare &amp; Life Sciences",B5="17. Regional Health Clusters"),"🔴 MANDATORY","—")</f>
        <v>🔴 MANDATORY</v>
      </c>
      <c r="E27" t="str">
        <f>IF(OR(B5="2. Healthcare &amp; Life Sciences",B5="17. Regional Health Clusters"),"All healthcare facilities under MOH supervision","Not applicable")</f>
        <v>All healthcare facilities under MOH supervision</v>
      </c>
      <c r="F27" t="s">
        <v>310</v>
      </c>
      <c r="G27" t="str">
        <f>IF(OR(B5="2. Healthcare &amp; Life Sciences",B5="17. Regional Health Clusters"),"Annual audit","—")</f>
        <v>Annual audit</v>
      </c>
      <c r="H27" s="591" t="str">
        <f>IF(OR(B5="2. Healthcare &amp; Life Sciences",B5="17. Regional Health Clusters"),"🔴 P1","—")</f>
        <v>🔴 P1</v>
      </c>
    </row>
    <row r="28" spans="1:8" x14ac:dyDescent="0.45">
      <c r="A28" s="591">
        <v>9</v>
      </c>
      <c r="B28" t="s">
        <v>930</v>
      </c>
      <c r="C28" t="str">
        <f>IF(B7="Hospital","Hospital Accreditation Standards 5th Ed","— N/A")</f>
        <v>Hospital Accreditation Standards 5th Ed</v>
      </c>
      <c r="D28" t="str">
        <f>IF(B7="Hospital","🟢 VOLUNTARY (recommended)","—")</f>
        <v>🟢 VOLUNTARY (recommended)</v>
      </c>
      <c r="E28" t="str">
        <f>IF(B7="Hospital","Hospitals seeking CBAHI accreditation (strongly recommended)","Not applicable")</f>
        <v>Hospitals seeking CBAHI accreditation (strongly recommended)</v>
      </c>
      <c r="F28" t="s">
        <v>310</v>
      </c>
      <c r="G28" t="str">
        <f>IF(B7="Hospital","Every 3 years","—")</f>
        <v>Every 3 years</v>
      </c>
      <c r="H28" s="591" t="str">
        <f>IF(B7="Hospital","🟡 P3","—")</f>
        <v>🟡 P3</v>
      </c>
    </row>
    <row r="29" spans="1:8" x14ac:dyDescent="0.45">
      <c r="A29" s="591">
        <v>10</v>
      </c>
      <c r="B29" t="s">
        <v>426</v>
      </c>
      <c r="C29" t="str">
        <f>IF(B11="Yes","PDPL Implementing Regulations","— N/A")</f>
        <v>PDPL Implementing Regulations</v>
      </c>
      <c r="D29" t="str">
        <f>IF(B11="Yes","🔴 MANDATORY","—")</f>
        <v>🔴 MANDATORY</v>
      </c>
      <c r="E29" t="str">
        <f>IF(B11="Yes","Detailed requirements for PDPL compliance","Not applicable")</f>
        <v>Detailed requirements for PDPL compliance</v>
      </c>
      <c r="F29" t="str">
        <f>IF(B11="Yes","89","—")</f>
        <v>89</v>
      </c>
      <c r="G29" t="str">
        <f>IF(B11="Yes","Continuous","—")</f>
        <v>Continuous</v>
      </c>
      <c r="H29" s="591" t="str">
        <f>IF(B11="Yes","🔴 P1","—")</f>
        <v>🔴 P1</v>
      </c>
    </row>
    <row r="30" spans="1:8" x14ac:dyDescent="0.45">
      <c r="A30" s="591">
        <v>11</v>
      </c>
      <c r="B30" t="s">
        <v>333</v>
      </c>
      <c r="C30" t="s">
        <v>2919</v>
      </c>
      <c r="D30" t="s">
        <v>4223</v>
      </c>
      <c r="E30" t="s">
        <v>4231</v>
      </c>
      <c r="F30" t="s">
        <v>310</v>
      </c>
      <c r="G30" t="s">
        <v>4232</v>
      </c>
      <c r="H30" s="591" t="s">
        <v>4226</v>
      </c>
    </row>
    <row r="31" spans="1:8" x14ac:dyDescent="0.45">
      <c r="A31" s="591">
        <v>12</v>
      </c>
      <c r="B31" t="s">
        <v>1246</v>
      </c>
      <c r="C31" t="str">
        <f>IF(OR(B5="2. Healthcare &amp; Life Sciences",B5="17. Regional Health Clusters"),"NABIDH Health Data Exchange","— N/A")</f>
        <v>NABIDH Health Data Exchange</v>
      </c>
      <c r="D31" t="str">
        <f>IF(OR(B5="2. Healthcare &amp; Life Sciences",B5="17. Regional Health Clusters"),"🔴 MANDATORY","—")</f>
        <v>🔴 MANDATORY</v>
      </c>
      <c r="E31" t="str">
        <f>IF(OR(B5="2. Healthcare &amp; Life Sciences",B5="17. Regional Health Clusters"),"All healthcare facilities must connect to national NABIDH platform","Not applicable")</f>
        <v>All healthcare facilities must connect to national NABIDH platform</v>
      </c>
      <c r="F31" t="s">
        <v>310</v>
      </c>
      <c r="G31" t="str">
        <f>IF(OR(B5="2. Healthcare &amp; Life Sciences",B5="17. Regional Health Clusters"),"Continuous","—")</f>
        <v>Continuous</v>
      </c>
      <c r="H31" s="591" t="str">
        <f>IF(OR(B5="2. Healthcare &amp; Life Sciences",B5="17. Regional Health Clusters"),"🟠 P2","—")</f>
        <v>🟠 P2</v>
      </c>
    </row>
    <row r="33" spans="1:8" ht="15.75" x14ac:dyDescent="0.5">
      <c r="A33" s="633" t="s">
        <v>4233</v>
      </c>
      <c r="B33" s="633"/>
      <c r="C33" s="633"/>
      <c r="D33" s="633"/>
      <c r="E33" s="633"/>
      <c r="F33" s="633"/>
      <c r="G33" s="633"/>
      <c r="H33" s="633"/>
    </row>
    <row r="34" spans="1:8" ht="21" x14ac:dyDescent="0.65">
      <c r="A34" s="592" t="s">
        <v>4234</v>
      </c>
      <c r="B34" s="631">
        <f>COUNTIF(D20:D31,"*MANDATORY*")+COUNTIF(D20:D31,"*VOLUNTARY*")</f>
        <v>12</v>
      </c>
    </row>
    <row r="35" spans="1:8" ht="21" x14ac:dyDescent="0.65">
      <c r="A35" s="592" t="s">
        <v>4235</v>
      </c>
      <c r="B35" s="631">
        <f>COUNTIF(D20:D31,"*MANDATORY*")</f>
        <v>11</v>
      </c>
    </row>
    <row r="36" spans="1:8" ht="21" x14ac:dyDescent="0.65">
      <c r="A36" s="592" t="s">
        <v>4236</v>
      </c>
      <c r="B36" s="631">
        <f>COUNTIF(H20:H31,"*P1*")</f>
        <v>7</v>
      </c>
    </row>
    <row r="37" spans="1:8" ht="21" x14ac:dyDescent="0.65">
      <c r="A37" s="592" t="s">
        <v>4237</v>
      </c>
      <c r="B37" s="632" cm="1">
        <f t="array" ref="B37">SUMPRODUCT((ISNUMBER(VALUE(F20:F31)))*(VALUE(IF(ISNUMBER(VALUE(F20:F31)),F20:F31,"0"))))</f>
        <v>437</v>
      </c>
    </row>
  </sheetData>
  <mergeCells count="5">
    <mergeCell ref="A1:H1"/>
    <mergeCell ref="A2:H2"/>
    <mergeCell ref="A4:H4"/>
    <mergeCell ref="A18:H18"/>
    <mergeCell ref="A33:H33"/>
  </mergeCells>
  <dataValidations count="3">
    <dataValidation type="list" allowBlank="1" showInputMessage="1" showErrorMessage="1" sqref="B5" xr:uid="{60E1C671-445C-4BA8-BD09-AF4B32297306}">
      <formula1>_xlfn._LONGTEXT("1. Ministries,2. Healthcare &amp; Life Sciences,3. Cybersecurity &amp; Data,4. ICT / Digital / Telecom,5. Financial Regulators,6. Tax / Customs / Trade,7. Standards &amp; Quality,8. Energy &amp; Utilities,9. Environment,10. Transport &amp; Logistics,11. Industry &amp; Trade,12. ","Education &amp; Research,13. Legal &amp; Judicial,14. Labour &amp; Occ. Health,15. Special Zones &amp; Giga,16. Councils &amp; Supreme Committees,17. Regional Health Clusters")</formula1>
    </dataValidation>
    <dataValidation type="list" allowBlank="1" showInputMessage="1" showErrorMessage="1" sqref="B7" xr:uid="{4A2518FC-D0EE-47AF-8EC0-69B366E8E3CE}">
      <formula1>"Hospital,Clinic,Laboratory,Medical Device Manufacturer,Health IT Vendor,Health Insurer,Pharmacy,Government Health Entity,University Hospital,Private Provider,Research Institution,Telehealth Provider"</formula1>
    </dataValidation>
    <dataValidation type="list" allowBlank="1" showInputMessage="1" showErrorMessage="1" sqref="B9 B11 B13 B15" xr:uid="{1189D00E-0F36-4309-A83C-2C7101FBC753}">
      <formula1>"Yes,No"</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6A0BC-9A83-45CA-9503-37E61F423CCC}">
  <dimension ref="A1:H46"/>
  <sheetViews>
    <sheetView workbookViewId="0">
      <pane ySplit="3" topLeftCell="A4" activePane="bottomLeft" state="frozen"/>
      <selection pane="bottomLeft" sqref="A1:H1"/>
    </sheetView>
  </sheetViews>
  <sheetFormatPr defaultRowHeight="14.25" x14ac:dyDescent="0.45"/>
  <cols>
    <col min="1" max="1" width="44.46484375" customWidth="1"/>
    <col min="2" max="2" width="32" customWidth="1"/>
    <col min="3" max="3" width="44.46484375" customWidth="1"/>
    <col min="4" max="5" width="53.33203125" customWidth="1"/>
    <col min="6" max="6" width="14.19921875" customWidth="1"/>
    <col min="7" max="8" width="26.6640625" customWidth="1"/>
  </cols>
  <sheetData>
    <row r="1" spans="1:8" ht="23.25" x14ac:dyDescent="0.7">
      <c r="A1" s="645" t="s">
        <v>4316</v>
      </c>
      <c r="B1" s="645"/>
      <c r="C1" s="645"/>
      <c r="D1" s="645"/>
      <c r="E1" s="645"/>
      <c r="F1" s="645"/>
      <c r="G1" s="645"/>
      <c r="H1" s="645"/>
    </row>
    <row r="2" spans="1:8" x14ac:dyDescent="0.45">
      <c r="A2" s="624" t="s">
        <v>4317</v>
      </c>
      <c r="B2" s="624"/>
      <c r="C2" s="624"/>
      <c r="D2" s="624"/>
      <c r="E2" s="624"/>
      <c r="F2" s="624"/>
      <c r="G2" s="624"/>
      <c r="H2" s="624"/>
    </row>
    <row r="4" spans="1:8" ht="15.75" x14ac:dyDescent="0.5">
      <c r="A4" s="614" t="s">
        <v>4318</v>
      </c>
      <c r="B4" s="614"/>
      <c r="C4" s="614"/>
      <c r="D4" s="614"/>
      <c r="E4" s="614"/>
      <c r="F4" s="614"/>
      <c r="G4" s="614"/>
      <c r="H4" s="614"/>
    </row>
    <row r="5" spans="1:8" x14ac:dyDescent="0.45">
      <c r="A5" s="574" t="s">
        <v>4319</v>
      </c>
      <c r="B5" s="575" t="s">
        <v>4320</v>
      </c>
      <c r="C5" s="575" t="s">
        <v>4321</v>
      </c>
      <c r="D5" s="575" t="s">
        <v>4322</v>
      </c>
      <c r="E5" s="575" t="s">
        <v>4323</v>
      </c>
      <c r="F5" s="575" t="s">
        <v>4324</v>
      </c>
      <c r="G5" s="575" t="s">
        <v>4325</v>
      </c>
      <c r="H5" s="575" t="s">
        <v>4326</v>
      </c>
    </row>
    <row r="6" spans="1:8" x14ac:dyDescent="0.45">
      <c r="A6" t="s">
        <v>4327</v>
      </c>
      <c r="B6" t="s">
        <v>4328</v>
      </c>
      <c r="C6" t="s">
        <v>4329</v>
      </c>
      <c r="D6" t="s">
        <v>4330</v>
      </c>
      <c r="E6" t="s">
        <v>4331</v>
      </c>
      <c r="F6" t="s">
        <v>4332</v>
      </c>
      <c r="G6" t="s">
        <v>4333</v>
      </c>
      <c r="H6" t="s">
        <v>4334</v>
      </c>
    </row>
    <row r="7" spans="1:8" x14ac:dyDescent="0.45">
      <c r="A7" t="s">
        <v>4335</v>
      </c>
      <c r="B7" t="s">
        <v>4336</v>
      </c>
      <c r="C7" t="s">
        <v>4337</v>
      </c>
      <c r="D7" t="s">
        <v>4338</v>
      </c>
      <c r="E7" t="s">
        <v>4339</v>
      </c>
      <c r="F7" t="s">
        <v>4340</v>
      </c>
      <c r="G7" t="s">
        <v>4341</v>
      </c>
      <c r="H7" t="s">
        <v>4342</v>
      </c>
    </row>
    <row r="8" spans="1:8" x14ac:dyDescent="0.45">
      <c r="A8" t="s">
        <v>4343</v>
      </c>
      <c r="B8" t="s">
        <v>4344</v>
      </c>
      <c r="C8" t="s">
        <v>4345</v>
      </c>
      <c r="D8" t="s">
        <v>4346</v>
      </c>
      <c r="E8" t="s">
        <v>4347</v>
      </c>
      <c r="F8" t="s">
        <v>4348</v>
      </c>
      <c r="G8" t="s">
        <v>4349</v>
      </c>
      <c r="H8" t="s">
        <v>4350</v>
      </c>
    </row>
    <row r="9" spans="1:8" x14ac:dyDescent="0.45">
      <c r="A9" t="s">
        <v>4351</v>
      </c>
      <c r="B9" t="s">
        <v>4352</v>
      </c>
      <c r="C9" t="s">
        <v>4353</v>
      </c>
      <c r="D9" t="s">
        <v>4354</v>
      </c>
      <c r="E9" t="s">
        <v>4355</v>
      </c>
      <c r="F9" t="s">
        <v>4356</v>
      </c>
      <c r="G9" t="s">
        <v>4357</v>
      </c>
      <c r="H9" t="s">
        <v>4358</v>
      </c>
    </row>
    <row r="10" spans="1:8" x14ac:dyDescent="0.45">
      <c r="A10" t="s">
        <v>4359</v>
      </c>
      <c r="B10" t="s">
        <v>4360</v>
      </c>
      <c r="C10" t="s">
        <v>4361</v>
      </c>
      <c r="D10" t="s">
        <v>4362</v>
      </c>
      <c r="E10" t="s">
        <v>4363</v>
      </c>
      <c r="F10" t="s">
        <v>4364</v>
      </c>
      <c r="G10" t="s">
        <v>4365</v>
      </c>
      <c r="H10" t="s">
        <v>4366</v>
      </c>
    </row>
    <row r="11" spans="1:8" x14ac:dyDescent="0.45">
      <c r="A11" t="s">
        <v>4367</v>
      </c>
      <c r="B11" t="s">
        <v>4368</v>
      </c>
      <c r="C11" t="s">
        <v>4369</v>
      </c>
      <c r="D11" t="s">
        <v>4370</v>
      </c>
      <c r="E11" t="s">
        <v>4371</v>
      </c>
      <c r="F11" t="s">
        <v>4372</v>
      </c>
      <c r="G11" t="s">
        <v>4373</v>
      </c>
      <c r="H11" t="s">
        <v>4374</v>
      </c>
    </row>
    <row r="12" spans="1:8" x14ac:dyDescent="0.45">
      <c r="A12" t="s">
        <v>4375</v>
      </c>
      <c r="B12" t="s">
        <v>4376</v>
      </c>
      <c r="C12" t="s">
        <v>4377</v>
      </c>
      <c r="D12" t="s">
        <v>4378</v>
      </c>
      <c r="E12" t="s">
        <v>4379</v>
      </c>
      <c r="F12" t="s">
        <v>4380</v>
      </c>
      <c r="G12" t="s">
        <v>4381</v>
      </c>
      <c r="H12" t="s">
        <v>4382</v>
      </c>
    </row>
    <row r="13" spans="1:8" x14ac:dyDescent="0.45">
      <c r="A13" t="s">
        <v>4383</v>
      </c>
      <c r="B13" t="s">
        <v>4384</v>
      </c>
      <c r="C13" t="s">
        <v>4385</v>
      </c>
      <c r="D13" t="s">
        <v>4386</v>
      </c>
      <c r="E13" t="s">
        <v>4387</v>
      </c>
      <c r="F13" t="s">
        <v>4388</v>
      </c>
      <c r="G13" t="s">
        <v>4389</v>
      </c>
      <c r="H13" t="s">
        <v>4390</v>
      </c>
    </row>
    <row r="14" spans="1:8" ht="18" x14ac:dyDescent="0.55000000000000004">
      <c r="A14" t="s">
        <v>4391</v>
      </c>
      <c r="B14" s="582">
        <f>'GRC Intelligence Engine'!B7</f>
        <v>107</v>
      </c>
      <c r="C14" s="591" t="s">
        <v>4392</v>
      </c>
      <c r="D14" s="591" t="s">
        <v>4393</v>
      </c>
      <c r="E14" s="591" t="s">
        <v>4394</v>
      </c>
      <c r="F14" s="591" t="s">
        <v>4395</v>
      </c>
      <c r="G14" s="591" t="s">
        <v>4396</v>
      </c>
      <c r="H14" s="591" t="s">
        <v>4394</v>
      </c>
    </row>
    <row r="16" spans="1:8" ht="15.75" x14ac:dyDescent="0.5">
      <c r="A16" s="614" t="s">
        <v>4397</v>
      </c>
      <c r="B16" s="614"/>
      <c r="C16" s="614"/>
      <c r="D16" s="614"/>
      <c r="E16" s="614"/>
      <c r="F16" s="614"/>
    </row>
    <row r="17" spans="1:6" x14ac:dyDescent="0.45">
      <c r="A17" s="595" t="s">
        <v>4078</v>
      </c>
      <c r="B17" s="600" t="s">
        <v>4398</v>
      </c>
      <c r="C17" s="600" t="s">
        <v>4399</v>
      </c>
      <c r="D17" s="600" t="s">
        <v>4400</v>
      </c>
      <c r="E17" s="600" t="s">
        <v>4401</v>
      </c>
      <c r="F17" s="600" t="s">
        <v>4402</v>
      </c>
    </row>
    <row r="18" spans="1:6" x14ac:dyDescent="0.45">
      <c r="A18" t="s">
        <v>4403</v>
      </c>
      <c r="B18" s="637">
        <v>4.5</v>
      </c>
      <c r="C18" s="608">
        <v>3.5</v>
      </c>
      <c r="D18" s="608">
        <v>4.5</v>
      </c>
      <c r="E18" s="608">
        <f>D18-B18</f>
        <v>0</v>
      </c>
      <c r="F18" t="s">
        <v>4404</v>
      </c>
    </row>
    <row r="19" spans="1:6" x14ac:dyDescent="0.45">
      <c r="A19" t="s">
        <v>4405</v>
      </c>
      <c r="B19" s="608">
        <v>2.5</v>
      </c>
      <c r="C19" s="608">
        <v>3.5</v>
      </c>
      <c r="D19" s="608">
        <v>5</v>
      </c>
      <c r="E19" s="608">
        <f>D19-B19</f>
        <v>2.5</v>
      </c>
      <c r="F19" t="s">
        <v>4406</v>
      </c>
    </row>
    <row r="20" spans="1:6" x14ac:dyDescent="0.45">
      <c r="A20" t="s">
        <v>4407</v>
      </c>
      <c r="B20" s="637">
        <v>4</v>
      </c>
      <c r="C20" s="608">
        <v>3</v>
      </c>
      <c r="D20" s="608">
        <v>4.5</v>
      </c>
      <c r="E20" s="608">
        <f>D20-B20</f>
        <v>0.5</v>
      </c>
      <c r="F20" t="s">
        <v>4408</v>
      </c>
    </row>
    <row r="21" spans="1:6" x14ac:dyDescent="0.45">
      <c r="A21" t="s">
        <v>4409</v>
      </c>
      <c r="B21" s="608">
        <v>3.5</v>
      </c>
      <c r="C21" s="608">
        <v>3.5</v>
      </c>
      <c r="D21" s="608">
        <v>4.5</v>
      </c>
      <c r="E21" s="608">
        <f>D21-B21</f>
        <v>1</v>
      </c>
      <c r="F21" t="s">
        <v>4410</v>
      </c>
    </row>
    <row r="22" spans="1:6" x14ac:dyDescent="0.45">
      <c r="A22" t="s">
        <v>4411</v>
      </c>
      <c r="B22" s="608">
        <v>2</v>
      </c>
      <c r="C22" s="608">
        <v>2.5</v>
      </c>
      <c r="D22" s="608">
        <v>4</v>
      </c>
      <c r="E22" s="608">
        <f>D22-B22</f>
        <v>2</v>
      </c>
      <c r="F22" t="s">
        <v>4412</v>
      </c>
    </row>
    <row r="23" spans="1:6" x14ac:dyDescent="0.45">
      <c r="A23" t="s">
        <v>4367</v>
      </c>
      <c r="B23" s="608">
        <v>3.5</v>
      </c>
      <c r="C23" s="608">
        <v>3.5</v>
      </c>
      <c r="D23" s="608">
        <v>5</v>
      </c>
      <c r="E23" s="608">
        <f>D23-B23</f>
        <v>1.5</v>
      </c>
      <c r="F23" t="s">
        <v>4413</v>
      </c>
    </row>
    <row r="24" spans="1:6" ht="18" x14ac:dyDescent="0.55000000000000004">
      <c r="A24" t="s">
        <v>4414</v>
      </c>
      <c r="B24" s="638">
        <v>5</v>
      </c>
      <c r="C24" s="608">
        <v>3</v>
      </c>
      <c r="D24" s="608">
        <v>4</v>
      </c>
      <c r="E24" s="608">
        <f>D24-B24</f>
        <v>-1</v>
      </c>
      <c r="F24" t="s">
        <v>4415</v>
      </c>
    </row>
    <row r="25" spans="1:6" x14ac:dyDescent="0.45">
      <c r="A25" t="s">
        <v>4416</v>
      </c>
      <c r="B25" s="608">
        <v>3</v>
      </c>
      <c r="C25" s="608">
        <v>3</v>
      </c>
      <c r="D25" s="608">
        <v>4</v>
      </c>
      <c r="E25" s="608">
        <f>D25-B25</f>
        <v>1</v>
      </c>
      <c r="F25" t="s">
        <v>4417</v>
      </c>
    </row>
    <row r="26" spans="1:6" x14ac:dyDescent="0.45">
      <c r="A26" t="s">
        <v>4418</v>
      </c>
      <c r="B26" s="608">
        <v>2</v>
      </c>
      <c r="C26" s="608">
        <v>3.5</v>
      </c>
      <c r="D26" s="608">
        <v>5</v>
      </c>
      <c r="E26" s="608">
        <f>D26-B26</f>
        <v>3</v>
      </c>
      <c r="F26" t="s">
        <v>4419</v>
      </c>
    </row>
    <row r="27" spans="1:6" ht="18" x14ac:dyDescent="0.55000000000000004">
      <c r="A27" s="601" t="s">
        <v>4420</v>
      </c>
      <c r="B27" s="641">
        <f>AVERAGE(B18:B26)</f>
        <v>3.3333333333333335</v>
      </c>
      <c r="C27" s="610">
        <f>AVERAGE(C18:C26)</f>
        <v>3.2222222222222223</v>
      </c>
      <c r="D27" s="610">
        <f>AVERAGE(D18:D26)</f>
        <v>4.5</v>
      </c>
      <c r="E27" s="611">
        <f>D27-B27</f>
        <v>1.1666666666666665</v>
      </c>
      <c r="F27" s="601" t="s">
        <v>4421</v>
      </c>
    </row>
    <row r="30" spans="1:6" ht="15.75" x14ac:dyDescent="0.5">
      <c r="A30" s="614" t="s">
        <v>4422</v>
      </c>
      <c r="B30" s="614"/>
      <c r="C30" s="614"/>
      <c r="D30" s="614"/>
      <c r="E30" s="614"/>
      <c r="F30" s="614"/>
    </row>
    <row r="31" spans="1:6" x14ac:dyDescent="0.45">
      <c r="A31" s="595" t="s">
        <v>4423</v>
      </c>
      <c r="B31" s="600" t="s">
        <v>4424</v>
      </c>
      <c r="C31" s="595" t="s">
        <v>4425</v>
      </c>
      <c r="D31" s="595" t="s">
        <v>4426</v>
      </c>
      <c r="E31" s="595" t="s">
        <v>4427</v>
      </c>
      <c r="F31" s="600" t="s">
        <v>4428</v>
      </c>
    </row>
    <row r="32" spans="1:6" x14ac:dyDescent="0.45">
      <c r="A32" s="604" t="s">
        <v>4429</v>
      </c>
      <c r="B32" s="591" t="s">
        <v>4430</v>
      </c>
      <c r="C32" t="s">
        <v>4431</v>
      </c>
      <c r="D32" t="s">
        <v>4432</v>
      </c>
      <c r="E32" t="s">
        <v>4433</v>
      </c>
      <c r="F32" s="608">
        <v>3.5</v>
      </c>
    </row>
    <row r="33" spans="1:6" x14ac:dyDescent="0.45">
      <c r="A33" s="642" t="s">
        <v>4434</v>
      </c>
      <c r="B33" s="591" t="s">
        <v>4435</v>
      </c>
      <c r="C33" t="s">
        <v>4436</v>
      </c>
      <c r="D33" t="s">
        <v>4437</v>
      </c>
      <c r="E33" t="s">
        <v>4438</v>
      </c>
      <c r="F33" s="608">
        <v>3.8</v>
      </c>
    </row>
    <row r="34" spans="1:6" x14ac:dyDescent="0.45">
      <c r="A34" s="643" t="s">
        <v>4439</v>
      </c>
      <c r="B34" s="591" t="s">
        <v>4440</v>
      </c>
      <c r="C34" t="s">
        <v>4441</v>
      </c>
      <c r="D34" t="s">
        <v>4442</v>
      </c>
      <c r="E34" t="s">
        <v>4443</v>
      </c>
      <c r="F34" s="608">
        <v>4.2</v>
      </c>
    </row>
    <row r="35" spans="1:6" x14ac:dyDescent="0.45">
      <c r="A35" s="635" t="s">
        <v>4444</v>
      </c>
      <c r="B35" s="591" t="s">
        <v>4445</v>
      </c>
      <c r="C35" t="s">
        <v>4446</v>
      </c>
      <c r="D35" t="s">
        <v>4447</v>
      </c>
      <c r="E35" t="s">
        <v>4448</v>
      </c>
      <c r="F35" s="608">
        <v>4.5</v>
      </c>
    </row>
    <row r="36" spans="1:6" x14ac:dyDescent="0.45">
      <c r="A36" s="644" t="s">
        <v>4449</v>
      </c>
      <c r="B36" s="591" t="s">
        <v>4450</v>
      </c>
      <c r="C36" t="s">
        <v>4451</v>
      </c>
      <c r="D36" t="s">
        <v>4452</v>
      </c>
      <c r="E36" t="s">
        <v>4453</v>
      </c>
      <c r="F36" s="637">
        <v>5</v>
      </c>
    </row>
    <row r="39" spans="1:6" ht="15.75" x14ac:dyDescent="0.5">
      <c r="A39" s="614" t="s">
        <v>4454</v>
      </c>
      <c r="B39" s="614"/>
      <c r="C39" s="614"/>
      <c r="D39" s="614"/>
    </row>
    <row r="40" spans="1:6" x14ac:dyDescent="0.45">
      <c r="A40" s="595" t="s">
        <v>4455</v>
      </c>
      <c r="B40" s="595" t="s">
        <v>4456</v>
      </c>
      <c r="C40" s="595" t="s">
        <v>4457</v>
      </c>
      <c r="D40" s="595" t="s">
        <v>4458</v>
      </c>
    </row>
    <row r="41" spans="1:6" x14ac:dyDescent="0.45">
      <c r="A41" t="s">
        <v>4459</v>
      </c>
      <c r="B41" t="s">
        <v>4460</v>
      </c>
      <c r="C41" t="s">
        <v>4461</v>
      </c>
      <c r="D41" t="s">
        <v>4462</v>
      </c>
    </row>
    <row r="42" spans="1:6" x14ac:dyDescent="0.45">
      <c r="A42" t="s">
        <v>4463</v>
      </c>
      <c r="B42" t="s">
        <v>4464</v>
      </c>
      <c r="C42" t="s">
        <v>4465</v>
      </c>
      <c r="D42" t="s">
        <v>4466</v>
      </c>
    </row>
    <row r="43" spans="1:6" x14ac:dyDescent="0.45">
      <c r="A43" t="s">
        <v>4467</v>
      </c>
      <c r="B43" s="592" t="s">
        <v>4482</v>
      </c>
      <c r="C43" t="s">
        <v>4468</v>
      </c>
      <c r="D43" t="s">
        <v>4469</v>
      </c>
    </row>
    <row r="44" spans="1:6" x14ac:dyDescent="0.45">
      <c r="A44" t="s">
        <v>4470</v>
      </c>
      <c r="B44" t="s">
        <v>4471</v>
      </c>
      <c r="C44" t="s">
        <v>4472</v>
      </c>
      <c r="D44" t="s">
        <v>4473</v>
      </c>
    </row>
    <row r="45" spans="1:6" x14ac:dyDescent="0.45">
      <c r="A45" t="s">
        <v>4474</v>
      </c>
      <c r="B45" t="s">
        <v>4475</v>
      </c>
      <c r="C45" t="s">
        <v>4476</v>
      </c>
      <c r="D45" t="s">
        <v>4477</v>
      </c>
    </row>
    <row r="46" spans="1:6" x14ac:dyDescent="0.45">
      <c r="A46" t="s">
        <v>4478</v>
      </c>
      <c r="B46" t="s">
        <v>4479</v>
      </c>
      <c r="C46" t="s">
        <v>4480</v>
      </c>
      <c r="D46" t="s">
        <v>4481</v>
      </c>
    </row>
  </sheetData>
  <mergeCells count="6">
    <mergeCell ref="A1:H1"/>
    <mergeCell ref="A2:H2"/>
    <mergeCell ref="A4:H4"/>
    <mergeCell ref="A16:F16"/>
    <mergeCell ref="A30:F30"/>
    <mergeCell ref="A39:D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Navigation Hub</vt:lpstr>
      <vt:lpstr>GRC Linkage Engine</vt:lpstr>
      <vt:lpstr>Content Eval &amp; Shahin-AI</vt:lpstr>
      <vt:lpstr>All 108 Regulators - Frameworks</vt:lpstr>
      <vt:lpstr>Per-Regulator Summary</vt:lpstr>
      <vt:lpstr>HC IoT Priority Ranked</vt:lpstr>
      <vt:lpstr>Version Details Reference</vt:lpstr>
      <vt:lpstr>HC IoT Compliance Checklist</vt:lpstr>
      <vt:lpstr>Framework Debate Matrix</vt:lpstr>
      <vt:lpstr>Knowledge Foundation</vt:lpstr>
      <vt:lpstr>Learning Pathway</vt:lpstr>
      <vt:lpstr>GH-ICGA Positioning Matrix</vt:lpstr>
      <vt:lpstr>KSA GRC Architecture Map</vt:lpstr>
      <vt:lpstr>Risk Domain Coverage Matrix</vt:lpstr>
      <vt:lpstr>Sector × Framework Matrix</vt:lpstr>
      <vt:lpstr>Audit Universe (All Sectors)</vt:lpstr>
      <vt:lpstr>KRI Dashboard (All Sectors)</vt:lpstr>
      <vt:lpstr>GRC Maturity (All Sectors)</vt:lpstr>
      <vt:lpstr>GRC Intelligence Engine</vt:lpstr>
      <vt:lpstr>Executive Command Centre</vt:lpstr>
      <vt:lpstr>Regulatory Change Log</vt:lpstr>
      <vt:lpstr>Framework Dependencies</vt:lpstr>
      <vt:lpstr>Compliance Calculator</vt:lpstr>
      <vt:lpstr>Global GRC 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Ahmet Dogan</cp:lastModifiedBy>
  <cp:revision>0</cp:revision>
  <dcterms:created xsi:type="dcterms:W3CDTF">2026-04-13T16:58:40Z</dcterms:created>
  <dcterms:modified xsi:type="dcterms:W3CDTF">2026-04-14T04:22:22Z</dcterms:modified>
  <dc:language>en-US</dc:language>
</cp:coreProperties>
</file>